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0.xml" ContentType="application/vnd.openxmlformats-officedocument.spreadsheetml.worksheet+xml"/>
  <Override PartName="/xl/chartsheets/sheet4.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meiiwamoto/Documents/R/OCN682/Iwamoto/ai_sprint/Data/masters??/"/>
    </mc:Choice>
  </mc:AlternateContent>
  <xr:revisionPtr revIDLastSave="0" documentId="13_ncr:1_{65C56FAD-DAF5-9142-907A-840F755F6AFB}" xr6:coauthVersionLast="47" xr6:coauthVersionMax="47" xr10:uidLastSave="{00000000-0000-0000-0000-000000000000}"/>
  <bookViews>
    <workbookView xWindow="0" yWindow="660" windowWidth="29400" windowHeight="18460" xr2:uid="{00000000-000D-0000-FFFF-FFFF00000000}"/>
  </bookViews>
  <sheets>
    <sheet name="mei" sheetId="14" r:id="rId1"/>
    <sheet name="Totals_NO_Excl" sheetId="1" r:id="rId2"/>
    <sheet name="Presence_Absence_NO_Excl" sheetId="2" r:id="rId3"/>
    <sheet name="Diversity_Excl_Ts" sheetId="3" r:id="rId4"/>
    <sheet name="Presence_Absence_Excl_Ts" sheetId="4" r:id="rId5"/>
    <sheet name="Tides_data_2016_20" sheetId="5" r:id="rId6"/>
    <sheet name="Edu Stuff to Link to metadata" sheetId="6" r:id="rId7"/>
    <sheet name="Metadata" sheetId="7" r:id="rId8"/>
    <sheet name="Sheet12" sheetId="8" r:id="rId9"/>
    <sheet name="Chart4" sheetId="9" r:id="rId10"/>
    <sheet name="Chart3" sheetId="10" r:id="rId11"/>
    <sheet name="Chart2" sheetId="11" r:id="rId12"/>
    <sheet name="Sheet13" sheetId="12" r:id="rId13"/>
    <sheet name="div vs tides" sheetId="13" r:id="rId14"/>
  </sheets>
  <definedNames>
    <definedName name="_xlnm._FilterDatabase" localSheetId="0" hidden="1">mei!$A$1:$HI$252</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G249" i="14" l="1"/>
  <c r="GF249" i="14"/>
  <c r="GE249" i="14"/>
  <c r="GD249" i="14"/>
  <c r="GC249" i="14"/>
  <c r="GB249" i="14"/>
  <c r="GA249" i="14"/>
  <c r="FZ249" i="14"/>
  <c r="FY249" i="14"/>
  <c r="FW249" i="14"/>
  <c r="FV249" i="14"/>
  <c r="FU249" i="14"/>
  <c r="FT249" i="14"/>
  <c r="FS249" i="14"/>
  <c r="FR249" i="14"/>
  <c r="FQ249" i="14"/>
  <c r="FP249" i="14"/>
  <c r="FN249" i="14"/>
  <c r="FM249" i="14"/>
  <c r="FL249" i="14"/>
  <c r="FK249" i="14"/>
  <c r="FJ249" i="14"/>
  <c r="FI249" i="14"/>
  <c r="FH249" i="14"/>
  <c r="FG249" i="14"/>
  <c r="FF249" i="14"/>
  <c r="FE249" i="14"/>
  <c r="FD249" i="14"/>
  <c r="FC249" i="14"/>
  <c r="FB249" i="14"/>
  <c r="FA249" i="14"/>
  <c r="EZ249" i="14"/>
  <c r="EY249" i="14"/>
  <c r="EX249" i="14"/>
  <c r="EW249" i="14"/>
  <c r="EV249" i="14"/>
  <c r="EU249" i="14"/>
  <c r="ET249" i="14"/>
  <c r="ES249" i="14"/>
  <c r="ER249" i="14"/>
  <c r="EQ249" i="14"/>
  <c r="EP249" i="14"/>
  <c r="EO249" i="14"/>
  <c r="EN249" i="14"/>
  <c r="EM249" i="14"/>
  <c r="EL249" i="14"/>
  <c r="EK249" i="14"/>
  <c r="EJ249" i="14"/>
  <c r="EI249" i="14"/>
  <c r="EH249" i="14"/>
  <c r="EG249" i="14"/>
  <c r="EF249" i="14"/>
  <c r="EE249" i="14"/>
  <c r="ED249" i="14"/>
  <c r="EC249" i="14"/>
  <c r="EB249" i="14"/>
  <c r="EA249" i="14"/>
  <c r="DZ249" i="14"/>
  <c r="DY249" i="14"/>
  <c r="DX249" i="14"/>
  <c r="DW249" i="14"/>
  <c r="DV249" i="14"/>
  <c r="DU249" i="14"/>
  <c r="DT249" i="14"/>
  <c r="DS249" i="14"/>
  <c r="DR249" i="14"/>
  <c r="DQ249" i="14"/>
  <c r="DP249" i="14"/>
  <c r="DO249" i="14"/>
  <c r="DN249" i="14"/>
  <c r="DM249" i="14"/>
  <c r="DL249" i="14"/>
  <c r="DK249" i="14"/>
  <c r="DJ249" i="14"/>
  <c r="DI249" i="14"/>
  <c r="DH249" i="14"/>
  <c r="DG249" i="14"/>
  <c r="DF249" i="14"/>
  <c r="DE249" i="14"/>
  <c r="DD249" i="14"/>
  <c r="DC249" i="14"/>
  <c r="DB249" i="14"/>
  <c r="DA249" i="14"/>
  <c r="CZ249" i="14"/>
  <c r="CY249" i="14"/>
  <c r="CX249" i="14"/>
  <c r="CW249" i="14"/>
  <c r="CV249" i="14"/>
  <c r="CU249" i="14"/>
  <c r="CT249" i="14"/>
  <c r="CS249" i="14"/>
  <c r="CR249" i="14"/>
  <c r="CQ249" i="14"/>
  <c r="CP249" i="14"/>
  <c r="CO249" i="14"/>
  <c r="CN249" i="14"/>
  <c r="CM249" i="14"/>
  <c r="CL249" i="14"/>
  <c r="CK249" i="14"/>
  <c r="CJ249" i="14"/>
  <c r="CI249" i="14"/>
  <c r="CH249" i="14"/>
  <c r="CG249" i="14"/>
  <c r="CF249" i="14"/>
  <c r="CE249" i="14"/>
  <c r="CD249" i="14"/>
  <c r="CC249" i="14"/>
  <c r="CB249" i="14"/>
  <c r="CA249" i="14"/>
  <c r="BZ249" i="14"/>
  <c r="BY249" i="14"/>
  <c r="BX249" i="14"/>
  <c r="BW249" i="14"/>
  <c r="BV249" i="14"/>
  <c r="BU249" i="14"/>
  <c r="BT249" i="14"/>
  <c r="BS249" i="14"/>
  <c r="BR249" i="14"/>
  <c r="BQ249" i="14"/>
  <c r="BP249" i="14"/>
  <c r="BO249" i="14"/>
  <c r="BN249" i="14"/>
  <c r="BM249" i="14"/>
  <c r="BL249" i="14"/>
  <c r="BK249" i="14"/>
  <c r="BJ249" i="14"/>
  <c r="BI249" i="14"/>
  <c r="BH249" i="14"/>
  <c r="BG249" i="14"/>
  <c r="BF249" i="14"/>
  <c r="BE249" i="14"/>
  <c r="BD249" i="14"/>
  <c r="BC249" i="14"/>
  <c r="BB249" i="14"/>
  <c r="BA249" i="14"/>
  <c r="AZ249" i="14"/>
  <c r="AY249" i="14"/>
  <c r="AX249" i="14"/>
  <c r="AW249" i="14"/>
  <c r="AV249" i="14"/>
  <c r="AU249" i="14"/>
  <c r="AT249" i="14"/>
  <c r="AS249" i="14"/>
  <c r="AR249" i="14"/>
  <c r="AQ249" i="14"/>
  <c r="AP249" i="14"/>
  <c r="AO249" i="14"/>
  <c r="AN249" i="14"/>
  <c r="AM249" i="14"/>
  <c r="AL249" i="14"/>
  <c r="AK249" i="14"/>
  <c r="AJ249" i="14"/>
  <c r="AI249" i="14"/>
  <c r="AH249" i="14"/>
  <c r="AG249" i="14"/>
  <c r="AF249" i="14"/>
  <c r="AE249" i="14"/>
  <c r="AD249" i="14"/>
  <c r="AC249" i="14"/>
  <c r="AB249" i="14"/>
  <c r="AA249" i="14"/>
  <c r="Z249" i="14"/>
  <c r="Y249" i="14"/>
  <c r="X249" i="14"/>
  <c r="W249" i="14"/>
  <c r="V249" i="14"/>
  <c r="U249" i="14"/>
  <c r="T249" i="14"/>
  <c r="S249" i="14"/>
  <c r="R249" i="14"/>
  <c r="M249" i="14"/>
  <c r="GG248" i="14"/>
  <c r="GF248" i="14"/>
  <c r="GE248" i="14"/>
  <c r="GD248" i="14"/>
  <c r="GC248" i="14"/>
  <c r="GB248" i="14"/>
  <c r="GA248" i="14"/>
  <c r="FZ248" i="14"/>
  <c r="FY248" i="14"/>
  <c r="FW248" i="14"/>
  <c r="FV248" i="14"/>
  <c r="FU248" i="14"/>
  <c r="FT248" i="14"/>
  <c r="FS248" i="14"/>
  <c r="FR248" i="14"/>
  <c r="FQ248" i="14"/>
  <c r="FP248" i="14"/>
  <c r="FN248" i="14"/>
  <c r="FM248" i="14"/>
  <c r="FL248" i="14"/>
  <c r="FK248" i="14"/>
  <c r="FJ248" i="14"/>
  <c r="FI248" i="14"/>
  <c r="FH248" i="14"/>
  <c r="FG248" i="14"/>
  <c r="FF248" i="14"/>
  <c r="FE248" i="14"/>
  <c r="FD248" i="14"/>
  <c r="FC248" i="14"/>
  <c r="FB248" i="14"/>
  <c r="FA248" i="14"/>
  <c r="EZ248" i="14"/>
  <c r="EY248" i="14"/>
  <c r="EX248" i="14"/>
  <c r="EW248" i="14"/>
  <c r="EV248" i="14"/>
  <c r="EU248" i="14"/>
  <c r="ET248" i="14"/>
  <c r="ES248" i="14"/>
  <c r="ER248" i="14"/>
  <c r="EQ248" i="14"/>
  <c r="EP248" i="14"/>
  <c r="EO248" i="14"/>
  <c r="EN248" i="14"/>
  <c r="EM248" i="14"/>
  <c r="EL248" i="14"/>
  <c r="EK248" i="14"/>
  <c r="EJ248" i="14"/>
  <c r="EI248" i="14"/>
  <c r="EH248" i="14"/>
  <c r="EG248" i="14"/>
  <c r="EF248" i="14"/>
  <c r="EE248" i="14"/>
  <c r="ED248" i="14"/>
  <c r="EC248" i="14"/>
  <c r="EB248" i="14"/>
  <c r="EA248" i="14"/>
  <c r="DZ248" i="14"/>
  <c r="DY248" i="14"/>
  <c r="DX248" i="14"/>
  <c r="DW248" i="14"/>
  <c r="DV248" i="14"/>
  <c r="DU248" i="14"/>
  <c r="DT248" i="14"/>
  <c r="DS248" i="14"/>
  <c r="DR248" i="14"/>
  <c r="DQ248" i="14"/>
  <c r="DP248" i="14"/>
  <c r="DO248" i="14"/>
  <c r="DN248" i="14"/>
  <c r="DM248" i="14"/>
  <c r="DL248" i="14"/>
  <c r="DK248" i="14"/>
  <c r="DJ248" i="14"/>
  <c r="DI248" i="14"/>
  <c r="DH248" i="14"/>
  <c r="DG248" i="14"/>
  <c r="DF248" i="14"/>
  <c r="DE248" i="14"/>
  <c r="DD248" i="14"/>
  <c r="DC248" i="14"/>
  <c r="DB248" i="14"/>
  <c r="DA248" i="14"/>
  <c r="CZ248" i="14"/>
  <c r="CY248" i="14"/>
  <c r="CX248" i="14"/>
  <c r="CW248" i="14"/>
  <c r="CV248" i="14"/>
  <c r="CU248" i="14"/>
  <c r="CT248" i="14"/>
  <c r="CS248" i="14"/>
  <c r="CR248" i="14"/>
  <c r="CQ248" i="14"/>
  <c r="CP248" i="14"/>
  <c r="CO248" i="14"/>
  <c r="CN248" i="14"/>
  <c r="CM248" i="14"/>
  <c r="CL248" i="14"/>
  <c r="CK248" i="14"/>
  <c r="CJ248" i="14"/>
  <c r="CI248" i="14"/>
  <c r="CH248" i="14"/>
  <c r="CG248" i="14"/>
  <c r="CF248" i="14"/>
  <c r="CE248" i="14"/>
  <c r="CD248" i="14"/>
  <c r="CC248" i="14"/>
  <c r="CB248" i="14"/>
  <c r="CA248" i="14"/>
  <c r="BZ248" i="14"/>
  <c r="BY248" i="14"/>
  <c r="BX248" i="14"/>
  <c r="BW248" i="14"/>
  <c r="BV248" i="14"/>
  <c r="BU248" i="14"/>
  <c r="BT248" i="14"/>
  <c r="BS248" i="14"/>
  <c r="BR248" i="14"/>
  <c r="BQ248" i="14"/>
  <c r="BP248" i="14"/>
  <c r="BO248" i="14"/>
  <c r="BN248" i="14"/>
  <c r="BM248" i="14"/>
  <c r="BL248" i="14"/>
  <c r="BK248" i="14"/>
  <c r="BJ248" i="14"/>
  <c r="BI248" i="14"/>
  <c r="BH248" i="14"/>
  <c r="BG248" i="14"/>
  <c r="BF248" i="14"/>
  <c r="BE248" i="14"/>
  <c r="BD248" i="14"/>
  <c r="BC248" i="14"/>
  <c r="BB248" i="14"/>
  <c r="BA248" i="14"/>
  <c r="AZ248" i="14"/>
  <c r="AY248" i="14"/>
  <c r="AX248" i="14"/>
  <c r="AW248" i="14"/>
  <c r="AV248" i="14"/>
  <c r="AU248" i="14"/>
  <c r="AT248" i="14"/>
  <c r="AS248" i="14"/>
  <c r="AR248" i="14"/>
  <c r="AQ248" i="14"/>
  <c r="AP248" i="14"/>
  <c r="AO248" i="14"/>
  <c r="AN248" i="14"/>
  <c r="AM248" i="14"/>
  <c r="AL248" i="14"/>
  <c r="AK248" i="14"/>
  <c r="AJ248" i="14"/>
  <c r="AI248" i="14"/>
  <c r="AH248" i="14"/>
  <c r="AG248" i="14"/>
  <c r="AF248" i="14"/>
  <c r="AE248" i="14"/>
  <c r="AD248" i="14"/>
  <c r="AC248" i="14"/>
  <c r="AB248" i="14"/>
  <c r="AA248" i="14"/>
  <c r="Z248" i="14"/>
  <c r="Y248" i="14"/>
  <c r="X248" i="14"/>
  <c r="W248" i="14"/>
  <c r="V248" i="14"/>
  <c r="U248" i="14"/>
  <c r="T248" i="14"/>
  <c r="S248" i="14"/>
  <c r="R248" i="14"/>
  <c r="GL245" i="14"/>
  <c r="GK245" i="14"/>
  <c r="GJ245" i="14"/>
  <c r="GI245" i="14"/>
  <c r="GH245" i="14"/>
  <c r="GL244" i="14"/>
  <c r="GK244" i="14"/>
  <c r="GJ244" i="14"/>
  <c r="GI244" i="14"/>
  <c r="GH244" i="14"/>
  <c r="GL243" i="14"/>
  <c r="GK243" i="14"/>
  <c r="GJ243" i="14"/>
  <c r="GI243" i="14"/>
  <c r="GH243" i="14"/>
  <c r="GL242" i="14"/>
  <c r="GK242" i="14"/>
  <c r="GJ242" i="14"/>
  <c r="GI242" i="14"/>
  <c r="GH242" i="14"/>
  <c r="GL241" i="14"/>
  <c r="GK241" i="14"/>
  <c r="GJ241" i="14"/>
  <c r="GI241" i="14"/>
  <c r="GH241" i="14"/>
  <c r="GL240" i="14"/>
  <c r="GK240" i="14"/>
  <c r="GJ240" i="14"/>
  <c r="GI240" i="14"/>
  <c r="GH240" i="14"/>
  <c r="GL239" i="14"/>
  <c r="GK239" i="14"/>
  <c r="GJ239" i="14"/>
  <c r="GI239" i="14"/>
  <c r="GH239" i="14"/>
  <c r="GL238" i="14"/>
  <c r="GK238" i="14"/>
  <c r="GJ238" i="14"/>
  <c r="GI238" i="14"/>
  <c r="GH238" i="14"/>
  <c r="GL237" i="14"/>
  <c r="GK237" i="14"/>
  <c r="GJ237" i="14"/>
  <c r="GI237" i="14"/>
  <c r="GH237" i="14"/>
  <c r="GL234" i="14"/>
  <c r="GK234" i="14"/>
  <c r="GJ234" i="14"/>
  <c r="GI234" i="14"/>
  <c r="GH234" i="14"/>
  <c r="GL233" i="14"/>
  <c r="GK233" i="14"/>
  <c r="GJ233" i="14"/>
  <c r="GI233" i="14"/>
  <c r="GH233" i="14"/>
  <c r="C231" i="14"/>
  <c r="C232" i="14" s="1"/>
  <c r="C233" i="14" s="1"/>
  <c r="C234" i="14" s="1"/>
  <c r="C235" i="14" s="1"/>
  <c r="C236" i="14" s="1"/>
  <c r="C237" i="14" s="1"/>
  <c r="C238" i="14" s="1"/>
  <c r="C239" i="14" s="1"/>
  <c r="C240" i="14" s="1"/>
  <c r="C241" i="14" s="1"/>
  <c r="C242" i="14" s="1"/>
  <c r="C243" i="14" s="1"/>
  <c r="C244" i="14" s="1"/>
  <c r="C245" i="14" s="1"/>
  <c r="C246" i="14" s="1"/>
  <c r="GL227" i="14"/>
  <c r="GK227" i="14"/>
  <c r="GJ227" i="14"/>
  <c r="GI227" i="14"/>
  <c r="GH227" i="14"/>
  <c r="GL226" i="14"/>
  <c r="GK226" i="14"/>
  <c r="GJ226" i="14"/>
  <c r="GI226" i="14"/>
  <c r="GH226" i="14"/>
  <c r="GL225" i="14"/>
  <c r="GK225" i="14"/>
  <c r="GJ225" i="14"/>
  <c r="GI225" i="14"/>
  <c r="GH225" i="14"/>
  <c r="GL224" i="14"/>
  <c r="GK224" i="14"/>
  <c r="GJ224" i="14"/>
  <c r="GI224" i="14"/>
  <c r="GH224" i="14"/>
  <c r="C224" i="14"/>
  <c r="C225" i="14" s="1"/>
  <c r="C226" i="14" s="1"/>
  <c r="C227" i="14" s="1"/>
  <c r="C228" i="14" s="1"/>
  <c r="GL223" i="14"/>
  <c r="GK223" i="14"/>
  <c r="GJ223" i="14"/>
  <c r="GI223" i="14"/>
  <c r="GH223" i="14"/>
  <c r="GL221" i="14"/>
  <c r="GK221" i="14"/>
  <c r="GJ221" i="14"/>
  <c r="GI221" i="14"/>
  <c r="GH221" i="14"/>
  <c r="GL220" i="14"/>
  <c r="GK220" i="14"/>
  <c r="GJ220" i="14"/>
  <c r="GI220" i="14"/>
  <c r="GH220" i="14"/>
  <c r="GL219" i="14"/>
  <c r="GK219" i="14"/>
  <c r="GJ219" i="14"/>
  <c r="GI219" i="14"/>
  <c r="GH219" i="14"/>
  <c r="GL218" i="14"/>
  <c r="GK218" i="14"/>
  <c r="GJ218" i="14"/>
  <c r="GI218" i="14"/>
  <c r="GH218" i="14"/>
  <c r="GL217" i="14"/>
  <c r="GK217" i="14"/>
  <c r="GJ217" i="14"/>
  <c r="GI217" i="14"/>
  <c r="GH217" i="14"/>
  <c r="GL216" i="14"/>
  <c r="GK216" i="14"/>
  <c r="GJ216" i="14"/>
  <c r="GI216" i="14"/>
  <c r="GH216" i="14"/>
  <c r="GL215" i="14"/>
  <c r="GK215" i="14"/>
  <c r="GJ215" i="14"/>
  <c r="GI215" i="14"/>
  <c r="GH215" i="14"/>
  <c r="GL214" i="14"/>
  <c r="GK214" i="14"/>
  <c r="GJ214" i="14"/>
  <c r="GI214" i="14"/>
  <c r="GH214" i="14"/>
  <c r="GL213" i="14"/>
  <c r="GK213" i="14"/>
  <c r="GJ213" i="14"/>
  <c r="GI213" i="14"/>
  <c r="GH213" i="14"/>
  <c r="GL211" i="14"/>
  <c r="GK211" i="14"/>
  <c r="GJ211" i="14"/>
  <c r="GI211" i="14"/>
  <c r="GH211" i="14"/>
  <c r="GL208" i="14"/>
  <c r="GK208" i="14"/>
  <c r="GJ208" i="14"/>
  <c r="GI208" i="14"/>
  <c r="GH208" i="14"/>
  <c r="GL207" i="14"/>
  <c r="GK207" i="14"/>
  <c r="GJ207" i="14"/>
  <c r="GI207" i="14"/>
  <c r="GH207" i="14"/>
  <c r="C207" i="14"/>
  <c r="C208" i="14" s="1"/>
  <c r="C209" i="14" s="1"/>
  <c r="C210" i="14" s="1"/>
  <c r="C211" i="14" s="1"/>
  <c r="C212" i="14" s="1"/>
  <c r="C213" i="14" s="1"/>
  <c r="C214" i="14" s="1"/>
  <c r="C215" i="14" s="1"/>
  <c r="C216" i="14" s="1"/>
  <c r="C217" i="14" s="1"/>
  <c r="C218" i="14" s="1"/>
  <c r="C219" i="14" s="1"/>
  <c r="C220" i="14" s="1"/>
  <c r="C221" i="14" s="1"/>
  <c r="GL206" i="14"/>
  <c r="GK206" i="14"/>
  <c r="GJ206" i="14"/>
  <c r="GI206" i="14"/>
  <c r="GH206" i="14"/>
  <c r="GL202" i="14"/>
  <c r="GK202" i="14"/>
  <c r="GJ202" i="14"/>
  <c r="GI202" i="14"/>
  <c r="GH202" i="14"/>
  <c r="C201" i="14"/>
  <c r="C202" i="14" s="1"/>
  <c r="C203" i="14" s="1"/>
  <c r="C204" i="14" s="1"/>
  <c r="GL200" i="14"/>
  <c r="GK200" i="14"/>
  <c r="GJ200" i="14"/>
  <c r="GI200" i="14"/>
  <c r="GH200" i="14"/>
  <c r="GL198" i="14"/>
  <c r="GK198" i="14"/>
  <c r="GJ198" i="14"/>
  <c r="GI198" i="14"/>
  <c r="GH198" i="14"/>
  <c r="GL197" i="14"/>
  <c r="GK197" i="14"/>
  <c r="GJ197" i="14"/>
  <c r="GI197" i="14"/>
  <c r="GH197" i="14"/>
  <c r="GL195" i="14"/>
  <c r="GK195" i="14"/>
  <c r="GJ195" i="14"/>
  <c r="GI195" i="14"/>
  <c r="GH195" i="14"/>
  <c r="GL194" i="14"/>
  <c r="GK194" i="14"/>
  <c r="GJ194" i="14"/>
  <c r="GI194" i="14"/>
  <c r="GH194" i="14"/>
  <c r="GL193" i="14"/>
  <c r="GK193" i="14"/>
  <c r="GJ193" i="14"/>
  <c r="GI193" i="14"/>
  <c r="GH193" i="14"/>
  <c r="GL192" i="14"/>
  <c r="GK192" i="14"/>
  <c r="GJ192" i="14"/>
  <c r="GI192" i="14"/>
  <c r="GH192" i="14"/>
  <c r="GL191" i="14"/>
  <c r="GK191" i="14"/>
  <c r="GJ191" i="14"/>
  <c r="GI191" i="14"/>
  <c r="GH191" i="14"/>
  <c r="GL190" i="14"/>
  <c r="GK190" i="14"/>
  <c r="GJ190" i="14"/>
  <c r="GI190" i="14"/>
  <c r="GH190" i="14"/>
  <c r="GL189" i="14"/>
  <c r="GK189" i="14"/>
  <c r="GJ189" i="14"/>
  <c r="GI189" i="14"/>
  <c r="GH189" i="14"/>
  <c r="GL188" i="14"/>
  <c r="GK188" i="14"/>
  <c r="GJ188" i="14"/>
  <c r="GI188" i="14"/>
  <c r="GH188" i="14"/>
  <c r="GL187" i="14"/>
  <c r="GK187" i="14"/>
  <c r="GJ187" i="14"/>
  <c r="GI187" i="14"/>
  <c r="GH187" i="14"/>
  <c r="GL186" i="14"/>
  <c r="GK186" i="14"/>
  <c r="GJ186" i="14"/>
  <c r="GI186" i="14"/>
  <c r="GH186" i="14"/>
  <c r="C186" i="14"/>
  <c r="C187" i="14" s="1"/>
  <c r="C188" i="14" s="1"/>
  <c r="C189" i="14" s="1"/>
  <c r="C190" i="14" s="1"/>
  <c r="C191" i="14" s="1"/>
  <c r="C192" i="14" s="1"/>
  <c r="C193" i="14" s="1"/>
  <c r="C194" i="14" s="1"/>
  <c r="C195" i="14" s="1"/>
  <c r="C196" i="14" s="1"/>
  <c r="C197" i="14" s="1"/>
  <c r="C198" i="14" s="1"/>
  <c r="GL180" i="14"/>
  <c r="GK180" i="14"/>
  <c r="GJ180" i="14"/>
  <c r="GI180" i="14"/>
  <c r="GH180" i="14"/>
  <c r="C179" i="14"/>
  <c r="C180" i="14" s="1"/>
  <c r="C181" i="14" s="1"/>
  <c r="C182" i="14" s="1"/>
  <c r="C183" i="14" s="1"/>
  <c r="GL178" i="14"/>
  <c r="GK178" i="14"/>
  <c r="GJ178" i="14"/>
  <c r="GI178" i="14"/>
  <c r="GH178" i="14"/>
  <c r="C174" i="14"/>
  <c r="GL171" i="14"/>
  <c r="GK171" i="14"/>
  <c r="GJ171" i="14"/>
  <c r="GI171" i="14"/>
  <c r="GH171" i="14"/>
  <c r="GL170" i="14"/>
  <c r="GK170" i="14"/>
  <c r="GJ170" i="14"/>
  <c r="GI170" i="14"/>
  <c r="GH170" i="14"/>
  <c r="GL168" i="14"/>
  <c r="GK168" i="14"/>
  <c r="GJ168" i="14"/>
  <c r="GI168" i="14"/>
  <c r="GH168" i="14"/>
  <c r="C168" i="14"/>
  <c r="C169" i="14" s="1"/>
  <c r="C170" i="14" s="1"/>
  <c r="C171" i="14" s="1"/>
  <c r="GL164" i="14"/>
  <c r="GK164" i="14"/>
  <c r="GJ164" i="14"/>
  <c r="GI164" i="14"/>
  <c r="GH164" i="14"/>
  <c r="GL162" i="14"/>
  <c r="GK162" i="14"/>
  <c r="GJ162" i="14"/>
  <c r="GI162" i="14"/>
  <c r="GH162" i="14"/>
  <c r="GL161" i="14"/>
  <c r="GK161" i="14"/>
  <c r="GJ161" i="14"/>
  <c r="GI161" i="14"/>
  <c r="GH161" i="14"/>
  <c r="C161" i="14"/>
  <c r="C162" i="14" s="1"/>
  <c r="C163" i="14" s="1"/>
  <c r="C164" i="14" s="1"/>
  <c r="C165" i="14" s="1"/>
  <c r="GL155" i="14"/>
  <c r="GK155" i="14"/>
  <c r="GJ155" i="14"/>
  <c r="GI155" i="14"/>
  <c r="GH155" i="14"/>
  <c r="GL154" i="14"/>
  <c r="GK154" i="14"/>
  <c r="GJ154" i="14"/>
  <c r="GI154" i="14"/>
  <c r="GH154" i="14"/>
  <c r="GL153" i="14"/>
  <c r="GK153" i="14"/>
  <c r="GJ153" i="14"/>
  <c r="GI153" i="14"/>
  <c r="GH153" i="14"/>
  <c r="GL152" i="14"/>
  <c r="GK152" i="14"/>
  <c r="GJ152" i="14"/>
  <c r="GI152" i="14"/>
  <c r="GH152" i="14"/>
  <c r="GL150" i="14"/>
  <c r="GK150" i="14"/>
  <c r="GJ150" i="14"/>
  <c r="GI150" i="14"/>
  <c r="GH150" i="14"/>
  <c r="C150" i="14"/>
  <c r="C151" i="14" s="1"/>
  <c r="C152" i="14" s="1"/>
  <c r="C153" i="14" s="1"/>
  <c r="C154" i="14" s="1"/>
  <c r="C155" i="14" s="1"/>
  <c r="C156" i="14" s="1"/>
  <c r="C157" i="14" s="1"/>
  <c r="C158" i="14" s="1"/>
  <c r="GL146" i="14"/>
  <c r="GK146" i="14"/>
  <c r="GJ146" i="14"/>
  <c r="GI146" i="14"/>
  <c r="GH146" i="14"/>
  <c r="GL144" i="14"/>
  <c r="GK144" i="14"/>
  <c r="GJ144" i="14"/>
  <c r="GI144" i="14"/>
  <c r="GH144" i="14"/>
  <c r="GL143" i="14"/>
  <c r="GK143" i="14"/>
  <c r="GJ143" i="14"/>
  <c r="GI143" i="14"/>
  <c r="GH143" i="14"/>
  <c r="GL142" i="14"/>
  <c r="GK142" i="14"/>
  <c r="GJ142" i="14"/>
  <c r="GI142" i="14"/>
  <c r="GH142" i="14"/>
  <c r="GL141" i="14"/>
  <c r="GK141" i="14"/>
  <c r="GJ141" i="14"/>
  <c r="GI141" i="14"/>
  <c r="GH141" i="14"/>
  <c r="GL139" i="14"/>
  <c r="GK139" i="14"/>
  <c r="GJ139" i="14"/>
  <c r="GI139" i="14"/>
  <c r="GH139" i="14"/>
  <c r="GL138" i="14"/>
  <c r="GK138" i="14"/>
  <c r="GJ138" i="14"/>
  <c r="GI138" i="14"/>
  <c r="GH138" i="14"/>
  <c r="GL137" i="14"/>
  <c r="GK137" i="14"/>
  <c r="GJ137" i="14"/>
  <c r="GI137" i="14"/>
  <c r="GH137" i="14"/>
  <c r="GL136" i="14"/>
  <c r="GK136" i="14"/>
  <c r="GJ136" i="14"/>
  <c r="GI136" i="14"/>
  <c r="GH136" i="14"/>
  <c r="GL135" i="14"/>
  <c r="GK135" i="14"/>
  <c r="GJ135" i="14"/>
  <c r="GI135" i="14"/>
  <c r="GH135" i="14"/>
  <c r="GL133" i="14"/>
  <c r="GK133" i="14"/>
  <c r="GJ133" i="14"/>
  <c r="GI133" i="14"/>
  <c r="GH133" i="14"/>
  <c r="GL130" i="14"/>
  <c r="GK130" i="14"/>
  <c r="GJ130" i="14"/>
  <c r="GI130" i="14"/>
  <c r="GH130" i="14"/>
  <c r="GL129" i="14"/>
  <c r="GK129" i="14"/>
  <c r="GJ129" i="14"/>
  <c r="GI129" i="14"/>
  <c r="GH129" i="14"/>
  <c r="GL127" i="14"/>
  <c r="GK127" i="14"/>
  <c r="GJ127" i="14"/>
  <c r="GI127" i="14"/>
  <c r="GH127" i="14"/>
  <c r="GL126" i="14"/>
  <c r="GK126" i="14"/>
  <c r="GJ126" i="14"/>
  <c r="GI126" i="14"/>
  <c r="GH126" i="14"/>
  <c r="GL125" i="14"/>
  <c r="GK125" i="14"/>
  <c r="GJ125" i="14"/>
  <c r="GI125" i="14"/>
  <c r="GH125" i="14"/>
  <c r="GL122" i="14"/>
  <c r="GK122" i="14"/>
  <c r="GJ122" i="14"/>
  <c r="GI122" i="14"/>
  <c r="GH122" i="14"/>
  <c r="GL120" i="14"/>
  <c r="GK120" i="14"/>
  <c r="GJ120" i="14"/>
  <c r="GI120" i="14"/>
  <c r="GH120" i="14"/>
  <c r="GL119" i="14"/>
  <c r="GK119" i="14"/>
  <c r="GJ119" i="14"/>
  <c r="GI119" i="14"/>
  <c r="GH119" i="14"/>
  <c r="GL118" i="14"/>
  <c r="GK118" i="14"/>
  <c r="GJ118" i="14"/>
  <c r="GI118" i="14"/>
  <c r="GH118" i="14"/>
  <c r="GL117" i="14"/>
  <c r="GK117" i="14"/>
  <c r="GJ117" i="14"/>
  <c r="GI117" i="14"/>
  <c r="GH117" i="14"/>
  <c r="GL116" i="14"/>
  <c r="GK116" i="14"/>
  <c r="GJ116" i="14"/>
  <c r="GI116" i="14"/>
  <c r="GH116" i="14"/>
  <c r="GL115" i="14"/>
  <c r="GK115" i="14"/>
  <c r="GJ115" i="14"/>
  <c r="GI115" i="14"/>
  <c r="GH115" i="14"/>
  <c r="GL114" i="14"/>
  <c r="GK114" i="14"/>
  <c r="GJ114" i="14"/>
  <c r="GI114" i="14"/>
  <c r="GH114" i="14"/>
  <c r="GL113" i="14"/>
  <c r="GK113" i="14"/>
  <c r="GJ113" i="14"/>
  <c r="GI113" i="14"/>
  <c r="GH113" i="14"/>
  <c r="GL112" i="14"/>
  <c r="GK112" i="14"/>
  <c r="GJ112" i="14"/>
  <c r="GI112" i="14"/>
  <c r="GH112" i="14"/>
  <c r="GL111" i="14"/>
  <c r="GK111" i="14"/>
  <c r="GJ111" i="14"/>
  <c r="GI111" i="14"/>
  <c r="GH111" i="14"/>
  <c r="GL110" i="14"/>
  <c r="GK110" i="14"/>
  <c r="GJ110" i="14"/>
  <c r="GI110" i="14"/>
  <c r="GH110" i="14"/>
  <c r="GL108" i="14"/>
  <c r="GK108" i="14"/>
  <c r="GJ108" i="14"/>
  <c r="GI108" i="14"/>
  <c r="GH108" i="14"/>
  <c r="GL107" i="14"/>
  <c r="GK107" i="14"/>
  <c r="GJ107" i="14"/>
  <c r="GI107" i="14"/>
  <c r="GH107" i="14"/>
  <c r="GL106" i="14"/>
  <c r="GK106" i="14"/>
  <c r="GJ106" i="14"/>
  <c r="GI106" i="14"/>
  <c r="GH106" i="14"/>
  <c r="GL105" i="14"/>
  <c r="GK105" i="14"/>
  <c r="GJ105" i="14"/>
  <c r="GI105" i="14"/>
  <c r="GH105" i="14"/>
  <c r="GL104" i="14"/>
  <c r="GK104" i="14"/>
  <c r="GJ104" i="14"/>
  <c r="GI104" i="14"/>
  <c r="GH104" i="14"/>
  <c r="GL103" i="14"/>
  <c r="GK103" i="14"/>
  <c r="GJ103" i="14"/>
  <c r="GI103" i="14"/>
  <c r="GH103" i="14"/>
  <c r="GL102" i="14"/>
  <c r="GK102" i="14"/>
  <c r="GJ102" i="14"/>
  <c r="GI102" i="14"/>
  <c r="GH102" i="14"/>
  <c r="GL101" i="14"/>
  <c r="GK101" i="14"/>
  <c r="GJ101" i="14"/>
  <c r="GI101" i="14"/>
  <c r="GH101" i="14"/>
  <c r="GL99" i="14"/>
  <c r="GK99" i="14"/>
  <c r="GJ99" i="14"/>
  <c r="GI99" i="14"/>
  <c r="GH99" i="14"/>
  <c r="GL98" i="14"/>
  <c r="GK98" i="14"/>
  <c r="GJ98" i="14"/>
  <c r="GI98" i="14"/>
  <c r="GH98" i="14"/>
  <c r="GL97" i="14"/>
  <c r="GK97" i="14"/>
  <c r="GJ97" i="14"/>
  <c r="GI97" i="14"/>
  <c r="GH97" i="14"/>
  <c r="GL95" i="14"/>
  <c r="GK95" i="14"/>
  <c r="GJ95" i="14"/>
  <c r="GI95" i="14"/>
  <c r="GH95" i="14"/>
  <c r="GL93" i="14"/>
  <c r="GK93" i="14"/>
  <c r="GJ93" i="14"/>
  <c r="GI93" i="14"/>
  <c r="GH93" i="14"/>
  <c r="GL92" i="14"/>
  <c r="GK92" i="14"/>
  <c r="GJ92" i="14"/>
  <c r="GI92" i="14"/>
  <c r="GH92" i="14"/>
  <c r="GL91" i="14"/>
  <c r="GK91" i="14"/>
  <c r="GJ91" i="14"/>
  <c r="GI91" i="14"/>
  <c r="GH91" i="14"/>
  <c r="GL90" i="14"/>
  <c r="GK90" i="14"/>
  <c r="GJ90" i="14"/>
  <c r="GI90" i="14"/>
  <c r="GH90" i="14"/>
  <c r="GL89" i="14"/>
  <c r="GK89" i="14"/>
  <c r="GJ89" i="14"/>
  <c r="GI89" i="14"/>
  <c r="GH89" i="14"/>
  <c r="GL88" i="14"/>
  <c r="GK88" i="14"/>
  <c r="GJ88" i="14"/>
  <c r="GI88" i="14"/>
  <c r="GH88" i="14"/>
  <c r="GL87" i="14"/>
  <c r="GK87" i="14"/>
  <c r="GJ87" i="14"/>
  <c r="GI87" i="14"/>
  <c r="GH87" i="14"/>
  <c r="GL86" i="14"/>
  <c r="GK86" i="14"/>
  <c r="GJ86" i="14"/>
  <c r="GI86" i="14"/>
  <c r="GH86" i="14"/>
  <c r="GL85" i="14"/>
  <c r="GK85" i="14"/>
  <c r="GJ85" i="14"/>
  <c r="GI85" i="14"/>
  <c r="GH85" i="14"/>
  <c r="GL84" i="14"/>
  <c r="GK84" i="14"/>
  <c r="GJ84" i="14"/>
  <c r="GI84" i="14"/>
  <c r="GH84" i="14"/>
  <c r="GL83" i="14"/>
  <c r="GK83" i="14"/>
  <c r="GJ83" i="14"/>
  <c r="GI83" i="14"/>
  <c r="GH83" i="14"/>
  <c r="GL82" i="14"/>
  <c r="GK82" i="14"/>
  <c r="GJ82" i="14"/>
  <c r="GI82" i="14"/>
  <c r="GH82" i="14"/>
  <c r="GL81" i="14"/>
  <c r="GK81" i="14"/>
  <c r="GJ81" i="14"/>
  <c r="GI81" i="14"/>
  <c r="GH81" i="14"/>
  <c r="GL79" i="14"/>
  <c r="GK79" i="14"/>
  <c r="GJ79" i="14"/>
  <c r="GI79" i="14"/>
  <c r="GH79" i="14"/>
  <c r="GL78" i="14"/>
  <c r="GK78" i="14"/>
  <c r="GJ78" i="14"/>
  <c r="GI78" i="14"/>
  <c r="GH78" i="14"/>
  <c r="GL74" i="14"/>
  <c r="GK74" i="14"/>
  <c r="GJ74" i="14"/>
  <c r="GI74" i="14"/>
  <c r="GH74" i="14"/>
  <c r="GL72" i="14"/>
  <c r="GK72" i="14"/>
  <c r="GJ72" i="14"/>
  <c r="GI72" i="14"/>
  <c r="GH72" i="14"/>
  <c r="GL71" i="14"/>
  <c r="GK71" i="14"/>
  <c r="GJ71" i="14"/>
  <c r="GI71" i="14"/>
  <c r="GH71" i="14"/>
  <c r="GL70" i="14"/>
  <c r="GK70" i="14"/>
  <c r="GJ70" i="14"/>
  <c r="GI70" i="14"/>
  <c r="GH70" i="14"/>
  <c r="GL69" i="14"/>
  <c r="GK69" i="14"/>
  <c r="GJ69" i="14"/>
  <c r="GI69" i="14"/>
  <c r="GH69" i="14"/>
  <c r="GL68" i="14"/>
  <c r="GK68" i="14"/>
  <c r="GJ68" i="14"/>
  <c r="GI68" i="14"/>
  <c r="GH68" i="14"/>
  <c r="GL67" i="14"/>
  <c r="GK67" i="14"/>
  <c r="GJ67" i="14"/>
  <c r="GI67" i="14"/>
  <c r="GH67" i="14"/>
  <c r="GL66" i="14"/>
  <c r="GK66" i="14"/>
  <c r="GJ66" i="14"/>
  <c r="GI66" i="14"/>
  <c r="GH66" i="14"/>
  <c r="GL64" i="14"/>
  <c r="GK64" i="14"/>
  <c r="GJ64" i="14"/>
  <c r="GI64" i="14"/>
  <c r="GH64" i="14"/>
  <c r="GL63" i="14"/>
  <c r="GK63" i="14"/>
  <c r="GJ63" i="14"/>
  <c r="GI63" i="14"/>
  <c r="GH63" i="14"/>
  <c r="GL62" i="14"/>
  <c r="GK62" i="14"/>
  <c r="GJ62" i="14"/>
  <c r="GI62" i="14"/>
  <c r="GH62" i="14"/>
  <c r="GL61" i="14"/>
  <c r="GK61" i="14"/>
  <c r="GJ61" i="14"/>
  <c r="GI61" i="14"/>
  <c r="GH61" i="14"/>
  <c r="GL59" i="14"/>
  <c r="GK59" i="14"/>
  <c r="GJ59" i="14"/>
  <c r="GI59" i="14"/>
  <c r="GH59" i="14"/>
  <c r="GL58" i="14"/>
  <c r="GK58" i="14"/>
  <c r="GJ58" i="14"/>
  <c r="GI58" i="14"/>
  <c r="GH58" i="14"/>
  <c r="GL57" i="14"/>
  <c r="GK57" i="14"/>
  <c r="GJ57" i="14"/>
  <c r="GI57" i="14"/>
  <c r="GH57" i="14"/>
  <c r="GL56" i="14"/>
  <c r="GK56" i="14"/>
  <c r="GJ56" i="14"/>
  <c r="GI56" i="14"/>
  <c r="GH56" i="14"/>
  <c r="GL55" i="14"/>
  <c r="GK55" i="14"/>
  <c r="GJ55" i="14"/>
  <c r="GI55" i="14"/>
  <c r="GH55" i="14"/>
  <c r="GL54" i="14"/>
  <c r="GK54" i="14"/>
  <c r="GJ54" i="14"/>
  <c r="GI54" i="14"/>
  <c r="GH54" i="14"/>
  <c r="GL53" i="14"/>
  <c r="GK53" i="14"/>
  <c r="GJ53" i="14"/>
  <c r="GI53" i="14"/>
  <c r="GH53" i="14"/>
  <c r="GL52" i="14"/>
  <c r="GK52" i="14"/>
  <c r="GJ52" i="14"/>
  <c r="GI52" i="14"/>
  <c r="GH52" i="14"/>
  <c r="C52" i="14"/>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C81" i="14" s="1"/>
  <c r="C82" i="14" s="1"/>
  <c r="C83" i="14" s="1"/>
  <c r="C84" i="14" s="1"/>
  <c r="C85" i="14" s="1"/>
  <c r="C86" i="14" s="1"/>
  <c r="C87" i="14" s="1"/>
  <c r="C88" i="14" s="1"/>
  <c r="C89" i="14" s="1"/>
  <c r="C90" i="14" s="1"/>
  <c r="C91" i="14" s="1"/>
  <c r="C92" i="14" s="1"/>
  <c r="C93" i="14" s="1"/>
  <c r="C94" i="14" s="1"/>
  <c r="C95" i="14" s="1"/>
  <c r="C96" i="14" s="1"/>
  <c r="C97" i="14" s="1"/>
  <c r="C98" i="14" s="1"/>
  <c r="C99" i="14" s="1"/>
  <c r="C100" i="14" s="1"/>
  <c r="C101" i="14" s="1"/>
  <c r="C102" i="14" s="1"/>
  <c r="C103" i="14" s="1"/>
  <c r="C104" i="14" s="1"/>
  <c r="C105" i="14" s="1"/>
  <c r="C106" i="14" s="1"/>
  <c r="C107" i="14" s="1"/>
  <c r="C108" i="14" s="1"/>
  <c r="C109" i="14" s="1"/>
  <c r="C110" i="14" s="1"/>
  <c r="C111" i="14" s="1"/>
  <c r="C112" i="14" s="1"/>
  <c r="C113" i="14" s="1"/>
  <c r="C114" i="14" s="1"/>
  <c r="C115" i="14" s="1"/>
  <c r="C116" i="14" s="1"/>
  <c r="C117" i="14" s="1"/>
  <c r="C118" i="14" s="1"/>
  <c r="C119" i="14" s="1"/>
  <c r="C120" i="14" s="1"/>
  <c r="C121" i="14" s="1"/>
  <c r="C122" i="14" s="1"/>
  <c r="C123" i="14" s="1"/>
  <c r="C124" i="14" s="1"/>
  <c r="C125" i="14" s="1"/>
  <c r="C126" i="14" s="1"/>
  <c r="C127" i="14" s="1"/>
  <c r="C128" i="14" s="1"/>
  <c r="C129" i="14" s="1"/>
  <c r="C130" i="14" s="1"/>
  <c r="C131" i="14" s="1"/>
  <c r="C132" i="14" s="1"/>
  <c r="C133" i="14" s="1"/>
  <c r="C134" i="14" s="1"/>
  <c r="C135" i="14" s="1"/>
  <c r="C136" i="14" s="1"/>
  <c r="C137" i="14" s="1"/>
  <c r="C138" i="14" s="1"/>
  <c r="C139" i="14" s="1"/>
  <c r="C140" i="14" s="1"/>
  <c r="C141" i="14" s="1"/>
  <c r="C142" i="14" s="1"/>
  <c r="C143" i="14" s="1"/>
  <c r="C144" i="14" s="1"/>
  <c r="C145" i="14" s="1"/>
  <c r="C146" i="14" s="1"/>
  <c r="C147" i="14" s="1"/>
  <c r="GL51" i="14"/>
  <c r="GK51" i="14"/>
  <c r="GJ51" i="14"/>
  <c r="GI51" i="14"/>
  <c r="GH51" i="14"/>
  <c r="GL48" i="14"/>
  <c r="GK48" i="14"/>
  <c r="GJ48" i="14"/>
  <c r="GI48" i="14"/>
  <c r="GH48" i="14"/>
  <c r="GL47" i="14"/>
  <c r="GK47" i="14"/>
  <c r="GJ47" i="14"/>
  <c r="GI47" i="14"/>
  <c r="GH47" i="14"/>
  <c r="GL46" i="14"/>
  <c r="GK46" i="14"/>
  <c r="GJ46" i="14"/>
  <c r="GI46" i="14"/>
  <c r="GH46" i="14"/>
  <c r="GL45" i="14"/>
  <c r="GK45" i="14"/>
  <c r="GJ45" i="14"/>
  <c r="GI45" i="14"/>
  <c r="GH45" i="14"/>
  <c r="GL44" i="14"/>
  <c r="GK44" i="14"/>
  <c r="GJ44" i="14"/>
  <c r="GI44" i="14"/>
  <c r="GH44" i="14"/>
  <c r="GL43" i="14"/>
  <c r="GK43" i="14"/>
  <c r="GJ43" i="14"/>
  <c r="GI43" i="14"/>
  <c r="GH43" i="14"/>
  <c r="GL42" i="14"/>
  <c r="GK42" i="14"/>
  <c r="GJ42" i="14"/>
  <c r="GI42" i="14"/>
  <c r="GH42" i="14"/>
  <c r="GL41" i="14"/>
  <c r="GK41" i="14"/>
  <c r="GJ41" i="14"/>
  <c r="GI41" i="14"/>
  <c r="GH41" i="14"/>
  <c r="GL40" i="14"/>
  <c r="GK40" i="14"/>
  <c r="GJ40" i="14"/>
  <c r="GI40" i="14"/>
  <c r="GH40" i="14"/>
  <c r="GL39" i="14"/>
  <c r="GK39" i="14"/>
  <c r="GJ39" i="14"/>
  <c r="GI39" i="14"/>
  <c r="GH39" i="14"/>
  <c r="GL38" i="14"/>
  <c r="GK38" i="14"/>
  <c r="GJ38" i="14"/>
  <c r="GI38" i="14"/>
  <c r="GH38" i="14"/>
  <c r="GL37" i="14"/>
  <c r="GK37" i="14"/>
  <c r="GJ37" i="14"/>
  <c r="GI37" i="14"/>
  <c r="GH37" i="14"/>
  <c r="GL36" i="14"/>
  <c r="GK36" i="14"/>
  <c r="GJ36" i="14"/>
  <c r="GI36" i="14"/>
  <c r="GH36" i="14"/>
  <c r="GL35" i="14"/>
  <c r="GK35" i="14"/>
  <c r="GJ35" i="14"/>
  <c r="GI35" i="14"/>
  <c r="GH35" i="14"/>
  <c r="GL34" i="14"/>
  <c r="GK34" i="14"/>
  <c r="GJ34" i="14"/>
  <c r="GI34" i="14"/>
  <c r="GH34" i="14"/>
  <c r="GL33" i="14"/>
  <c r="GK33" i="14"/>
  <c r="GJ33" i="14"/>
  <c r="GI33" i="14"/>
  <c r="GH33" i="14"/>
  <c r="GL32" i="14"/>
  <c r="GK32" i="14"/>
  <c r="GJ32" i="14"/>
  <c r="GI32" i="14"/>
  <c r="GH32" i="14"/>
  <c r="GL31" i="14"/>
  <c r="GK31" i="14"/>
  <c r="GJ31" i="14"/>
  <c r="GI31" i="14"/>
  <c r="GH31" i="14"/>
  <c r="GL30" i="14"/>
  <c r="GK30" i="14"/>
  <c r="GJ30" i="14"/>
  <c r="GI30" i="14"/>
  <c r="GH30" i="14"/>
  <c r="GL29" i="14"/>
  <c r="GK29" i="14"/>
  <c r="GJ29" i="14"/>
  <c r="GI29" i="14"/>
  <c r="GH29" i="14"/>
  <c r="GL28" i="14"/>
  <c r="GK28" i="14"/>
  <c r="GJ28" i="14"/>
  <c r="GI28" i="14"/>
  <c r="GH28" i="14"/>
  <c r="GL27" i="14"/>
  <c r="GK27" i="14"/>
  <c r="GJ27" i="14"/>
  <c r="GI27" i="14"/>
  <c r="GH27" i="14"/>
  <c r="GL26" i="14"/>
  <c r="GK26" i="14"/>
  <c r="GJ26" i="14"/>
  <c r="GI26" i="14"/>
  <c r="GH26" i="14"/>
  <c r="GL25" i="14"/>
  <c r="GK25" i="14"/>
  <c r="GJ25" i="14"/>
  <c r="GI25" i="14"/>
  <c r="GH25" i="14"/>
  <c r="GL24" i="14"/>
  <c r="GK24" i="14"/>
  <c r="GJ24" i="14"/>
  <c r="GI24" i="14"/>
  <c r="GH24" i="14"/>
  <c r="GL23" i="14"/>
  <c r="GK23" i="14"/>
  <c r="GJ23" i="14"/>
  <c r="GI23" i="14"/>
  <c r="GH23" i="14"/>
  <c r="GL22" i="14"/>
  <c r="GK22" i="14"/>
  <c r="GJ22" i="14"/>
  <c r="GI22" i="14"/>
  <c r="GH22" i="14"/>
  <c r="GL21" i="14"/>
  <c r="GK21" i="14"/>
  <c r="GJ21" i="14"/>
  <c r="GI21" i="14"/>
  <c r="GH21" i="14"/>
  <c r="GL20" i="14"/>
  <c r="GK20" i="14"/>
  <c r="GJ20" i="14"/>
  <c r="GI20" i="14"/>
  <c r="GH20" i="14"/>
  <c r="GL19" i="14"/>
  <c r="GK19" i="14"/>
  <c r="GJ19" i="14"/>
  <c r="GI19" i="14"/>
  <c r="GH19" i="14"/>
  <c r="GL18" i="14"/>
  <c r="GK18" i="14"/>
  <c r="GJ18" i="14"/>
  <c r="GI18" i="14"/>
  <c r="GH18" i="14"/>
  <c r="GL17" i="14"/>
  <c r="GK17" i="14"/>
  <c r="GJ17" i="14"/>
  <c r="GI17" i="14"/>
  <c r="GH17" i="14"/>
  <c r="GL16" i="14"/>
  <c r="GK16" i="14"/>
  <c r="GJ16" i="14"/>
  <c r="GI16" i="14"/>
  <c r="GH16" i="14"/>
  <c r="GL15" i="14"/>
  <c r="GK15" i="14"/>
  <c r="GJ15" i="14"/>
  <c r="GI15" i="14"/>
  <c r="GH15" i="14"/>
  <c r="GL14" i="14"/>
  <c r="GK14" i="14"/>
  <c r="GJ14" i="14"/>
  <c r="GI14" i="14"/>
  <c r="GH14" i="14"/>
  <c r="GL13" i="14"/>
  <c r="GK13" i="14"/>
  <c r="GJ13" i="14"/>
  <c r="GI13" i="14"/>
  <c r="GH13" i="14"/>
  <c r="GL12" i="14"/>
  <c r="GK12" i="14"/>
  <c r="GJ12" i="14"/>
  <c r="GI12" i="14"/>
  <c r="GH12" i="14"/>
  <c r="GL11" i="14"/>
  <c r="GK11" i="14"/>
  <c r="GJ11" i="14"/>
  <c r="GI11" i="14"/>
  <c r="GH11" i="14"/>
  <c r="GL10" i="14"/>
  <c r="GK10" i="14"/>
  <c r="GJ10" i="14"/>
  <c r="GI10" i="14"/>
  <c r="GH10" i="14"/>
  <c r="GL9" i="14"/>
  <c r="GK9" i="14"/>
  <c r="GJ9" i="14"/>
  <c r="GI9" i="14"/>
  <c r="GH9" i="14"/>
  <c r="GL8" i="14"/>
  <c r="GK8" i="14"/>
  <c r="GJ8" i="14"/>
  <c r="GI8" i="14"/>
  <c r="GH8" i="14"/>
  <c r="GL7" i="14"/>
  <c r="GK7" i="14"/>
  <c r="GJ7" i="14"/>
  <c r="GI7" i="14"/>
  <c r="GH7" i="14"/>
  <c r="GL6" i="14"/>
  <c r="GK6" i="14"/>
  <c r="GJ6" i="14"/>
  <c r="GI6" i="14"/>
  <c r="GH6" i="14"/>
  <c r="GL5" i="14"/>
  <c r="GK5" i="14"/>
  <c r="GJ5" i="14"/>
  <c r="GI5" i="14"/>
  <c r="GH5" i="14"/>
  <c r="GL4" i="14"/>
  <c r="GK4" i="14"/>
  <c r="GJ4" i="14"/>
  <c r="GI4" i="14"/>
  <c r="GH4" i="14"/>
  <c r="GL3" i="14"/>
  <c r="GK3" i="14"/>
  <c r="GJ3" i="14"/>
  <c r="GI3" i="14"/>
  <c r="GH3" i="14"/>
  <c r="C3" i="14"/>
  <c r="C4" i="14" s="1"/>
  <c r="C5" i="14" s="1"/>
  <c r="C6" i="14" s="1"/>
  <c r="C7" i="14" s="1"/>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C36" i="14" s="1"/>
  <c r="C37" i="14" s="1"/>
  <c r="C38" i="14" s="1"/>
  <c r="C39" i="14" s="1"/>
  <c r="C40" i="14" s="1"/>
  <c r="C41" i="14" s="1"/>
  <c r="C42" i="14" s="1"/>
  <c r="C43" i="14" s="1"/>
  <c r="C44" i="14" s="1"/>
  <c r="C45" i="14" s="1"/>
  <c r="C46" i="14" s="1"/>
  <c r="C47" i="14" s="1"/>
  <c r="C48" i="14" s="1"/>
  <c r="GL2" i="14"/>
  <c r="GK2" i="14"/>
  <c r="GJ2" i="14"/>
  <c r="GI2" i="14"/>
  <c r="GH2" i="14"/>
  <c r="G137" i="12"/>
  <c r="G136" i="12"/>
  <c r="G135" i="12"/>
  <c r="G134" i="12"/>
  <c r="G133" i="12"/>
  <c r="G132" i="12"/>
  <c r="G131" i="12"/>
  <c r="G130" i="12"/>
  <c r="G129" i="12"/>
  <c r="G128" i="12"/>
  <c r="G127" i="12"/>
  <c r="G126" i="12"/>
  <c r="G125" i="12"/>
  <c r="G124" i="12"/>
  <c r="G123" i="12"/>
  <c r="G122" i="12"/>
  <c r="G121" i="12"/>
  <c r="G120" i="12"/>
  <c r="G119" i="12"/>
  <c r="G118" i="12"/>
  <c r="G117" i="12"/>
  <c r="G116" i="12"/>
  <c r="G115" i="12"/>
  <c r="G114" i="12"/>
  <c r="G113" i="12"/>
  <c r="G112" i="12"/>
  <c r="G111" i="12"/>
  <c r="G110" i="12"/>
  <c r="G109" i="12"/>
  <c r="G108" i="12"/>
  <c r="G107" i="12"/>
  <c r="G106" i="12"/>
  <c r="G105" i="12"/>
  <c r="G104" i="12"/>
  <c r="G103" i="12"/>
  <c r="G102" i="12"/>
  <c r="G101" i="12"/>
  <c r="G100" i="12"/>
  <c r="G99" i="12"/>
  <c r="G98" i="12"/>
  <c r="G97" i="12"/>
  <c r="G96" i="12"/>
  <c r="G95" i="12"/>
  <c r="G94" i="12"/>
  <c r="G93" i="12"/>
  <c r="G92" i="12"/>
  <c r="G91" i="12"/>
  <c r="G90" i="12"/>
  <c r="G89" i="12"/>
  <c r="G88" i="12"/>
  <c r="G87" i="12"/>
  <c r="G86" i="12"/>
  <c r="G85" i="12"/>
  <c r="G84" i="12"/>
  <c r="G83" i="12"/>
  <c r="G82" i="12"/>
  <c r="G81" i="12"/>
  <c r="G80" i="12"/>
  <c r="G79" i="12"/>
  <c r="G78" i="12"/>
  <c r="G77" i="12"/>
  <c r="G76" i="12"/>
  <c r="G75" i="12"/>
  <c r="G74" i="12"/>
  <c r="G73" i="12"/>
  <c r="G72" i="12"/>
  <c r="G71" i="12"/>
  <c r="G70" i="12"/>
  <c r="G69" i="12"/>
  <c r="G68" i="12"/>
  <c r="G67" i="12"/>
  <c r="G66" i="12"/>
  <c r="G65" i="12"/>
  <c r="G64" i="12"/>
  <c r="G63" i="12"/>
  <c r="G62" i="12"/>
  <c r="G61" i="12"/>
  <c r="G60" i="12"/>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G10" i="12"/>
  <c r="G9" i="12"/>
  <c r="G8" i="12"/>
  <c r="G7" i="12"/>
  <c r="G6" i="12"/>
  <c r="G5" i="12"/>
  <c r="G4" i="12"/>
  <c r="G3" i="12"/>
  <c r="H181" i="8"/>
  <c r="G181" i="8"/>
  <c r="H180" i="8"/>
  <c r="G180" i="8"/>
  <c r="H172" i="8"/>
  <c r="G172" i="8"/>
  <c r="H171" i="8"/>
  <c r="G171" i="8"/>
  <c r="H154" i="8"/>
  <c r="G154" i="8"/>
  <c r="H153" i="8"/>
  <c r="G153" i="8"/>
  <c r="H150" i="8"/>
  <c r="G150" i="8"/>
  <c r="H149" i="8"/>
  <c r="G149" i="8"/>
  <c r="H86" i="8"/>
  <c r="G86" i="8"/>
  <c r="H85" i="8"/>
  <c r="G85" i="8"/>
  <c r="H75" i="8"/>
  <c r="G75" i="8"/>
  <c r="H74" i="8"/>
  <c r="G74" i="8"/>
  <c r="H30" i="8"/>
  <c r="G30" i="8"/>
  <c r="H29" i="8"/>
  <c r="G29" i="8"/>
  <c r="H14" i="8"/>
  <c r="G14" i="8"/>
  <c r="H13" i="8"/>
  <c r="G13" i="8"/>
  <c r="K252" i="7"/>
  <c r="K250" i="7"/>
  <c r="K249" i="7"/>
  <c r="K251" i="7" s="1"/>
  <c r="GE138" i="4"/>
  <c r="GJ94" i="4"/>
  <c r="GK94" i="4" s="1"/>
  <c r="GD184" i="3"/>
  <c r="GC184" i="3"/>
  <c r="GB184" i="3"/>
  <c r="GA184" i="3"/>
  <c r="FZ184" i="3"/>
  <c r="FY184" i="3"/>
  <c r="FX184" i="3"/>
  <c r="FW184" i="3"/>
  <c r="FV184" i="3"/>
  <c r="FU184" i="3"/>
  <c r="FT184" i="3"/>
  <c r="FS184" i="3"/>
  <c r="FR184" i="3"/>
  <c r="FQ184" i="3"/>
  <c r="FP184" i="3"/>
  <c r="FO184" i="3"/>
  <c r="FN184" i="3"/>
  <c r="FM184" i="3"/>
  <c r="FL184" i="3"/>
  <c r="FK184" i="3"/>
  <c r="FJ184" i="3"/>
  <c r="FI184" i="3"/>
  <c r="FH184" i="3"/>
  <c r="FG184" i="3"/>
  <c r="FF184" i="3"/>
  <c r="FE184" i="3"/>
  <c r="FD184" i="3"/>
  <c r="FC184" i="3"/>
  <c r="FB184" i="3"/>
  <c r="FA184" i="3"/>
  <c r="EZ184" i="3"/>
  <c r="EY184" i="3"/>
  <c r="EX184" i="3"/>
  <c r="EW184" i="3"/>
  <c r="EV184" i="3"/>
  <c r="EU184" i="3"/>
  <c r="ET184" i="3"/>
  <c r="ES184" i="3"/>
  <c r="ER184" i="3"/>
  <c r="EQ184" i="3"/>
  <c r="EP184" i="3"/>
  <c r="EO184" i="3"/>
  <c r="EN184" i="3"/>
  <c r="EM184" i="3"/>
  <c r="EL184" i="3"/>
  <c r="EK184" i="3"/>
  <c r="EJ184" i="3"/>
  <c r="EI184" i="3"/>
  <c r="EH184" i="3"/>
  <c r="EG184" i="3"/>
  <c r="EF184" i="3"/>
  <c r="EE184" i="3"/>
  <c r="ED184" i="3"/>
  <c r="EC184" i="3"/>
  <c r="EB184" i="3"/>
  <c r="EA184" i="3"/>
  <c r="DZ184" i="3"/>
  <c r="DY184" i="3"/>
  <c r="DX184" i="3"/>
  <c r="DW184" i="3"/>
  <c r="DV184" i="3"/>
  <c r="DU184" i="3"/>
  <c r="DT184" i="3"/>
  <c r="DS184" i="3"/>
  <c r="DR184" i="3"/>
  <c r="DQ184" i="3"/>
  <c r="DP184" i="3"/>
  <c r="DO184" i="3"/>
  <c r="DN184" i="3"/>
  <c r="DM184" i="3"/>
  <c r="DL184" i="3"/>
  <c r="DK184" i="3"/>
  <c r="DJ184" i="3"/>
  <c r="DI184" i="3"/>
  <c r="DH184" i="3"/>
  <c r="DG184" i="3"/>
  <c r="DF184" i="3"/>
  <c r="DE184" i="3"/>
  <c r="DD184" i="3"/>
  <c r="DC184" i="3"/>
  <c r="DB184" i="3"/>
  <c r="DA184" i="3"/>
  <c r="CZ184" i="3"/>
  <c r="CY184" i="3"/>
  <c r="CX184" i="3"/>
  <c r="CW184" i="3"/>
  <c r="CV184" i="3"/>
  <c r="CU184" i="3"/>
  <c r="CT184" i="3"/>
  <c r="CS184" i="3"/>
  <c r="CR184" i="3"/>
  <c r="CQ184" i="3"/>
  <c r="CP184" i="3"/>
  <c r="CO184" i="3"/>
  <c r="CN184" i="3"/>
  <c r="CM184" i="3"/>
  <c r="CL184" i="3"/>
  <c r="CK184" i="3"/>
  <c r="CJ184" i="3"/>
  <c r="CI184" i="3"/>
  <c r="CH184" i="3"/>
  <c r="CG184" i="3"/>
  <c r="CF184" i="3"/>
  <c r="CE184" i="3"/>
  <c r="CD184" i="3"/>
  <c r="CC184" i="3"/>
  <c r="CB184" i="3"/>
  <c r="CA184" i="3"/>
  <c r="BZ184" i="3"/>
  <c r="BY184" i="3"/>
  <c r="BX184" i="3"/>
  <c r="BW184" i="3"/>
  <c r="BV184" i="3"/>
  <c r="BU184" i="3"/>
  <c r="BT184" i="3"/>
  <c r="BS184" i="3"/>
  <c r="BR184" i="3"/>
  <c r="BQ184" i="3"/>
  <c r="BP184" i="3"/>
  <c r="BO184" i="3"/>
  <c r="BN184" i="3"/>
  <c r="BM184" i="3"/>
  <c r="BL184" i="3"/>
  <c r="BK184" i="3"/>
  <c r="BJ184" i="3"/>
  <c r="BI184" i="3"/>
  <c r="BH184" i="3"/>
  <c r="BG184" i="3"/>
  <c r="BF184" i="3"/>
  <c r="BE184" i="3"/>
  <c r="BD184" i="3"/>
  <c r="BC184" i="3"/>
  <c r="BB184" i="3"/>
  <c r="BA184" i="3"/>
  <c r="AZ184" i="3"/>
  <c r="AY184" i="3"/>
  <c r="AX184" i="3"/>
  <c r="AW184" i="3"/>
  <c r="AV184" i="3"/>
  <c r="AU184" i="3"/>
  <c r="AT184" i="3"/>
  <c r="AS184" i="3"/>
  <c r="AR184" i="3"/>
  <c r="AQ184" i="3"/>
  <c r="AP184" i="3"/>
  <c r="AO184" i="3"/>
  <c r="AN184" i="3"/>
  <c r="AM184" i="3"/>
  <c r="AL184" i="3"/>
  <c r="AK184" i="3"/>
  <c r="AJ184" i="3"/>
  <c r="AI184" i="3"/>
  <c r="AH184" i="3"/>
  <c r="AG184" i="3"/>
  <c r="AF184" i="3"/>
  <c r="AE184" i="3"/>
  <c r="AD184" i="3"/>
  <c r="AC184" i="3"/>
  <c r="AB184" i="3"/>
  <c r="AA184" i="3"/>
  <c r="Z184" i="3"/>
  <c r="Y184" i="3"/>
  <c r="X184" i="3"/>
  <c r="W184" i="3"/>
  <c r="V184" i="3"/>
  <c r="U184" i="3"/>
  <c r="T184" i="3"/>
  <c r="S184" i="3"/>
  <c r="R184" i="3"/>
  <c r="Q184" i="3"/>
  <c r="L184" i="3"/>
  <c r="GD183" i="3"/>
  <c r="GC183" i="3"/>
  <c r="GB183" i="3"/>
  <c r="GA183" i="3"/>
  <c r="FZ183" i="3"/>
  <c r="FY183" i="3"/>
  <c r="FX183" i="3"/>
  <c r="FW183" i="3"/>
  <c r="FV183" i="3"/>
  <c r="FU183" i="3"/>
  <c r="FT183" i="3"/>
  <c r="FS183" i="3"/>
  <c r="FR183" i="3"/>
  <c r="FQ183" i="3"/>
  <c r="FP183" i="3"/>
  <c r="FO183" i="3"/>
  <c r="FN183" i="3"/>
  <c r="FM183" i="3"/>
  <c r="FL183" i="3"/>
  <c r="FK183" i="3"/>
  <c r="FJ183" i="3"/>
  <c r="FI183" i="3"/>
  <c r="FH183" i="3"/>
  <c r="FG183" i="3"/>
  <c r="FF183" i="3"/>
  <c r="FE183" i="3"/>
  <c r="FD183" i="3"/>
  <c r="FC183" i="3"/>
  <c r="FB183" i="3"/>
  <c r="FA183" i="3"/>
  <c r="EZ183" i="3"/>
  <c r="EY183" i="3"/>
  <c r="EX183" i="3"/>
  <c r="EW183" i="3"/>
  <c r="EV183" i="3"/>
  <c r="EU183" i="3"/>
  <c r="ET183" i="3"/>
  <c r="ES183" i="3"/>
  <c r="ER183" i="3"/>
  <c r="EQ183" i="3"/>
  <c r="EP183" i="3"/>
  <c r="EO183" i="3"/>
  <c r="EN183" i="3"/>
  <c r="EM183" i="3"/>
  <c r="EL183" i="3"/>
  <c r="EK183" i="3"/>
  <c r="EJ183" i="3"/>
  <c r="EI183" i="3"/>
  <c r="EH183" i="3"/>
  <c r="EG183" i="3"/>
  <c r="EF183" i="3"/>
  <c r="EE183" i="3"/>
  <c r="ED183" i="3"/>
  <c r="EC183" i="3"/>
  <c r="EB183" i="3"/>
  <c r="EA183" i="3"/>
  <c r="DZ183" i="3"/>
  <c r="DY183" i="3"/>
  <c r="DX183" i="3"/>
  <c r="DW183" i="3"/>
  <c r="DV183" i="3"/>
  <c r="DU183" i="3"/>
  <c r="DT183" i="3"/>
  <c r="DS183" i="3"/>
  <c r="DR183" i="3"/>
  <c r="DQ183" i="3"/>
  <c r="DP183" i="3"/>
  <c r="DO183" i="3"/>
  <c r="DN183" i="3"/>
  <c r="DM183" i="3"/>
  <c r="DL183" i="3"/>
  <c r="DK183" i="3"/>
  <c r="DJ183" i="3"/>
  <c r="DI183" i="3"/>
  <c r="DH183" i="3"/>
  <c r="DG183" i="3"/>
  <c r="DF183" i="3"/>
  <c r="DE183" i="3"/>
  <c r="DD183" i="3"/>
  <c r="DC183" i="3"/>
  <c r="DB183" i="3"/>
  <c r="DA183" i="3"/>
  <c r="CZ183" i="3"/>
  <c r="CY183" i="3"/>
  <c r="CX183" i="3"/>
  <c r="CW183" i="3"/>
  <c r="CV183" i="3"/>
  <c r="CU183" i="3"/>
  <c r="CT183" i="3"/>
  <c r="CS183" i="3"/>
  <c r="CR183" i="3"/>
  <c r="CQ183" i="3"/>
  <c r="CP183" i="3"/>
  <c r="CO183" i="3"/>
  <c r="CN183" i="3"/>
  <c r="CM183" i="3"/>
  <c r="CL183" i="3"/>
  <c r="CK183" i="3"/>
  <c r="CJ183" i="3"/>
  <c r="CI183" i="3"/>
  <c r="CH183" i="3"/>
  <c r="CG183" i="3"/>
  <c r="CF183" i="3"/>
  <c r="CE183" i="3"/>
  <c r="CD183" i="3"/>
  <c r="CC183" i="3"/>
  <c r="CB183" i="3"/>
  <c r="CA183" i="3"/>
  <c r="BZ183" i="3"/>
  <c r="BY183" i="3"/>
  <c r="BX183" i="3"/>
  <c r="BW183" i="3"/>
  <c r="BV183" i="3"/>
  <c r="BU183" i="3"/>
  <c r="BT183" i="3"/>
  <c r="BS183" i="3"/>
  <c r="BR183" i="3"/>
  <c r="BQ183" i="3"/>
  <c r="BP183" i="3"/>
  <c r="BO183" i="3"/>
  <c r="BN183" i="3"/>
  <c r="BM183" i="3"/>
  <c r="BL183" i="3"/>
  <c r="BK183" i="3"/>
  <c r="BJ183" i="3"/>
  <c r="BI183" i="3"/>
  <c r="BH183" i="3"/>
  <c r="BG183" i="3"/>
  <c r="BF183" i="3"/>
  <c r="BE183" i="3"/>
  <c r="BD183" i="3"/>
  <c r="BC183" i="3"/>
  <c r="BB183" i="3"/>
  <c r="BA183" i="3"/>
  <c r="AZ183" i="3"/>
  <c r="AY183" i="3"/>
  <c r="AX183" i="3"/>
  <c r="AW183" i="3"/>
  <c r="AV183" i="3"/>
  <c r="AU183" i="3"/>
  <c r="AT183" i="3"/>
  <c r="AS183" i="3"/>
  <c r="AR183" i="3"/>
  <c r="AQ183" i="3"/>
  <c r="AP183" i="3"/>
  <c r="AO183" i="3"/>
  <c r="AN183" i="3"/>
  <c r="AM183" i="3"/>
  <c r="AL183" i="3"/>
  <c r="AK183" i="3"/>
  <c r="AJ183" i="3"/>
  <c r="AI183" i="3"/>
  <c r="AH183" i="3"/>
  <c r="AG183" i="3"/>
  <c r="AF183" i="3"/>
  <c r="AE183" i="3"/>
  <c r="AD183" i="3"/>
  <c r="AC183" i="3"/>
  <c r="AB183" i="3"/>
  <c r="AA183" i="3"/>
  <c r="Z183" i="3"/>
  <c r="Y183" i="3"/>
  <c r="X183" i="3"/>
  <c r="W183" i="3"/>
  <c r="V183" i="3"/>
  <c r="U183" i="3"/>
  <c r="T183" i="3"/>
  <c r="S183" i="3"/>
  <c r="R183" i="3"/>
  <c r="Q183" i="3"/>
  <c r="GK181" i="3"/>
  <c r="GJ181" i="3"/>
  <c r="GI181" i="3"/>
  <c r="GH181" i="3" s="1"/>
  <c r="GG181" i="3"/>
  <c r="GF181" i="3"/>
  <c r="GE181" i="3"/>
  <c r="GJ180" i="3"/>
  <c r="GK180" i="3" s="1"/>
  <c r="GI180" i="3"/>
  <c r="GH180" i="3" s="1"/>
  <c r="GG180" i="3"/>
  <c r="GF180" i="3"/>
  <c r="GE180" i="3"/>
  <c r="GJ179" i="3"/>
  <c r="GI179" i="3"/>
  <c r="GK179" i="3" s="1"/>
  <c r="GH179" i="3"/>
  <c r="GG179" i="3"/>
  <c r="GF179" i="3"/>
  <c r="GE179" i="3"/>
  <c r="GK178" i="3"/>
  <c r="GJ178" i="3"/>
  <c r="GI178" i="3"/>
  <c r="GH178" i="3"/>
  <c r="GG178" i="3"/>
  <c r="GF178" i="3"/>
  <c r="GE178" i="3"/>
  <c r="GK177" i="3"/>
  <c r="GJ177" i="3"/>
  <c r="GI177" i="3"/>
  <c r="GH177" i="3" s="1"/>
  <c r="GG177" i="3"/>
  <c r="GF177" i="3"/>
  <c r="GE177" i="3"/>
  <c r="GK176" i="3"/>
  <c r="GJ176" i="3"/>
  <c r="GI176" i="3"/>
  <c r="GH176" i="3" s="1"/>
  <c r="GG176" i="3"/>
  <c r="GF176" i="3"/>
  <c r="GE176" i="3"/>
  <c r="GJ175" i="3"/>
  <c r="GK175" i="3" s="1"/>
  <c r="GI175" i="3"/>
  <c r="GH175" i="3"/>
  <c r="GG175" i="3"/>
  <c r="GF175" i="3"/>
  <c r="GE175" i="3"/>
  <c r="GJ174" i="3"/>
  <c r="GK174" i="3" s="1"/>
  <c r="GI174" i="3"/>
  <c r="GH174" i="3" s="1"/>
  <c r="GG174" i="3"/>
  <c r="GF174" i="3"/>
  <c r="GE174" i="3"/>
  <c r="GJ173" i="3"/>
  <c r="GI173" i="3"/>
  <c r="GK173" i="3" s="1"/>
  <c r="GH173" i="3"/>
  <c r="GG173" i="3"/>
  <c r="GF173" i="3"/>
  <c r="GE173" i="3"/>
  <c r="GK172" i="3"/>
  <c r="GJ172" i="3"/>
  <c r="GI172" i="3"/>
  <c r="GH172" i="3"/>
  <c r="GG172" i="3"/>
  <c r="GF172" i="3"/>
  <c r="GE172" i="3"/>
  <c r="GJ171" i="3"/>
  <c r="GK171" i="3" s="1"/>
  <c r="GI171" i="3"/>
  <c r="GH171" i="3" s="1"/>
  <c r="GG171" i="3"/>
  <c r="GF171" i="3"/>
  <c r="GE171" i="3"/>
  <c r="GJ170" i="3"/>
  <c r="GK170" i="3" s="1"/>
  <c r="GI170" i="3"/>
  <c r="GH170" i="3" s="1"/>
  <c r="GG170" i="3"/>
  <c r="GF170" i="3"/>
  <c r="GE170" i="3"/>
  <c r="GJ169" i="3"/>
  <c r="GK169" i="3" s="1"/>
  <c r="GI169" i="3"/>
  <c r="GH169" i="3"/>
  <c r="GG169" i="3"/>
  <c r="GF169" i="3"/>
  <c r="GE169" i="3"/>
  <c r="GK168" i="3"/>
  <c r="GJ168" i="3"/>
  <c r="GI168" i="3"/>
  <c r="GH168" i="3"/>
  <c r="GG168" i="3"/>
  <c r="GF168" i="3"/>
  <c r="GE168" i="3"/>
  <c r="GJ167" i="3"/>
  <c r="GK167" i="3" s="1"/>
  <c r="GI167" i="3"/>
  <c r="GH167" i="3"/>
  <c r="GG167" i="3"/>
  <c r="GF167" i="3"/>
  <c r="GE167" i="3"/>
  <c r="GJ166" i="3"/>
  <c r="GK166" i="3" s="1"/>
  <c r="GI166" i="3"/>
  <c r="GH166" i="3" s="1"/>
  <c r="GG166" i="3"/>
  <c r="GF166" i="3"/>
  <c r="GE166" i="3"/>
  <c r="GJ165" i="3"/>
  <c r="GI165" i="3"/>
  <c r="GK165" i="3" s="1"/>
  <c r="GH165" i="3"/>
  <c r="GG165" i="3"/>
  <c r="GF165" i="3"/>
  <c r="GE165" i="3"/>
  <c r="GK164" i="3"/>
  <c r="GJ164" i="3"/>
  <c r="GI164" i="3"/>
  <c r="GH164" i="3"/>
  <c r="GG164" i="3"/>
  <c r="GF164" i="3"/>
  <c r="GE164" i="3"/>
  <c r="GJ163" i="3"/>
  <c r="GK163" i="3" s="1"/>
  <c r="GI163" i="3"/>
  <c r="GH163" i="3" s="1"/>
  <c r="GG163" i="3"/>
  <c r="GF163" i="3"/>
  <c r="GE163" i="3"/>
  <c r="GJ162" i="3"/>
  <c r="GK162" i="3" s="1"/>
  <c r="GI162" i="3"/>
  <c r="GH162" i="3" s="1"/>
  <c r="GG162" i="3"/>
  <c r="GF162" i="3"/>
  <c r="GE162" i="3"/>
  <c r="GJ161" i="3"/>
  <c r="GK161" i="3" s="1"/>
  <c r="GI161" i="3"/>
  <c r="GH161" i="3"/>
  <c r="GG161" i="3"/>
  <c r="GF161" i="3"/>
  <c r="GE161" i="3"/>
  <c r="GK160" i="3"/>
  <c r="GJ160" i="3"/>
  <c r="GI160" i="3"/>
  <c r="GH160" i="3"/>
  <c r="GG160" i="3"/>
  <c r="GF160" i="3"/>
  <c r="GE160" i="3"/>
  <c r="GJ159" i="3"/>
  <c r="GK159" i="3" s="1"/>
  <c r="GI159" i="3"/>
  <c r="GH159" i="3"/>
  <c r="GG159" i="3"/>
  <c r="GF159" i="3"/>
  <c r="GE159" i="3"/>
  <c r="GJ158" i="3"/>
  <c r="GK158" i="3" s="1"/>
  <c r="GI158" i="3"/>
  <c r="GH158" i="3" s="1"/>
  <c r="GG158" i="3"/>
  <c r="GF158" i="3"/>
  <c r="GE158" i="3"/>
  <c r="GJ157" i="3"/>
  <c r="GI157" i="3"/>
  <c r="GK157" i="3" s="1"/>
  <c r="GH157" i="3"/>
  <c r="GG157" i="3"/>
  <c r="GF157" i="3"/>
  <c r="GE157" i="3"/>
  <c r="GK156" i="3"/>
  <c r="GJ156" i="3"/>
  <c r="GI156" i="3"/>
  <c r="GH156" i="3"/>
  <c r="GG156" i="3"/>
  <c r="GF156" i="3"/>
  <c r="GE156" i="3"/>
  <c r="GJ155" i="3"/>
  <c r="GK155" i="3" s="1"/>
  <c r="GI155" i="3"/>
  <c r="GH155" i="3" s="1"/>
  <c r="GG155" i="3"/>
  <c r="GF155" i="3"/>
  <c r="GE155" i="3"/>
  <c r="GJ154" i="3"/>
  <c r="GK154" i="3" s="1"/>
  <c r="GI154" i="3"/>
  <c r="GH154" i="3" s="1"/>
  <c r="GG154" i="3"/>
  <c r="GF154" i="3"/>
  <c r="GE154" i="3"/>
  <c r="GJ153" i="3"/>
  <c r="GK153" i="3" s="1"/>
  <c r="GI153" i="3"/>
  <c r="GH153" i="3"/>
  <c r="GG153" i="3"/>
  <c r="GF153" i="3"/>
  <c r="GE153" i="3"/>
  <c r="GK152" i="3"/>
  <c r="GJ152" i="3"/>
  <c r="GI152" i="3"/>
  <c r="GH152" i="3"/>
  <c r="GG152" i="3"/>
  <c r="GF152" i="3"/>
  <c r="GE152" i="3"/>
  <c r="GJ151" i="3"/>
  <c r="GK151" i="3" s="1"/>
  <c r="GI151" i="3"/>
  <c r="GH151" i="3"/>
  <c r="GG151" i="3"/>
  <c r="GF151" i="3"/>
  <c r="GE151" i="3"/>
  <c r="GJ150" i="3"/>
  <c r="GK150" i="3" s="1"/>
  <c r="GI150" i="3"/>
  <c r="GH150" i="3" s="1"/>
  <c r="GG150" i="3"/>
  <c r="GF150" i="3"/>
  <c r="GE150" i="3"/>
  <c r="GJ149" i="3"/>
  <c r="GI149" i="3"/>
  <c r="GK149" i="3" s="1"/>
  <c r="GH149" i="3"/>
  <c r="GG149" i="3"/>
  <c r="GF149" i="3"/>
  <c r="GE149" i="3"/>
  <c r="GK148" i="3"/>
  <c r="GJ148" i="3"/>
  <c r="GI148" i="3"/>
  <c r="GH148" i="3"/>
  <c r="GG148" i="3"/>
  <c r="GF148" i="3"/>
  <c r="GE148" i="3"/>
  <c r="GJ147" i="3"/>
  <c r="GK147" i="3" s="1"/>
  <c r="GI147" i="3"/>
  <c r="GH147" i="3" s="1"/>
  <c r="GG147" i="3"/>
  <c r="GF147" i="3"/>
  <c r="GE147" i="3"/>
  <c r="GJ146" i="3"/>
  <c r="GK146" i="3" s="1"/>
  <c r="GI146" i="3"/>
  <c r="GH146" i="3" s="1"/>
  <c r="GG146" i="3"/>
  <c r="GF146" i="3"/>
  <c r="GE146" i="3"/>
  <c r="GJ145" i="3"/>
  <c r="GK145" i="3" s="1"/>
  <c r="GI145" i="3"/>
  <c r="GH145" i="3"/>
  <c r="GG145" i="3"/>
  <c r="GF145" i="3"/>
  <c r="GE145" i="3"/>
  <c r="GK144" i="3"/>
  <c r="GJ144" i="3"/>
  <c r="GI144" i="3"/>
  <c r="GH144" i="3"/>
  <c r="GG144" i="3"/>
  <c r="GF144" i="3"/>
  <c r="GE144" i="3"/>
  <c r="GJ143" i="3"/>
  <c r="GK143" i="3" s="1"/>
  <c r="GI143" i="3"/>
  <c r="GH143" i="3"/>
  <c r="GG143" i="3"/>
  <c r="GF143" i="3"/>
  <c r="GE143" i="3"/>
  <c r="GJ142" i="3"/>
  <c r="GK142" i="3" s="1"/>
  <c r="GI142" i="3"/>
  <c r="GH142" i="3" s="1"/>
  <c r="GG142" i="3"/>
  <c r="GF142" i="3"/>
  <c r="GE142" i="3"/>
  <c r="GJ141" i="3"/>
  <c r="GI141" i="3"/>
  <c r="GK141" i="3" s="1"/>
  <c r="GH141" i="3"/>
  <c r="GG141" i="3"/>
  <c r="GF141" i="3"/>
  <c r="GE141" i="3"/>
  <c r="GK140" i="3"/>
  <c r="GJ140" i="3"/>
  <c r="GI140" i="3"/>
  <c r="GH140" i="3"/>
  <c r="GG140" i="3"/>
  <c r="GF140" i="3"/>
  <c r="GE140" i="3"/>
  <c r="GK139" i="3"/>
  <c r="GJ139" i="3"/>
  <c r="GI139" i="3"/>
  <c r="GH139" i="3" s="1"/>
  <c r="GG139" i="3"/>
  <c r="GF139" i="3"/>
  <c r="GE139" i="3"/>
  <c r="GJ138" i="3"/>
  <c r="GK138" i="3" s="1"/>
  <c r="GI138" i="3"/>
  <c r="GH138" i="3" s="1"/>
  <c r="GG138" i="3"/>
  <c r="GF138" i="3"/>
  <c r="GE138" i="3"/>
  <c r="GJ137" i="3"/>
  <c r="GK137" i="3" s="1"/>
  <c r="GI137" i="3"/>
  <c r="GH137" i="3"/>
  <c r="GG137" i="3"/>
  <c r="GF137" i="3"/>
  <c r="GE137" i="3"/>
  <c r="GK136" i="3"/>
  <c r="GJ136" i="3"/>
  <c r="GI136" i="3"/>
  <c r="GH136" i="3"/>
  <c r="GG136" i="3"/>
  <c r="GF136" i="3"/>
  <c r="GE136" i="3"/>
  <c r="GJ135" i="3"/>
  <c r="GK135" i="3" s="1"/>
  <c r="GI135" i="3"/>
  <c r="GH135" i="3"/>
  <c r="GG135" i="3"/>
  <c r="GF135" i="3"/>
  <c r="GE135" i="3"/>
  <c r="GJ134" i="3"/>
  <c r="GK134" i="3" s="1"/>
  <c r="GI134" i="3"/>
  <c r="GH134" i="3" s="1"/>
  <c r="GG134" i="3"/>
  <c r="GF134" i="3"/>
  <c r="GE134" i="3"/>
  <c r="GJ133" i="3"/>
  <c r="GI133" i="3"/>
  <c r="GK133" i="3" s="1"/>
  <c r="GH133" i="3"/>
  <c r="GG133" i="3"/>
  <c r="GF133" i="3"/>
  <c r="GE133" i="3"/>
  <c r="GK132" i="3"/>
  <c r="GJ132" i="3"/>
  <c r="GI132" i="3"/>
  <c r="GH132" i="3"/>
  <c r="GG132" i="3"/>
  <c r="GF132" i="3"/>
  <c r="GE132" i="3"/>
  <c r="GK131" i="3"/>
  <c r="GJ131" i="3"/>
  <c r="GI131" i="3"/>
  <c r="GH131" i="3" s="1"/>
  <c r="GG131" i="3"/>
  <c r="GF131" i="3"/>
  <c r="GE131" i="3"/>
  <c r="GJ130" i="3"/>
  <c r="GK130" i="3" s="1"/>
  <c r="GI130" i="3"/>
  <c r="GH130" i="3" s="1"/>
  <c r="GG130" i="3"/>
  <c r="GF130" i="3"/>
  <c r="GE130" i="3"/>
  <c r="GJ129" i="3"/>
  <c r="GK129" i="3" s="1"/>
  <c r="GI129" i="3"/>
  <c r="GH129" i="3"/>
  <c r="GG129" i="3"/>
  <c r="GF129" i="3"/>
  <c r="GE129" i="3"/>
  <c r="GK128" i="3"/>
  <c r="GJ128" i="3"/>
  <c r="GI128" i="3"/>
  <c r="GH128" i="3"/>
  <c r="GG128" i="3"/>
  <c r="GF128" i="3"/>
  <c r="GE128" i="3"/>
  <c r="GJ127" i="3"/>
  <c r="GK127" i="3" s="1"/>
  <c r="GI127" i="3"/>
  <c r="GH127" i="3"/>
  <c r="GG127" i="3"/>
  <c r="GF127" i="3"/>
  <c r="GE127" i="3"/>
  <c r="GJ126" i="3"/>
  <c r="GK126" i="3" s="1"/>
  <c r="GI126" i="3"/>
  <c r="GH126" i="3" s="1"/>
  <c r="GG126" i="3"/>
  <c r="GF126" i="3"/>
  <c r="GE126" i="3"/>
  <c r="GJ125" i="3"/>
  <c r="GI125" i="3"/>
  <c r="GK125" i="3" s="1"/>
  <c r="GH125" i="3"/>
  <c r="GG125" i="3"/>
  <c r="GF125" i="3"/>
  <c r="GE125" i="3"/>
  <c r="GK124" i="3"/>
  <c r="GJ124" i="3"/>
  <c r="GI124" i="3"/>
  <c r="GH124" i="3"/>
  <c r="GG124" i="3"/>
  <c r="GF124" i="3"/>
  <c r="GE124" i="3"/>
  <c r="GJ123" i="3"/>
  <c r="GK123" i="3" s="1"/>
  <c r="GI123" i="3"/>
  <c r="GH123" i="3" s="1"/>
  <c r="GG123" i="3"/>
  <c r="GF123" i="3"/>
  <c r="GE123" i="3"/>
  <c r="GJ122" i="3"/>
  <c r="GK122" i="3" s="1"/>
  <c r="GI122" i="3"/>
  <c r="GH122" i="3" s="1"/>
  <c r="GG122" i="3"/>
  <c r="GF122" i="3"/>
  <c r="GE122" i="3"/>
  <c r="GJ121" i="3"/>
  <c r="GK121" i="3" s="1"/>
  <c r="GI121" i="3"/>
  <c r="GH121" i="3"/>
  <c r="GG121" i="3"/>
  <c r="GF121" i="3"/>
  <c r="GE121" i="3"/>
  <c r="GK120" i="3"/>
  <c r="GJ120" i="3"/>
  <c r="GI120" i="3"/>
  <c r="GH120" i="3"/>
  <c r="GG120" i="3"/>
  <c r="GF120" i="3"/>
  <c r="GE120" i="3"/>
  <c r="GJ119" i="3"/>
  <c r="GK119" i="3" s="1"/>
  <c r="GI119" i="3"/>
  <c r="GH119" i="3"/>
  <c r="GG119" i="3"/>
  <c r="GF119" i="3"/>
  <c r="GE119" i="3"/>
  <c r="GJ118" i="3"/>
  <c r="GK118" i="3" s="1"/>
  <c r="GI118" i="3"/>
  <c r="GH118" i="3" s="1"/>
  <c r="GG118" i="3"/>
  <c r="GF118" i="3"/>
  <c r="GE118" i="3"/>
  <c r="GJ117" i="3"/>
  <c r="GI117" i="3"/>
  <c r="GK117" i="3" s="1"/>
  <c r="GH117" i="3"/>
  <c r="GG117" i="3"/>
  <c r="GF117" i="3"/>
  <c r="GE117" i="3"/>
  <c r="GK116" i="3"/>
  <c r="GJ116" i="3"/>
  <c r="GI116" i="3"/>
  <c r="GH116" i="3"/>
  <c r="GG116" i="3"/>
  <c r="GF116" i="3"/>
  <c r="GE116" i="3"/>
  <c r="GK115" i="3"/>
  <c r="GJ115" i="3"/>
  <c r="GI115" i="3"/>
  <c r="GH115" i="3" s="1"/>
  <c r="GG115" i="3"/>
  <c r="GF115" i="3"/>
  <c r="GE115" i="3"/>
  <c r="GJ114" i="3"/>
  <c r="GK114" i="3" s="1"/>
  <c r="GI114" i="3"/>
  <c r="GH114" i="3" s="1"/>
  <c r="GG114" i="3"/>
  <c r="GF114" i="3"/>
  <c r="GE114" i="3"/>
  <c r="GJ113" i="3"/>
  <c r="GK113" i="3" s="1"/>
  <c r="GI113" i="3"/>
  <c r="GH113" i="3"/>
  <c r="GG113" i="3"/>
  <c r="GF113" i="3"/>
  <c r="GE113" i="3"/>
  <c r="GK112" i="3"/>
  <c r="GJ112" i="3"/>
  <c r="GI112" i="3"/>
  <c r="GH112" i="3"/>
  <c r="GG112" i="3"/>
  <c r="GF112" i="3"/>
  <c r="GE112" i="3"/>
  <c r="GJ111" i="3"/>
  <c r="GK111" i="3" s="1"/>
  <c r="GI111" i="3"/>
  <c r="GH111" i="3"/>
  <c r="GG111" i="3"/>
  <c r="GF111" i="3"/>
  <c r="GE111" i="3"/>
  <c r="GJ110" i="3"/>
  <c r="GK110" i="3" s="1"/>
  <c r="GI110" i="3"/>
  <c r="GH110" i="3" s="1"/>
  <c r="GG110" i="3"/>
  <c r="GF110" i="3"/>
  <c r="GE110" i="3"/>
  <c r="GJ109" i="3"/>
  <c r="GI109" i="3"/>
  <c r="GK109" i="3" s="1"/>
  <c r="GH109" i="3"/>
  <c r="GG109" i="3"/>
  <c r="GF109" i="3"/>
  <c r="GE109" i="3"/>
  <c r="GK108" i="3"/>
  <c r="GJ108" i="3"/>
  <c r="GI108" i="3"/>
  <c r="GH108" i="3"/>
  <c r="GG108" i="3"/>
  <c r="GF108" i="3"/>
  <c r="GE108" i="3"/>
  <c r="GK107" i="3"/>
  <c r="GJ107" i="3"/>
  <c r="GI107" i="3"/>
  <c r="GH107" i="3" s="1"/>
  <c r="GG107" i="3"/>
  <c r="GF107" i="3"/>
  <c r="GE107" i="3"/>
  <c r="GJ106" i="3"/>
  <c r="GK106" i="3" s="1"/>
  <c r="GI106" i="3"/>
  <c r="GH106" i="3" s="1"/>
  <c r="GG106" i="3"/>
  <c r="GF106" i="3"/>
  <c r="GE106" i="3"/>
  <c r="GJ105" i="3"/>
  <c r="GK105" i="3" s="1"/>
  <c r="GI105" i="3"/>
  <c r="GH105" i="3"/>
  <c r="GG105" i="3"/>
  <c r="GF105" i="3"/>
  <c r="GE105" i="3"/>
  <c r="GK104" i="3"/>
  <c r="GJ104" i="3"/>
  <c r="GI104" i="3"/>
  <c r="GH104" i="3"/>
  <c r="GG104" i="3"/>
  <c r="GF104" i="3"/>
  <c r="GE104" i="3"/>
  <c r="GK103" i="3"/>
  <c r="GJ103" i="3"/>
  <c r="GI103" i="3"/>
  <c r="GH103" i="3"/>
  <c r="GG103" i="3"/>
  <c r="GF103" i="3"/>
  <c r="GE103" i="3"/>
  <c r="GJ102" i="3"/>
  <c r="GK102" i="3" s="1"/>
  <c r="GI102" i="3"/>
  <c r="GH102" i="3" s="1"/>
  <c r="GG102" i="3"/>
  <c r="GF102" i="3"/>
  <c r="GE102" i="3"/>
  <c r="GJ101" i="3"/>
  <c r="GI101" i="3"/>
  <c r="GG101" i="3"/>
  <c r="GF101" i="3"/>
  <c r="GE101" i="3"/>
  <c r="GK100" i="3"/>
  <c r="GJ100" i="3"/>
  <c r="GI100" i="3"/>
  <c r="GH100" i="3"/>
  <c r="GG100" i="3"/>
  <c r="GF100" i="3"/>
  <c r="GE100" i="3"/>
  <c r="GK99" i="3"/>
  <c r="GJ99" i="3"/>
  <c r="GI99" i="3"/>
  <c r="GH99" i="3" s="1"/>
  <c r="GG99" i="3"/>
  <c r="GF99" i="3"/>
  <c r="GE99" i="3"/>
  <c r="GJ98" i="3"/>
  <c r="GK98" i="3" s="1"/>
  <c r="GI98" i="3"/>
  <c r="GH98" i="3" s="1"/>
  <c r="GG98" i="3"/>
  <c r="GF98" i="3"/>
  <c r="GE98" i="3"/>
  <c r="GJ97" i="3"/>
  <c r="GK97" i="3" s="1"/>
  <c r="GI97" i="3"/>
  <c r="GH97" i="3" s="1"/>
  <c r="GG97" i="3"/>
  <c r="GF97" i="3"/>
  <c r="GE97" i="3"/>
  <c r="GK96" i="3"/>
  <c r="GJ96" i="3"/>
  <c r="GI96" i="3"/>
  <c r="GH96" i="3"/>
  <c r="GG96" i="3"/>
  <c r="GF96" i="3"/>
  <c r="GE96" i="3"/>
  <c r="GK95" i="3"/>
  <c r="GJ95" i="3"/>
  <c r="GI95" i="3"/>
  <c r="GH95" i="3"/>
  <c r="GG95" i="3"/>
  <c r="GF95" i="3"/>
  <c r="GE95" i="3"/>
  <c r="GJ94" i="3"/>
  <c r="GI94" i="3"/>
  <c r="GH94" i="3" s="1"/>
  <c r="GG94" i="3"/>
  <c r="GF94" i="3"/>
  <c r="GE94" i="3"/>
  <c r="GJ93" i="3"/>
  <c r="GI93" i="3"/>
  <c r="GK93" i="3" s="1"/>
  <c r="GG93" i="3"/>
  <c r="GF93" i="3"/>
  <c r="GE93" i="3"/>
  <c r="GK92" i="3"/>
  <c r="GJ92" i="3"/>
  <c r="GI92" i="3"/>
  <c r="GH92" i="3"/>
  <c r="GG92" i="3"/>
  <c r="GF92" i="3"/>
  <c r="GE92" i="3"/>
  <c r="GK91" i="3"/>
  <c r="GJ91" i="3"/>
  <c r="GI91" i="3"/>
  <c r="GH91" i="3" s="1"/>
  <c r="GG91" i="3"/>
  <c r="GF91" i="3"/>
  <c r="GE91" i="3"/>
  <c r="GJ90" i="3"/>
  <c r="GK90" i="3" s="1"/>
  <c r="GI90" i="3"/>
  <c r="GH90" i="3" s="1"/>
  <c r="GG90" i="3"/>
  <c r="GF90" i="3"/>
  <c r="GE90" i="3"/>
  <c r="GJ89" i="3"/>
  <c r="GK89" i="3" s="1"/>
  <c r="GI89" i="3"/>
  <c r="GH89" i="3" s="1"/>
  <c r="GG89" i="3"/>
  <c r="GF89" i="3"/>
  <c r="GE89" i="3"/>
  <c r="GK88" i="3"/>
  <c r="GJ88" i="3"/>
  <c r="GI88" i="3"/>
  <c r="GH88" i="3"/>
  <c r="GG88" i="3"/>
  <c r="GF88" i="3"/>
  <c r="GE88" i="3"/>
  <c r="GK87" i="3"/>
  <c r="GJ87" i="3"/>
  <c r="GI87" i="3"/>
  <c r="GH87" i="3"/>
  <c r="GG87" i="3"/>
  <c r="GF87" i="3"/>
  <c r="GE87" i="3"/>
  <c r="GJ86" i="3"/>
  <c r="GI86" i="3"/>
  <c r="GH86" i="3" s="1"/>
  <c r="GG86" i="3"/>
  <c r="GF86" i="3"/>
  <c r="GE86" i="3"/>
  <c r="GJ85" i="3"/>
  <c r="GI85" i="3"/>
  <c r="GK85" i="3" s="1"/>
  <c r="GG85" i="3"/>
  <c r="GF85" i="3"/>
  <c r="GE85" i="3"/>
  <c r="GK84" i="3"/>
  <c r="GJ84" i="3"/>
  <c r="GI84" i="3"/>
  <c r="GH84" i="3"/>
  <c r="GG84" i="3"/>
  <c r="GF84" i="3"/>
  <c r="GE84" i="3"/>
  <c r="GK83" i="3"/>
  <c r="GJ83" i="3"/>
  <c r="GI83" i="3"/>
  <c r="GH83" i="3" s="1"/>
  <c r="GG83" i="3"/>
  <c r="GF83" i="3"/>
  <c r="GE83" i="3"/>
  <c r="GJ82" i="3"/>
  <c r="GK82" i="3" s="1"/>
  <c r="GI82" i="3"/>
  <c r="GH82" i="3" s="1"/>
  <c r="GG82" i="3"/>
  <c r="GF82" i="3"/>
  <c r="GE82" i="3"/>
  <c r="GJ81" i="3"/>
  <c r="GK81" i="3" s="1"/>
  <c r="GI81" i="3"/>
  <c r="GH81" i="3" s="1"/>
  <c r="GG81" i="3"/>
  <c r="GF81" i="3"/>
  <c r="GE81" i="3"/>
  <c r="GK80" i="3"/>
  <c r="GJ80" i="3"/>
  <c r="GI80" i="3"/>
  <c r="GH80" i="3"/>
  <c r="GG80" i="3"/>
  <c r="GF80" i="3"/>
  <c r="GE80" i="3"/>
  <c r="GK79" i="3"/>
  <c r="GJ79" i="3"/>
  <c r="GI79" i="3"/>
  <c r="GH79" i="3"/>
  <c r="GG79" i="3"/>
  <c r="GF79" i="3"/>
  <c r="GE79" i="3"/>
  <c r="GJ78" i="3"/>
  <c r="GI78" i="3"/>
  <c r="GH78" i="3" s="1"/>
  <c r="GG78" i="3"/>
  <c r="GF78" i="3"/>
  <c r="GE78" i="3"/>
  <c r="GJ77" i="3"/>
  <c r="GI77" i="3"/>
  <c r="GK77" i="3" s="1"/>
  <c r="GG77" i="3"/>
  <c r="GF77" i="3"/>
  <c r="GE77" i="3"/>
  <c r="GK76" i="3"/>
  <c r="GJ76" i="3"/>
  <c r="GI76" i="3"/>
  <c r="GH76" i="3"/>
  <c r="GG76" i="3"/>
  <c r="GF76" i="3"/>
  <c r="GE76" i="3"/>
  <c r="GK75" i="3"/>
  <c r="GJ75" i="3"/>
  <c r="GI75" i="3"/>
  <c r="GH75" i="3" s="1"/>
  <c r="GG75" i="3"/>
  <c r="GF75" i="3"/>
  <c r="GE75" i="3"/>
  <c r="GJ74" i="3"/>
  <c r="GK74" i="3" s="1"/>
  <c r="GI74" i="3"/>
  <c r="GH74" i="3" s="1"/>
  <c r="GG74" i="3"/>
  <c r="GF74" i="3"/>
  <c r="GE74" i="3"/>
  <c r="GJ73" i="3"/>
  <c r="GK73" i="3" s="1"/>
  <c r="GI73" i="3"/>
  <c r="GH73" i="3" s="1"/>
  <c r="GG73" i="3"/>
  <c r="GF73" i="3"/>
  <c r="GE73" i="3"/>
  <c r="GK72" i="3"/>
  <c r="GJ72" i="3"/>
  <c r="GI72" i="3"/>
  <c r="GH72" i="3"/>
  <c r="GG72" i="3"/>
  <c r="GF72" i="3"/>
  <c r="GE72" i="3"/>
  <c r="GK71" i="3"/>
  <c r="GJ71" i="3"/>
  <c r="GI71" i="3"/>
  <c r="GH71" i="3"/>
  <c r="GG71" i="3"/>
  <c r="GF71" i="3"/>
  <c r="GE71" i="3"/>
  <c r="GJ70" i="3"/>
  <c r="GI70" i="3"/>
  <c r="GH70" i="3" s="1"/>
  <c r="GG70" i="3"/>
  <c r="GF70" i="3"/>
  <c r="GE70" i="3"/>
  <c r="GJ69" i="3"/>
  <c r="GI69" i="3"/>
  <c r="GK69" i="3" s="1"/>
  <c r="GG69" i="3"/>
  <c r="GF69" i="3"/>
  <c r="GE69" i="3"/>
  <c r="GK68" i="3"/>
  <c r="GJ68" i="3"/>
  <c r="GI68" i="3"/>
  <c r="GH68" i="3"/>
  <c r="GG68" i="3"/>
  <c r="GF68" i="3"/>
  <c r="GE68" i="3"/>
  <c r="GK67" i="3"/>
  <c r="GJ67" i="3"/>
  <c r="GI67" i="3"/>
  <c r="GH67" i="3" s="1"/>
  <c r="GG67" i="3"/>
  <c r="GF67" i="3"/>
  <c r="GE67" i="3"/>
  <c r="GJ66" i="3"/>
  <c r="GK66" i="3" s="1"/>
  <c r="GI66" i="3"/>
  <c r="GH66" i="3" s="1"/>
  <c r="GG66" i="3"/>
  <c r="GF66" i="3"/>
  <c r="GE66" i="3"/>
  <c r="GJ65" i="3"/>
  <c r="GK65" i="3" s="1"/>
  <c r="GI65" i="3"/>
  <c r="GH65" i="3" s="1"/>
  <c r="GG65" i="3"/>
  <c r="GF65" i="3"/>
  <c r="GE65" i="3"/>
  <c r="GK64" i="3"/>
  <c r="GJ64" i="3"/>
  <c r="GI64" i="3"/>
  <c r="GH64" i="3"/>
  <c r="GG64" i="3"/>
  <c r="GF64" i="3"/>
  <c r="GE64" i="3"/>
  <c r="GK63" i="3"/>
  <c r="GJ63" i="3"/>
  <c r="GI63" i="3"/>
  <c r="GH63" i="3"/>
  <c r="GG63" i="3"/>
  <c r="GF63" i="3"/>
  <c r="GE63" i="3"/>
  <c r="GJ62" i="3"/>
  <c r="GI62" i="3"/>
  <c r="GH62" i="3" s="1"/>
  <c r="GG62" i="3"/>
  <c r="GF62" i="3"/>
  <c r="GE62" i="3"/>
  <c r="GJ61" i="3"/>
  <c r="GI61" i="3"/>
  <c r="GK61" i="3" s="1"/>
  <c r="GG61" i="3"/>
  <c r="GF61" i="3"/>
  <c r="GE61" i="3"/>
  <c r="GK60" i="3"/>
  <c r="GJ60" i="3"/>
  <c r="GI60" i="3"/>
  <c r="GH60" i="3"/>
  <c r="GG60" i="3"/>
  <c r="GF60" i="3"/>
  <c r="GE60" i="3"/>
  <c r="GK59" i="3"/>
  <c r="GJ59" i="3"/>
  <c r="GI59" i="3"/>
  <c r="GH59" i="3" s="1"/>
  <c r="GG59" i="3"/>
  <c r="GF59" i="3"/>
  <c r="GE59" i="3"/>
  <c r="GJ58" i="3"/>
  <c r="GK58" i="3" s="1"/>
  <c r="GI58" i="3"/>
  <c r="GH58" i="3" s="1"/>
  <c r="GG58" i="3"/>
  <c r="GF58" i="3"/>
  <c r="GE58" i="3"/>
  <c r="GJ57" i="3"/>
  <c r="GI57" i="3"/>
  <c r="GH57" i="3" s="1"/>
  <c r="GG57" i="3"/>
  <c r="GF57" i="3"/>
  <c r="GE57" i="3"/>
  <c r="GK56" i="3"/>
  <c r="GJ56" i="3"/>
  <c r="GI56" i="3"/>
  <c r="GH56" i="3"/>
  <c r="GG56" i="3"/>
  <c r="GF56" i="3"/>
  <c r="GE56" i="3"/>
  <c r="GK55" i="3"/>
  <c r="GJ55" i="3"/>
  <c r="GI55" i="3"/>
  <c r="GH55" i="3"/>
  <c r="GG55" i="3"/>
  <c r="GF55" i="3"/>
  <c r="GE55" i="3"/>
  <c r="GJ54" i="3"/>
  <c r="GI54" i="3"/>
  <c r="GH54" i="3" s="1"/>
  <c r="GG54" i="3"/>
  <c r="GF54" i="3"/>
  <c r="GE54" i="3"/>
  <c r="GJ53" i="3"/>
  <c r="GI53" i="3"/>
  <c r="GK53" i="3" s="1"/>
  <c r="GG53" i="3"/>
  <c r="GF53" i="3"/>
  <c r="GE53" i="3"/>
  <c r="GK52" i="3"/>
  <c r="GJ52" i="3"/>
  <c r="GI52" i="3"/>
  <c r="GH52" i="3"/>
  <c r="GG52" i="3"/>
  <c r="GF52" i="3"/>
  <c r="GE52" i="3"/>
  <c r="GK51" i="3"/>
  <c r="GJ51" i="3"/>
  <c r="GI51" i="3"/>
  <c r="GH51" i="3" s="1"/>
  <c r="GG51" i="3"/>
  <c r="GF51" i="3"/>
  <c r="GE51" i="3"/>
  <c r="GJ50" i="3"/>
  <c r="GK50" i="3" s="1"/>
  <c r="GI50" i="3"/>
  <c r="GH50" i="3" s="1"/>
  <c r="GG50" i="3"/>
  <c r="GF50" i="3"/>
  <c r="GE50" i="3"/>
  <c r="GJ49" i="3"/>
  <c r="GI49" i="3"/>
  <c r="GH49" i="3" s="1"/>
  <c r="GG49" i="3"/>
  <c r="GF49" i="3"/>
  <c r="GE49" i="3"/>
  <c r="GK48" i="3"/>
  <c r="GJ48" i="3"/>
  <c r="GI48" i="3"/>
  <c r="GH48" i="3"/>
  <c r="GG48" i="3"/>
  <c r="GF48" i="3"/>
  <c r="GE48" i="3"/>
  <c r="GK47" i="3"/>
  <c r="GJ47" i="3"/>
  <c r="GI47" i="3"/>
  <c r="GH47" i="3"/>
  <c r="GG47" i="3"/>
  <c r="GF47" i="3"/>
  <c r="GE47" i="3"/>
  <c r="GJ46" i="3"/>
  <c r="GI46" i="3"/>
  <c r="GH46" i="3" s="1"/>
  <c r="GG46" i="3"/>
  <c r="GF46" i="3"/>
  <c r="GE46" i="3"/>
  <c r="GJ45" i="3"/>
  <c r="GI45" i="3"/>
  <c r="GK45" i="3" s="1"/>
  <c r="GG45" i="3"/>
  <c r="GF45" i="3"/>
  <c r="GE45" i="3"/>
  <c r="GK44" i="3"/>
  <c r="GJ44" i="3"/>
  <c r="GI44" i="3"/>
  <c r="GH44" i="3"/>
  <c r="GG44" i="3"/>
  <c r="GF44" i="3"/>
  <c r="GE44" i="3"/>
  <c r="GK43" i="3"/>
  <c r="GJ43" i="3"/>
  <c r="GI43" i="3"/>
  <c r="GH43" i="3" s="1"/>
  <c r="GG43" i="3"/>
  <c r="GF43" i="3"/>
  <c r="GE43" i="3"/>
  <c r="GJ42" i="3"/>
  <c r="GK42" i="3" s="1"/>
  <c r="GI42" i="3"/>
  <c r="GH42" i="3" s="1"/>
  <c r="GG42" i="3"/>
  <c r="GF42" i="3"/>
  <c r="GE42" i="3"/>
  <c r="GJ41" i="3"/>
  <c r="GI41" i="3"/>
  <c r="GH41" i="3" s="1"/>
  <c r="GG41" i="3"/>
  <c r="GF41" i="3"/>
  <c r="GE41" i="3"/>
  <c r="GK40" i="3"/>
  <c r="GJ40" i="3"/>
  <c r="GI40" i="3"/>
  <c r="GH40" i="3"/>
  <c r="GG40" i="3"/>
  <c r="GF40" i="3"/>
  <c r="GE40" i="3"/>
  <c r="GK39" i="3"/>
  <c r="GJ39" i="3"/>
  <c r="GI39" i="3"/>
  <c r="GH39" i="3"/>
  <c r="GG39" i="3"/>
  <c r="GF39" i="3"/>
  <c r="GE39" i="3"/>
  <c r="GJ38" i="3"/>
  <c r="GI38" i="3"/>
  <c r="GH38" i="3" s="1"/>
  <c r="GG38" i="3"/>
  <c r="GF38" i="3"/>
  <c r="GE38" i="3"/>
  <c r="GJ37" i="3"/>
  <c r="GI37" i="3"/>
  <c r="GK37" i="3" s="1"/>
  <c r="GG37" i="3"/>
  <c r="GF37" i="3"/>
  <c r="GE37" i="3"/>
  <c r="GK36" i="3"/>
  <c r="GJ36" i="3"/>
  <c r="GI36" i="3"/>
  <c r="GH36" i="3"/>
  <c r="GG36" i="3"/>
  <c r="GF36" i="3"/>
  <c r="GE36" i="3"/>
  <c r="GK35" i="3"/>
  <c r="GJ35" i="3"/>
  <c r="GI35" i="3"/>
  <c r="GH35" i="3" s="1"/>
  <c r="GG35" i="3"/>
  <c r="GF35" i="3"/>
  <c r="GE35" i="3"/>
  <c r="GJ34" i="3"/>
  <c r="GK34" i="3" s="1"/>
  <c r="GI34" i="3"/>
  <c r="GH34" i="3" s="1"/>
  <c r="GG34" i="3"/>
  <c r="GF34" i="3"/>
  <c r="GE34" i="3"/>
  <c r="GJ33" i="3"/>
  <c r="GI33" i="3"/>
  <c r="GH33" i="3" s="1"/>
  <c r="GG33" i="3"/>
  <c r="GF33" i="3"/>
  <c r="GE33" i="3"/>
  <c r="GK32" i="3"/>
  <c r="GJ32" i="3"/>
  <c r="GI32" i="3"/>
  <c r="GH32" i="3"/>
  <c r="GG32" i="3"/>
  <c r="GF32" i="3"/>
  <c r="GE32" i="3"/>
  <c r="GK31" i="3"/>
  <c r="GJ31" i="3"/>
  <c r="GI31" i="3"/>
  <c r="GH31" i="3"/>
  <c r="GG31" i="3"/>
  <c r="GF31" i="3"/>
  <c r="GE31" i="3"/>
  <c r="GJ30" i="3"/>
  <c r="GI30" i="3"/>
  <c r="GH30" i="3" s="1"/>
  <c r="GG30" i="3"/>
  <c r="GF30" i="3"/>
  <c r="GE30" i="3"/>
  <c r="GJ29" i="3"/>
  <c r="GI29" i="3"/>
  <c r="GK29" i="3" s="1"/>
  <c r="GG29" i="3"/>
  <c r="GF29" i="3"/>
  <c r="GE29" i="3"/>
  <c r="GK28" i="3"/>
  <c r="GJ28" i="3"/>
  <c r="GI28" i="3"/>
  <c r="GH28" i="3"/>
  <c r="GG28" i="3"/>
  <c r="GF28" i="3"/>
  <c r="GE28" i="3"/>
  <c r="GK27" i="3"/>
  <c r="GJ27" i="3"/>
  <c r="GI27" i="3"/>
  <c r="GH27" i="3" s="1"/>
  <c r="GG27" i="3"/>
  <c r="GF27" i="3"/>
  <c r="GE27" i="3"/>
  <c r="GJ26" i="3"/>
  <c r="GI26" i="3"/>
  <c r="GH26" i="3" s="1"/>
  <c r="GG26" i="3"/>
  <c r="GF26" i="3"/>
  <c r="GE26" i="3"/>
  <c r="GJ25" i="3"/>
  <c r="GI25" i="3"/>
  <c r="GH25" i="3" s="1"/>
  <c r="GG25" i="3"/>
  <c r="GF25" i="3"/>
  <c r="GE25" i="3"/>
  <c r="GK24" i="3"/>
  <c r="GJ24" i="3"/>
  <c r="GI24" i="3"/>
  <c r="GH24" i="3"/>
  <c r="GG24" i="3"/>
  <c r="GF24" i="3"/>
  <c r="GE24" i="3"/>
  <c r="GK23" i="3"/>
  <c r="GJ23" i="3"/>
  <c r="GI23" i="3"/>
  <c r="GH23" i="3"/>
  <c r="GG23" i="3"/>
  <c r="GF23" i="3"/>
  <c r="GE23" i="3"/>
  <c r="GJ22" i="3"/>
  <c r="GK22" i="3" s="1"/>
  <c r="GI22" i="3"/>
  <c r="GH22" i="3" s="1"/>
  <c r="GG22" i="3"/>
  <c r="GF22" i="3"/>
  <c r="GE22" i="3"/>
  <c r="GJ21" i="3"/>
  <c r="GI21" i="3"/>
  <c r="GK21" i="3" s="1"/>
  <c r="GG21" i="3"/>
  <c r="GF21" i="3"/>
  <c r="GE21" i="3"/>
  <c r="GK20" i="3"/>
  <c r="GJ20" i="3"/>
  <c r="GI20" i="3"/>
  <c r="GH20" i="3"/>
  <c r="GG20" i="3"/>
  <c r="GF20" i="3"/>
  <c r="GE20" i="3"/>
  <c r="GJ19" i="3"/>
  <c r="GK19" i="3" s="1"/>
  <c r="GI19" i="3"/>
  <c r="GH19" i="3" s="1"/>
  <c r="GG19" i="3"/>
  <c r="GF19" i="3"/>
  <c r="GE19" i="3"/>
  <c r="GJ18" i="3"/>
  <c r="GK18" i="3" s="1"/>
  <c r="GI18" i="3"/>
  <c r="GH18" i="3" s="1"/>
  <c r="GG18" i="3"/>
  <c r="GF18" i="3"/>
  <c r="GE18" i="3"/>
  <c r="GJ17" i="3"/>
  <c r="GK17" i="3" s="1"/>
  <c r="GI17" i="3"/>
  <c r="GH17" i="3" s="1"/>
  <c r="GG17" i="3"/>
  <c r="GF17" i="3"/>
  <c r="GE17" i="3"/>
  <c r="GK16" i="3"/>
  <c r="GJ16" i="3"/>
  <c r="GI16" i="3"/>
  <c r="GH16" i="3"/>
  <c r="GG16" i="3"/>
  <c r="GF16" i="3"/>
  <c r="GE16" i="3"/>
  <c r="GJ15" i="3"/>
  <c r="GK15" i="3" s="1"/>
  <c r="GI15" i="3"/>
  <c r="GH15" i="3"/>
  <c r="GG15" i="3"/>
  <c r="GF15" i="3"/>
  <c r="GE15" i="3"/>
  <c r="GJ14" i="3"/>
  <c r="GK14" i="3" s="1"/>
  <c r="GI14" i="3"/>
  <c r="GH14" i="3" s="1"/>
  <c r="GG14" i="3"/>
  <c r="GF14" i="3"/>
  <c r="GE14" i="3"/>
  <c r="GJ13" i="3"/>
  <c r="GI13" i="3"/>
  <c r="GK13" i="3" s="1"/>
  <c r="GH13" i="3"/>
  <c r="GG13" i="3"/>
  <c r="GF13" i="3"/>
  <c r="GE13" i="3"/>
  <c r="GK12" i="3"/>
  <c r="GJ12" i="3"/>
  <c r="GI12" i="3"/>
  <c r="GH12" i="3"/>
  <c r="GG12" i="3"/>
  <c r="GF12" i="3"/>
  <c r="GE12" i="3"/>
  <c r="GJ11" i="3"/>
  <c r="GK11" i="3" s="1"/>
  <c r="GI11" i="3"/>
  <c r="GH11" i="3" s="1"/>
  <c r="GG11" i="3"/>
  <c r="GF11" i="3"/>
  <c r="GE11" i="3"/>
  <c r="GJ10" i="3"/>
  <c r="GK10" i="3" s="1"/>
  <c r="GI10" i="3"/>
  <c r="GH10" i="3" s="1"/>
  <c r="GG10" i="3"/>
  <c r="GF10" i="3"/>
  <c r="GE10" i="3"/>
  <c r="GJ9" i="3"/>
  <c r="GK9" i="3" s="1"/>
  <c r="GI9" i="3"/>
  <c r="GH9" i="3"/>
  <c r="GG9" i="3"/>
  <c r="GF9" i="3"/>
  <c r="GE9" i="3"/>
  <c r="GK8" i="3"/>
  <c r="GJ8" i="3"/>
  <c r="GI8" i="3"/>
  <c r="GH8" i="3"/>
  <c r="GG8" i="3"/>
  <c r="GF8" i="3"/>
  <c r="GE8" i="3"/>
  <c r="GJ7" i="3"/>
  <c r="GK7" i="3" s="1"/>
  <c r="GI7" i="3"/>
  <c r="GH7" i="3"/>
  <c r="GG7" i="3"/>
  <c r="GF7" i="3"/>
  <c r="GE7" i="3"/>
  <c r="GJ6" i="3"/>
  <c r="GI6" i="3"/>
  <c r="GH6" i="3" s="1"/>
  <c r="GG6" i="3"/>
  <c r="GF6" i="3"/>
  <c r="GE6" i="3"/>
  <c r="GJ5" i="3"/>
  <c r="GI5" i="3"/>
  <c r="GK5" i="3" s="1"/>
  <c r="GG5" i="3"/>
  <c r="GF5" i="3"/>
  <c r="GE5" i="3"/>
  <c r="GK4" i="3"/>
  <c r="GJ4" i="3"/>
  <c r="GI4" i="3"/>
  <c r="GH4" i="3"/>
  <c r="GG4" i="3"/>
  <c r="GF4" i="3"/>
  <c r="GE4" i="3"/>
  <c r="GJ3" i="3"/>
  <c r="GK3" i="3" s="1"/>
  <c r="GI3" i="3"/>
  <c r="GH3" i="3" s="1"/>
  <c r="GG3" i="3"/>
  <c r="GF3" i="3"/>
  <c r="GE3" i="3"/>
  <c r="GG252" i="1"/>
  <c r="GF252" i="1"/>
  <c r="GE252" i="1"/>
  <c r="GD252" i="1"/>
  <c r="GC252" i="1"/>
  <c r="GB252" i="1"/>
  <c r="GA252" i="1"/>
  <c r="FZ252" i="1"/>
  <c r="FY252" i="1"/>
  <c r="FW252" i="1"/>
  <c r="FV252" i="1"/>
  <c r="FU252" i="1"/>
  <c r="FT252" i="1"/>
  <c r="FS252" i="1"/>
  <c r="FR252" i="1"/>
  <c r="FQ252" i="1"/>
  <c r="FP252" i="1"/>
  <c r="FN252" i="1"/>
  <c r="FM252" i="1"/>
  <c r="FL252" i="1"/>
  <c r="FK252" i="1"/>
  <c r="FJ252" i="1"/>
  <c r="FI252" i="1"/>
  <c r="FH252" i="1"/>
  <c r="FG252" i="1"/>
  <c r="FF252" i="1"/>
  <c r="FE252" i="1"/>
  <c r="FD252" i="1"/>
  <c r="FC252" i="1"/>
  <c r="FB252" i="1"/>
  <c r="FA252" i="1"/>
  <c r="EZ252" i="1"/>
  <c r="EY252" i="1"/>
  <c r="EX252" i="1"/>
  <c r="EW252" i="1"/>
  <c r="EV252" i="1"/>
  <c r="EU252" i="1"/>
  <c r="ET252" i="1"/>
  <c r="ES252" i="1"/>
  <c r="ER252" i="1"/>
  <c r="EQ252" i="1"/>
  <c r="EP252" i="1"/>
  <c r="EO252" i="1"/>
  <c r="EN252" i="1"/>
  <c r="EM252" i="1"/>
  <c r="EL252" i="1"/>
  <c r="EK252" i="1"/>
  <c r="EJ252" i="1"/>
  <c r="EI252" i="1"/>
  <c r="EH252" i="1"/>
  <c r="EG252" i="1"/>
  <c r="EF252" i="1"/>
  <c r="EE252" i="1"/>
  <c r="ED252" i="1"/>
  <c r="EC252" i="1"/>
  <c r="EB252" i="1"/>
  <c r="EA252" i="1"/>
  <c r="DZ252" i="1"/>
  <c r="DY252" i="1"/>
  <c r="DX252" i="1"/>
  <c r="DW252" i="1"/>
  <c r="DV252" i="1"/>
  <c r="DU252" i="1"/>
  <c r="DT252" i="1"/>
  <c r="DS252" i="1"/>
  <c r="DR252" i="1"/>
  <c r="DQ252" i="1"/>
  <c r="DP252" i="1"/>
  <c r="DO252" i="1"/>
  <c r="DN252" i="1"/>
  <c r="DM252" i="1"/>
  <c r="DL252" i="1"/>
  <c r="DK252" i="1"/>
  <c r="DJ252" i="1"/>
  <c r="DI252" i="1"/>
  <c r="DH252" i="1"/>
  <c r="DG252" i="1"/>
  <c r="DF252" i="1"/>
  <c r="DE252" i="1"/>
  <c r="DD252" i="1"/>
  <c r="DC252" i="1"/>
  <c r="DB252" i="1"/>
  <c r="DA252" i="1"/>
  <c r="CZ252" i="1"/>
  <c r="CY252" i="1"/>
  <c r="CX252" i="1"/>
  <c r="CW252" i="1"/>
  <c r="CV252" i="1"/>
  <c r="CU252" i="1"/>
  <c r="CT252" i="1"/>
  <c r="CS252" i="1"/>
  <c r="CR252" i="1"/>
  <c r="CQ252" i="1"/>
  <c r="CP252" i="1"/>
  <c r="CO252" i="1"/>
  <c r="CN252" i="1"/>
  <c r="CM252" i="1"/>
  <c r="CL252" i="1"/>
  <c r="CK252" i="1"/>
  <c r="CJ252" i="1"/>
  <c r="CI252" i="1"/>
  <c r="CH252" i="1"/>
  <c r="CG252" i="1"/>
  <c r="CF252" i="1"/>
  <c r="CE252" i="1"/>
  <c r="CD252" i="1"/>
  <c r="CC252" i="1"/>
  <c r="CB252" i="1"/>
  <c r="CA252" i="1"/>
  <c r="BZ252" i="1"/>
  <c r="BY252" i="1"/>
  <c r="BX252" i="1"/>
  <c r="BW252" i="1"/>
  <c r="BV252" i="1"/>
  <c r="BU252" i="1"/>
  <c r="BT252" i="1"/>
  <c r="BS252" i="1"/>
  <c r="BR252" i="1"/>
  <c r="BQ252" i="1"/>
  <c r="BP252" i="1"/>
  <c r="BO252" i="1"/>
  <c r="BN252" i="1"/>
  <c r="BM252" i="1"/>
  <c r="BL252" i="1"/>
  <c r="BK252" i="1"/>
  <c r="BJ252" i="1"/>
  <c r="BI252" i="1"/>
  <c r="BH252" i="1"/>
  <c r="BG252" i="1"/>
  <c r="BF252" i="1"/>
  <c r="BE252" i="1"/>
  <c r="BD252" i="1"/>
  <c r="BC252" i="1"/>
  <c r="BB252" i="1"/>
  <c r="BA252"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Y252" i="1"/>
  <c r="X252" i="1"/>
  <c r="W252" i="1"/>
  <c r="V252" i="1"/>
  <c r="U252" i="1"/>
  <c r="T252" i="1"/>
  <c r="S252" i="1"/>
  <c r="R252" i="1"/>
  <c r="M252" i="1"/>
  <c r="GG251" i="1"/>
  <c r="GF251" i="1"/>
  <c r="GE251" i="1"/>
  <c r="GD251" i="1"/>
  <c r="GC251" i="1"/>
  <c r="GB251" i="1"/>
  <c r="GA251" i="1"/>
  <c r="FZ251" i="1"/>
  <c r="FY251" i="1"/>
  <c r="FW251" i="1"/>
  <c r="FV251" i="1"/>
  <c r="FU251" i="1"/>
  <c r="FT251" i="1"/>
  <c r="FS251" i="1"/>
  <c r="FR251" i="1"/>
  <c r="FQ251" i="1"/>
  <c r="FP251" i="1"/>
  <c r="FN251" i="1"/>
  <c r="FM251" i="1"/>
  <c r="FL251" i="1"/>
  <c r="FK251" i="1"/>
  <c r="FJ251" i="1"/>
  <c r="FI251" i="1"/>
  <c r="FH251" i="1"/>
  <c r="FG251" i="1"/>
  <c r="FF251" i="1"/>
  <c r="FE251" i="1"/>
  <c r="FD251" i="1"/>
  <c r="FC251" i="1"/>
  <c r="FB251" i="1"/>
  <c r="FA251" i="1"/>
  <c r="EZ251" i="1"/>
  <c r="EY251" i="1"/>
  <c r="EX251" i="1"/>
  <c r="EW251" i="1"/>
  <c r="EV251" i="1"/>
  <c r="EU251" i="1"/>
  <c r="ET251" i="1"/>
  <c r="ES251" i="1"/>
  <c r="ER251" i="1"/>
  <c r="EQ251" i="1"/>
  <c r="EP251" i="1"/>
  <c r="EO251" i="1"/>
  <c r="EN251" i="1"/>
  <c r="EM251" i="1"/>
  <c r="EL251" i="1"/>
  <c r="EK251" i="1"/>
  <c r="EJ251" i="1"/>
  <c r="EI251" i="1"/>
  <c r="EH251" i="1"/>
  <c r="EG251" i="1"/>
  <c r="EF251" i="1"/>
  <c r="EE251" i="1"/>
  <c r="ED251" i="1"/>
  <c r="EC251" i="1"/>
  <c r="EB251" i="1"/>
  <c r="EA251" i="1"/>
  <c r="DZ251" i="1"/>
  <c r="DY251" i="1"/>
  <c r="DX251" i="1"/>
  <c r="DW251" i="1"/>
  <c r="DV251" i="1"/>
  <c r="DU251" i="1"/>
  <c r="DT251" i="1"/>
  <c r="DS251" i="1"/>
  <c r="DR251" i="1"/>
  <c r="DQ251" i="1"/>
  <c r="DP251" i="1"/>
  <c r="DO251" i="1"/>
  <c r="DN251" i="1"/>
  <c r="DM251" i="1"/>
  <c r="DL251" i="1"/>
  <c r="DK251" i="1"/>
  <c r="DJ251" i="1"/>
  <c r="DI251" i="1"/>
  <c r="DH251" i="1"/>
  <c r="DG251" i="1"/>
  <c r="DF251" i="1"/>
  <c r="DE251" i="1"/>
  <c r="DD251" i="1"/>
  <c r="DC251" i="1"/>
  <c r="DB251" i="1"/>
  <c r="DA251" i="1"/>
  <c r="CZ251" i="1"/>
  <c r="CY251" i="1"/>
  <c r="CX251" i="1"/>
  <c r="CW251" i="1"/>
  <c r="CV251" i="1"/>
  <c r="CU251" i="1"/>
  <c r="CT251" i="1"/>
  <c r="CS251" i="1"/>
  <c r="CR251" i="1"/>
  <c r="CQ251" i="1"/>
  <c r="CP251" i="1"/>
  <c r="CO251" i="1"/>
  <c r="CN251" i="1"/>
  <c r="CM251" i="1"/>
  <c r="CL251" i="1"/>
  <c r="CK251" i="1"/>
  <c r="CJ251" i="1"/>
  <c r="CI251" i="1"/>
  <c r="CH251" i="1"/>
  <c r="CG251" i="1"/>
  <c r="CF251" i="1"/>
  <c r="CE251" i="1"/>
  <c r="CD251" i="1"/>
  <c r="CC251" i="1"/>
  <c r="CB251" i="1"/>
  <c r="CA251" i="1"/>
  <c r="BZ251" i="1"/>
  <c r="BY251" i="1"/>
  <c r="BX251" i="1"/>
  <c r="BW251" i="1"/>
  <c r="BV251" i="1"/>
  <c r="BU251" i="1"/>
  <c r="BT251" i="1"/>
  <c r="BS251" i="1"/>
  <c r="BR251" i="1"/>
  <c r="BQ251" i="1"/>
  <c r="BP251" i="1"/>
  <c r="BO251" i="1"/>
  <c r="BN251" i="1"/>
  <c r="BM251" i="1"/>
  <c r="BL251" i="1"/>
  <c r="BK251" i="1"/>
  <c r="BJ251" i="1"/>
  <c r="BI251" i="1"/>
  <c r="BH251" i="1"/>
  <c r="BG251" i="1"/>
  <c r="BF251" i="1"/>
  <c r="BE251" i="1"/>
  <c r="BD251" i="1"/>
  <c r="BC251" i="1"/>
  <c r="BB251" i="1"/>
  <c r="BA251" i="1"/>
  <c r="AZ251" i="1"/>
  <c r="AY251" i="1"/>
  <c r="AX251" i="1"/>
  <c r="AW251" i="1"/>
  <c r="AV251" i="1"/>
  <c r="AU251" i="1"/>
  <c r="AT251" i="1"/>
  <c r="AS251" i="1"/>
  <c r="AR251" i="1"/>
  <c r="AQ251" i="1"/>
  <c r="AP251" i="1"/>
  <c r="AO251" i="1"/>
  <c r="AN251" i="1"/>
  <c r="AM251" i="1"/>
  <c r="AL251" i="1"/>
  <c r="AK251" i="1"/>
  <c r="AJ251" i="1"/>
  <c r="AI251" i="1"/>
  <c r="AH251" i="1"/>
  <c r="AG251" i="1"/>
  <c r="AF251" i="1"/>
  <c r="AE251" i="1"/>
  <c r="AD251" i="1"/>
  <c r="AC251" i="1"/>
  <c r="AB251" i="1"/>
  <c r="AA251" i="1"/>
  <c r="Z251" i="1"/>
  <c r="Y251" i="1"/>
  <c r="X251" i="1"/>
  <c r="W251" i="1"/>
  <c r="V251" i="1"/>
  <c r="U251" i="1"/>
  <c r="T251" i="1"/>
  <c r="S251" i="1"/>
  <c r="R251" i="1"/>
  <c r="GM248" i="1"/>
  <c r="GL248" i="1"/>
  <c r="GK248" i="1"/>
  <c r="GJ248" i="1"/>
  <c r="GI248" i="1"/>
  <c r="GH248" i="1"/>
  <c r="GM247" i="1"/>
  <c r="GL247" i="1"/>
  <c r="GK247" i="1"/>
  <c r="GJ247" i="1"/>
  <c r="GI247" i="1"/>
  <c r="GH247" i="1"/>
  <c r="GL246" i="1"/>
  <c r="GK246" i="1"/>
  <c r="GJ246" i="1"/>
  <c r="GI246" i="1"/>
  <c r="GH246" i="1"/>
  <c r="GL245" i="1"/>
  <c r="GK245" i="1"/>
  <c r="GJ245" i="1"/>
  <c r="GI245" i="1"/>
  <c r="GH245" i="1"/>
  <c r="GM244" i="1"/>
  <c r="GL244" i="1"/>
  <c r="GK244" i="1"/>
  <c r="GJ244" i="1"/>
  <c r="GI244" i="1"/>
  <c r="GH244" i="1"/>
  <c r="GL243" i="1"/>
  <c r="GM243" i="1" s="1"/>
  <c r="GK243" i="1"/>
  <c r="GJ243" i="1"/>
  <c r="GI243" i="1"/>
  <c r="GH243" i="1"/>
  <c r="GM242" i="1"/>
  <c r="GL242" i="1"/>
  <c r="GK242" i="1"/>
  <c r="GJ242" i="1"/>
  <c r="GI242" i="1"/>
  <c r="GH242" i="1"/>
  <c r="GL241" i="1"/>
  <c r="GK241" i="1"/>
  <c r="GJ241" i="1"/>
  <c r="GI241" i="1"/>
  <c r="GH241" i="1"/>
  <c r="GL240" i="1"/>
  <c r="GK240" i="1"/>
  <c r="GM240" i="1" s="1"/>
  <c r="GJ240" i="1"/>
  <c r="GI240" i="1"/>
  <c r="GH240" i="1"/>
  <c r="GL237" i="1"/>
  <c r="GK237" i="1"/>
  <c r="GJ237" i="1"/>
  <c r="GI237" i="1"/>
  <c r="GH237" i="1"/>
  <c r="GM236" i="1"/>
  <c r="GL236" i="1"/>
  <c r="GK236" i="1"/>
  <c r="GJ236" i="1"/>
  <c r="GI236" i="1"/>
  <c r="GH236" i="1"/>
  <c r="C235" i="1"/>
  <c r="C236" i="1" s="1"/>
  <c r="C237" i="1" s="1"/>
  <c r="C238" i="1" s="1"/>
  <c r="C239" i="1" s="1"/>
  <c r="C240" i="1" s="1"/>
  <c r="C241" i="1" s="1"/>
  <c r="C242" i="1" s="1"/>
  <c r="C243" i="1" s="1"/>
  <c r="C244" i="1" s="1"/>
  <c r="C245" i="1" s="1"/>
  <c r="C246" i="1" s="1"/>
  <c r="C247" i="1" s="1"/>
  <c r="C248" i="1" s="1"/>
  <c r="C249" i="1" s="1"/>
  <c r="C234" i="1"/>
  <c r="GM230" i="1"/>
  <c r="GL230" i="1"/>
  <c r="GK230" i="1"/>
  <c r="GJ230" i="1"/>
  <c r="GI230" i="1"/>
  <c r="GH230" i="1"/>
  <c r="GL229" i="1"/>
  <c r="GK229" i="1"/>
  <c r="GJ229" i="1"/>
  <c r="GI229" i="1"/>
  <c r="GH229" i="1"/>
  <c r="C229" i="1"/>
  <c r="C230" i="1" s="1"/>
  <c r="C231" i="1" s="1"/>
  <c r="GM228" i="1"/>
  <c r="GL228" i="1"/>
  <c r="GK228" i="1"/>
  <c r="GJ228" i="1"/>
  <c r="GI228" i="1"/>
  <c r="GH228" i="1"/>
  <c r="GL227" i="1"/>
  <c r="GM227" i="1" s="1"/>
  <c r="GK227" i="1"/>
  <c r="GJ227" i="1"/>
  <c r="GI227" i="1"/>
  <c r="GH227" i="1"/>
  <c r="C227" i="1"/>
  <c r="C228" i="1" s="1"/>
  <c r="GL226" i="1"/>
  <c r="GK226" i="1"/>
  <c r="GJ226" i="1"/>
  <c r="GI226" i="1"/>
  <c r="GH226" i="1"/>
  <c r="GM224" i="1"/>
  <c r="GL224" i="1"/>
  <c r="GK224" i="1"/>
  <c r="GJ224" i="1"/>
  <c r="GI224" i="1"/>
  <c r="GH224" i="1"/>
  <c r="GM223" i="1"/>
  <c r="GL223" i="1"/>
  <c r="GK223" i="1"/>
  <c r="GJ223" i="1"/>
  <c r="GI223" i="1"/>
  <c r="GH223" i="1"/>
  <c r="GL222" i="1"/>
  <c r="GM222" i="1" s="1"/>
  <c r="GK222" i="1"/>
  <c r="GJ222" i="1"/>
  <c r="GI222" i="1"/>
  <c r="GH222" i="1"/>
  <c r="GL221" i="1"/>
  <c r="GK221" i="1"/>
  <c r="GJ221" i="1"/>
  <c r="GI221" i="1"/>
  <c r="GH221" i="1"/>
  <c r="GL220" i="1"/>
  <c r="GK220" i="1"/>
  <c r="GM220" i="1" s="1"/>
  <c r="GJ220" i="1"/>
  <c r="GI220" i="1"/>
  <c r="GH220" i="1"/>
  <c r="GL219" i="1"/>
  <c r="GM219" i="1" s="1"/>
  <c r="GK219" i="1"/>
  <c r="GJ219" i="1"/>
  <c r="GI219" i="1"/>
  <c r="GH219" i="1"/>
  <c r="GL218" i="1"/>
  <c r="GM218" i="1" s="1"/>
  <c r="GK218" i="1"/>
  <c r="GJ218" i="1"/>
  <c r="GI218" i="1"/>
  <c r="GH218" i="1"/>
  <c r="GL217" i="1"/>
  <c r="GK217" i="1"/>
  <c r="GJ217" i="1"/>
  <c r="GI217" i="1"/>
  <c r="GH217" i="1"/>
  <c r="GM216" i="1"/>
  <c r="GL216" i="1"/>
  <c r="GK216" i="1"/>
  <c r="GJ216" i="1"/>
  <c r="GI216" i="1"/>
  <c r="GH216" i="1"/>
  <c r="GM214" i="1"/>
  <c r="GL214" i="1"/>
  <c r="GK214" i="1"/>
  <c r="GJ214" i="1"/>
  <c r="GI214" i="1"/>
  <c r="GH214" i="1"/>
  <c r="GL211" i="1"/>
  <c r="GK211" i="1"/>
  <c r="GJ211" i="1"/>
  <c r="GI211" i="1"/>
  <c r="GH211" i="1"/>
  <c r="GM210" i="1"/>
  <c r="GL210" i="1"/>
  <c r="GK210" i="1"/>
  <c r="GJ210" i="1"/>
  <c r="GI210" i="1"/>
  <c r="GH210" i="1"/>
  <c r="C210" i="1"/>
  <c r="C211" i="1" s="1"/>
  <c r="C212" i="1" s="1"/>
  <c r="C213" i="1" s="1"/>
  <c r="C214" i="1" s="1"/>
  <c r="C215" i="1" s="1"/>
  <c r="C216" i="1" s="1"/>
  <c r="C217" i="1" s="1"/>
  <c r="C218" i="1" s="1"/>
  <c r="C219" i="1" s="1"/>
  <c r="C220" i="1" s="1"/>
  <c r="C221" i="1" s="1"/>
  <c r="C222" i="1" s="1"/>
  <c r="C223" i="1" s="1"/>
  <c r="C224" i="1" s="1"/>
  <c r="GL209" i="1"/>
  <c r="GM209" i="1" s="1"/>
  <c r="GK209" i="1"/>
  <c r="GJ209" i="1"/>
  <c r="GI209" i="1"/>
  <c r="GH209" i="1"/>
  <c r="C206" i="1"/>
  <c r="C207" i="1" s="1"/>
  <c r="GM205" i="1"/>
  <c r="GL205" i="1"/>
  <c r="GK205" i="1"/>
  <c r="GJ205" i="1"/>
  <c r="GI205" i="1"/>
  <c r="GH205" i="1"/>
  <c r="C204" i="1"/>
  <c r="C205" i="1" s="1"/>
  <c r="GM203" i="1"/>
  <c r="GL203" i="1"/>
  <c r="GK203" i="1"/>
  <c r="GJ203" i="1"/>
  <c r="GI203" i="1"/>
  <c r="GH203" i="1"/>
  <c r="GL201" i="1"/>
  <c r="GK201" i="1"/>
  <c r="GJ201" i="1"/>
  <c r="GI201" i="1"/>
  <c r="GH201" i="1"/>
  <c r="GL200" i="1"/>
  <c r="GK200" i="1"/>
  <c r="GM200" i="1" s="1"/>
  <c r="GJ200" i="1"/>
  <c r="GI200" i="1"/>
  <c r="GH200" i="1"/>
  <c r="GM198" i="1"/>
  <c r="GL198" i="1"/>
  <c r="GK198" i="1"/>
  <c r="GJ198" i="1"/>
  <c r="GI198" i="1"/>
  <c r="GH198" i="1"/>
  <c r="GM197" i="1"/>
  <c r="GL197" i="1"/>
  <c r="GK197" i="1"/>
  <c r="GJ197" i="1"/>
  <c r="GI197" i="1"/>
  <c r="GH197" i="1"/>
  <c r="GL196" i="1"/>
  <c r="GK196" i="1"/>
  <c r="GJ196" i="1"/>
  <c r="GI196" i="1"/>
  <c r="GH196" i="1"/>
  <c r="GL195" i="1"/>
  <c r="GK195" i="1"/>
  <c r="GJ195" i="1"/>
  <c r="GI195" i="1"/>
  <c r="GH195" i="1"/>
  <c r="GM194" i="1"/>
  <c r="GL194" i="1"/>
  <c r="GK194" i="1"/>
  <c r="GJ194" i="1"/>
  <c r="GI194" i="1"/>
  <c r="GH194" i="1"/>
  <c r="C194" i="1"/>
  <c r="C195" i="1" s="1"/>
  <c r="C196" i="1" s="1"/>
  <c r="C197" i="1" s="1"/>
  <c r="C198" i="1" s="1"/>
  <c r="C199" i="1" s="1"/>
  <c r="C200" i="1" s="1"/>
  <c r="C201" i="1" s="1"/>
  <c r="GL193" i="1"/>
  <c r="GM193" i="1" s="1"/>
  <c r="GK193" i="1"/>
  <c r="GJ193" i="1"/>
  <c r="GI193" i="1"/>
  <c r="GH193" i="1"/>
  <c r="GM192" i="1"/>
  <c r="GL192" i="1"/>
  <c r="GK192" i="1"/>
  <c r="GJ192" i="1"/>
  <c r="GI192" i="1"/>
  <c r="GH192" i="1"/>
  <c r="C192" i="1"/>
  <c r="C193" i="1" s="1"/>
  <c r="GL191" i="1"/>
  <c r="GK191" i="1"/>
  <c r="GJ191" i="1"/>
  <c r="GI191" i="1"/>
  <c r="GH191" i="1"/>
  <c r="C191" i="1"/>
  <c r="GL190" i="1"/>
  <c r="GK190" i="1"/>
  <c r="GM190" i="1" s="1"/>
  <c r="GJ190" i="1"/>
  <c r="GI190" i="1"/>
  <c r="GH190" i="1"/>
  <c r="C190" i="1"/>
  <c r="GM189" i="1"/>
  <c r="GL189" i="1"/>
  <c r="GK189" i="1"/>
  <c r="GJ189" i="1"/>
  <c r="GI189" i="1"/>
  <c r="GH189" i="1"/>
  <c r="C189" i="1"/>
  <c r="GL183" i="1"/>
  <c r="GK183" i="1"/>
  <c r="GJ183" i="1"/>
  <c r="GI183" i="1"/>
  <c r="GH183" i="1"/>
  <c r="C182" i="1"/>
  <c r="C183" i="1" s="1"/>
  <c r="C184" i="1" s="1"/>
  <c r="C185" i="1" s="1"/>
  <c r="C186" i="1" s="1"/>
  <c r="GL181" i="1"/>
  <c r="GM181" i="1" s="1"/>
  <c r="GK181" i="1"/>
  <c r="GJ181" i="1"/>
  <c r="GI181" i="1"/>
  <c r="GH181" i="1"/>
  <c r="C177" i="1"/>
  <c r="GL174" i="1"/>
  <c r="GK174" i="1"/>
  <c r="GM174" i="1" s="1"/>
  <c r="GJ174" i="1"/>
  <c r="GI174" i="1"/>
  <c r="GH174" i="1"/>
  <c r="GM173" i="1"/>
  <c r="GL173" i="1"/>
  <c r="GK173" i="1"/>
  <c r="GJ173" i="1"/>
  <c r="GI173" i="1"/>
  <c r="GH173" i="1"/>
  <c r="C172" i="1"/>
  <c r="C173" i="1" s="1"/>
  <c r="C174" i="1" s="1"/>
  <c r="GL171" i="1"/>
  <c r="GM171" i="1" s="1"/>
  <c r="GK171" i="1"/>
  <c r="GJ171" i="1"/>
  <c r="GI171" i="1"/>
  <c r="GH171" i="1"/>
  <c r="C171" i="1"/>
  <c r="GL167" i="1"/>
  <c r="GM167" i="1" s="1"/>
  <c r="GK167" i="1"/>
  <c r="GJ167" i="1"/>
  <c r="GI167" i="1"/>
  <c r="GH167" i="1"/>
  <c r="GM165" i="1"/>
  <c r="GL165" i="1"/>
  <c r="GK165" i="1"/>
  <c r="GJ165" i="1"/>
  <c r="GI165" i="1"/>
  <c r="GH165" i="1"/>
  <c r="GL164" i="1"/>
  <c r="GK164" i="1"/>
  <c r="GJ164" i="1"/>
  <c r="GI164" i="1"/>
  <c r="GH164" i="1"/>
  <c r="C164" i="1"/>
  <c r="C165" i="1" s="1"/>
  <c r="C166" i="1" s="1"/>
  <c r="C167" i="1" s="1"/>
  <c r="C168" i="1" s="1"/>
  <c r="GL158" i="1"/>
  <c r="GK158" i="1"/>
  <c r="GM158" i="1" s="1"/>
  <c r="GJ158" i="1"/>
  <c r="GI158" i="1"/>
  <c r="GH158" i="1"/>
  <c r="GL157" i="1"/>
  <c r="GM157" i="1" s="1"/>
  <c r="GK157" i="1"/>
  <c r="GJ157" i="1"/>
  <c r="GI157" i="1"/>
  <c r="GH157" i="1"/>
  <c r="GL156" i="1"/>
  <c r="GK156" i="1"/>
  <c r="GJ156" i="1"/>
  <c r="GI156" i="1"/>
  <c r="GH156" i="1"/>
  <c r="GL155" i="1"/>
  <c r="GM155" i="1" s="1"/>
  <c r="GK155" i="1"/>
  <c r="GJ155" i="1"/>
  <c r="GI155" i="1"/>
  <c r="GH155" i="1"/>
  <c r="GL153" i="1"/>
  <c r="GK153" i="1"/>
  <c r="GJ153" i="1"/>
  <c r="GI153" i="1"/>
  <c r="GH153" i="1"/>
  <c r="C153" i="1"/>
  <c r="C154" i="1" s="1"/>
  <c r="C155" i="1" s="1"/>
  <c r="C156" i="1" s="1"/>
  <c r="C157" i="1" s="1"/>
  <c r="C158" i="1" s="1"/>
  <c r="C159" i="1" s="1"/>
  <c r="C160" i="1" s="1"/>
  <c r="C161" i="1" s="1"/>
  <c r="GL149" i="1"/>
  <c r="GM149" i="1" s="1"/>
  <c r="GK149" i="1"/>
  <c r="GJ149" i="1"/>
  <c r="GI149" i="1"/>
  <c r="GH149" i="1"/>
  <c r="GL147" i="1"/>
  <c r="GM147" i="1" s="1"/>
  <c r="GK147" i="1"/>
  <c r="GJ147" i="1"/>
  <c r="GI147" i="1"/>
  <c r="GH147" i="1"/>
  <c r="GM146" i="1"/>
  <c r="GL146" i="1"/>
  <c r="GK146" i="1"/>
  <c r="GJ146" i="1"/>
  <c r="GI146" i="1"/>
  <c r="GH146" i="1"/>
  <c r="GL145" i="1"/>
  <c r="GM145" i="1" s="1"/>
  <c r="GK145" i="1"/>
  <c r="GJ145" i="1"/>
  <c r="GI145" i="1"/>
  <c r="GH145" i="1"/>
  <c r="GM144" i="1"/>
  <c r="GL144" i="1"/>
  <c r="GK144" i="1"/>
  <c r="GJ144" i="1"/>
  <c r="GI144" i="1"/>
  <c r="GH144" i="1"/>
  <c r="GL142" i="1"/>
  <c r="GM142" i="1" s="1"/>
  <c r="GK142" i="1"/>
  <c r="GJ142" i="1"/>
  <c r="GI142" i="1"/>
  <c r="GH142" i="1"/>
  <c r="GL141" i="1"/>
  <c r="GM141" i="1" s="1"/>
  <c r="GK141" i="1"/>
  <c r="GJ141" i="1"/>
  <c r="GI141" i="1"/>
  <c r="GH141" i="1"/>
  <c r="GM140" i="1"/>
  <c r="GL140" i="1"/>
  <c r="GK140" i="1"/>
  <c r="GJ140" i="1"/>
  <c r="GI140" i="1"/>
  <c r="GH140" i="1"/>
  <c r="GL139" i="1"/>
  <c r="GM139" i="1" s="1"/>
  <c r="GK139" i="1"/>
  <c r="GJ139" i="1"/>
  <c r="GI139" i="1"/>
  <c r="GH139" i="1"/>
  <c r="GL138" i="1"/>
  <c r="GM138" i="1" s="1"/>
  <c r="GK138" i="1"/>
  <c r="GJ138" i="1"/>
  <c r="GI138" i="1"/>
  <c r="GH138" i="1"/>
  <c r="GL136" i="1"/>
  <c r="GM136" i="1" s="1"/>
  <c r="GK136" i="1"/>
  <c r="GJ136" i="1"/>
  <c r="GI136" i="1"/>
  <c r="GH136" i="1"/>
  <c r="GL133" i="1"/>
  <c r="GM133" i="1" s="1"/>
  <c r="GK133" i="1"/>
  <c r="GJ133" i="1"/>
  <c r="GI133" i="1"/>
  <c r="GH133" i="1"/>
  <c r="GL132" i="1"/>
  <c r="GK132" i="1"/>
  <c r="GJ132" i="1"/>
  <c r="GI132" i="1"/>
  <c r="GH132" i="1"/>
  <c r="GL130" i="1"/>
  <c r="GM130" i="1" s="1"/>
  <c r="GK130" i="1"/>
  <c r="GJ130" i="1"/>
  <c r="GI130" i="1"/>
  <c r="GH130" i="1"/>
  <c r="GL129" i="1"/>
  <c r="GM129" i="1" s="1"/>
  <c r="GK129" i="1"/>
  <c r="GJ129" i="1"/>
  <c r="GI129" i="1"/>
  <c r="GH129" i="1"/>
  <c r="GM128" i="1"/>
  <c r="GL128" i="1"/>
  <c r="GK128" i="1"/>
  <c r="GJ128" i="1"/>
  <c r="GI128" i="1"/>
  <c r="GH128" i="1"/>
  <c r="GL125" i="1"/>
  <c r="GM125" i="1" s="1"/>
  <c r="GK125" i="1"/>
  <c r="GJ125" i="1"/>
  <c r="GI125" i="1"/>
  <c r="GH125" i="1"/>
  <c r="GL123" i="1"/>
  <c r="GK123" i="1"/>
  <c r="GJ123" i="1"/>
  <c r="GI123" i="1"/>
  <c r="GH123" i="1"/>
  <c r="GM122" i="1"/>
  <c r="GL122" i="1"/>
  <c r="GK122" i="1"/>
  <c r="GJ122" i="1"/>
  <c r="GI122" i="1"/>
  <c r="GH122" i="1"/>
  <c r="GM121" i="1"/>
  <c r="GL121" i="1"/>
  <c r="GK121" i="1"/>
  <c r="GJ121" i="1"/>
  <c r="GI121" i="1"/>
  <c r="GH121" i="1"/>
  <c r="GL120" i="1"/>
  <c r="GM120" i="1" s="1"/>
  <c r="GK120" i="1"/>
  <c r="GJ120" i="1"/>
  <c r="GI120" i="1"/>
  <c r="GH120" i="1"/>
  <c r="GL119" i="1"/>
  <c r="GM119" i="1" s="1"/>
  <c r="GK119" i="1"/>
  <c r="GJ119" i="1"/>
  <c r="GI119" i="1"/>
  <c r="GH119" i="1"/>
  <c r="GM118" i="1"/>
  <c r="GL118" i="1"/>
  <c r="GK118" i="1"/>
  <c r="GJ118" i="1"/>
  <c r="GI118" i="1"/>
  <c r="GH118" i="1"/>
  <c r="GL117" i="1"/>
  <c r="GM117" i="1" s="1"/>
  <c r="GK117" i="1"/>
  <c r="GJ117" i="1"/>
  <c r="GI117" i="1"/>
  <c r="GH117" i="1"/>
  <c r="GL116" i="1"/>
  <c r="GM116" i="1" s="1"/>
  <c r="GK116" i="1"/>
  <c r="GJ116" i="1"/>
  <c r="GI116" i="1"/>
  <c r="GH116" i="1"/>
  <c r="GL115" i="1"/>
  <c r="GM115" i="1" s="1"/>
  <c r="GK115" i="1"/>
  <c r="GJ115" i="1"/>
  <c r="GI115" i="1"/>
  <c r="GH115" i="1"/>
  <c r="GM114" i="1"/>
  <c r="GL114" i="1"/>
  <c r="GK114" i="1"/>
  <c r="GJ114" i="1"/>
  <c r="GI114" i="1"/>
  <c r="GH114" i="1"/>
  <c r="GL113" i="1"/>
  <c r="GM113" i="1" s="1"/>
  <c r="GK113" i="1"/>
  <c r="GJ113" i="1"/>
  <c r="GI113" i="1"/>
  <c r="GH113" i="1"/>
  <c r="GL111" i="1"/>
  <c r="GM111" i="1" s="1"/>
  <c r="GK111" i="1"/>
  <c r="GJ111" i="1"/>
  <c r="GI111" i="1"/>
  <c r="GH111" i="1"/>
  <c r="GM110" i="1"/>
  <c r="GL110" i="1"/>
  <c r="GK110" i="1"/>
  <c r="GJ110" i="1"/>
  <c r="GI110" i="1"/>
  <c r="GH110" i="1"/>
  <c r="GL109" i="1"/>
  <c r="GK109" i="1"/>
  <c r="GJ109" i="1"/>
  <c r="GI109" i="1"/>
  <c r="GH109" i="1"/>
  <c r="GM108" i="1"/>
  <c r="GL108" i="1"/>
  <c r="GK108" i="1"/>
  <c r="GJ108" i="1"/>
  <c r="GI108" i="1"/>
  <c r="GH108" i="1"/>
  <c r="GL107" i="1"/>
  <c r="GM107" i="1" s="1"/>
  <c r="GK107" i="1"/>
  <c r="GJ107" i="1"/>
  <c r="GI107" i="1"/>
  <c r="GH107" i="1"/>
  <c r="GL106" i="1"/>
  <c r="GM106" i="1" s="1"/>
  <c r="GK106" i="1"/>
  <c r="GJ106" i="1"/>
  <c r="GI106" i="1"/>
  <c r="GH106" i="1"/>
  <c r="GL105" i="1"/>
  <c r="GK105" i="1"/>
  <c r="GJ105" i="1"/>
  <c r="GI105" i="1"/>
  <c r="GH105" i="1"/>
  <c r="GM104" i="1"/>
  <c r="GL104" i="1"/>
  <c r="GK104" i="1"/>
  <c r="GJ104" i="1"/>
  <c r="GI104" i="1"/>
  <c r="GH104" i="1"/>
  <c r="GM102" i="1"/>
  <c r="GL102" i="1"/>
  <c r="GK102" i="1"/>
  <c r="GJ102" i="1"/>
  <c r="GI102" i="1"/>
  <c r="GH102" i="1"/>
  <c r="GL101" i="1"/>
  <c r="GM101" i="1" s="1"/>
  <c r="GK101" i="1"/>
  <c r="GJ101" i="1"/>
  <c r="GI101" i="1"/>
  <c r="GH101" i="1"/>
  <c r="GL100" i="1"/>
  <c r="GM100" i="1" s="1"/>
  <c r="GK100" i="1"/>
  <c r="GJ100" i="1"/>
  <c r="GI100" i="1"/>
  <c r="GH100" i="1"/>
  <c r="GL98" i="1"/>
  <c r="GK98" i="1"/>
  <c r="GM98" i="1" s="1"/>
  <c r="GJ98" i="1"/>
  <c r="GI98" i="1"/>
  <c r="GH98" i="1"/>
  <c r="GM96" i="1"/>
  <c r="GL96" i="1"/>
  <c r="GK96" i="1"/>
  <c r="GJ96" i="1"/>
  <c r="GI96" i="1"/>
  <c r="GH96" i="1"/>
  <c r="GL95" i="1"/>
  <c r="GK95" i="1"/>
  <c r="GJ95" i="1"/>
  <c r="GI95" i="1"/>
  <c r="GH95" i="1"/>
  <c r="GM94" i="1"/>
  <c r="GL94" i="1"/>
  <c r="GK94" i="1"/>
  <c r="GJ94" i="1"/>
  <c r="GI94" i="1"/>
  <c r="GH94" i="1"/>
  <c r="GL93" i="1"/>
  <c r="GM93" i="1" s="1"/>
  <c r="GK93" i="1"/>
  <c r="GJ93" i="1"/>
  <c r="GI93" i="1"/>
  <c r="GH93" i="1"/>
  <c r="GL92" i="1"/>
  <c r="GM92" i="1" s="1"/>
  <c r="GK92" i="1"/>
  <c r="GJ92" i="1"/>
  <c r="GI92" i="1"/>
  <c r="GH92" i="1"/>
  <c r="GL91" i="1"/>
  <c r="GK91" i="1"/>
  <c r="GJ91" i="1"/>
  <c r="GI91" i="1"/>
  <c r="GH91" i="1"/>
  <c r="GM90" i="1"/>
  <c r="GL90" i="1"/>
  <c r="GK90" i="1"/>
  <c r="GJ90" i="1"/>
  <c r="GI90" i="1"/>
  <c r="GH90" i="1"/>
  <c r="GL89" i="1"/>
  <c r="GM89" i="1" s="1"/>
  <c r="GK89" i="1"/>
  <c r="GJ89" i="1"/>
  <c r="GI89" i="1"/>
  <c r="GH89" i="1"/>
  <c r="GL88" i="1"/>
  <c r="GM88" i="1" s="1"/>
  <c r="GK88" i="1"/>
  <c r="GJ88" i="1"/>
  <c r="GI88" i="1"/>
  <c r="GH88" i="1"/>
  <c r="GL87" i="1"/>
  <c r="GM87" i="1" s="1"/>
  <c r="GK87" i="1"/>
  <c r="GJ87" i="1"/>
  <c r="GI87" i="1"/>
  <c r="GH87" i="1"/>
  <c r="GL86" i="1"/>
  <c r="GK86" i="1"/>
  <c r="GM86" i="1" s="1"/>
  <c r="GJ86" i="1"/>
  <c r="GI86" i="1"/>
  <c r="GH86" i="1"/>
  <c r="GM85" i="1"/>
  <c r="GL85" i="1"/>
  <c r="GK85" i="1"/>
  <c r="GJ85" i="1"/>
  <c r="GI85" i="1"/>
  <c r="GH85" i="1"/>
  <c r="GL84" i="1"/>
  <c r="GK84" i="1"/>
  <c r="GJ84" i="1"/>
  <c r="GI84" i="1"/>
  <c r="GH84" i="1"/>
  <c r="GL82" i="1"/>
  <c r="GM82" i="1" s="1"/>
  <c r="GK82" i="1"/>
  <c r="GJ82" i="1"/>
  <c r="GI82" i="1"/>
  <c r="GH82" i="1"/>
  <c r="GL81" i="1"/>
  <c r="GK81" i="1"/>
  <c r="GJ81" i="1"/>
  <c r="GI81" i="1"/>
  <c r="GH81" i="1"/>
  <c r="GL77" i="1"/>
  <c r="GK77" i="1"/>
  <c r="GM77" i="1" s="1"/>
  <c r="GJ77" i="1"/>
  <c r="GI77" i="1"/>
  <c r="GH77" i="1"/>
  <c r="GL75" i="1"/>
  <c r="GM75" i="1" s="1"/>
  <c r="GK75" i="1"/>
  <c r="GJ75" i="1"/>
  <c r="GI75" i="1"/>
  <c r="GH75" i="1"/>
  <c r="GL74" i="1"/>
  <c r="GK74" i="1"/>
  <c r="GJ74" i="1"/>
  <c r="GI74" i="1"/>
  <c r="GH74" i="1"/>
  <c r="GL73" i="1"/>
  <c r="GM73" i="1" s="1"/>
  <c r="GK73" i="1"/>
  <c r="GJ73" i="1"/>
  <c r="GI73" i="1"/>
  <c r="GH73" i="1"/>
  <c r="GM72" i="1"/>
  <c r="GL72" i="1"/>
  <c r="GK72" i="1"/>
  <c r="GJ72" i="1"/>
  <c r="GI72" i="1"/>
  <c r="GH72" i="1"/>
  <c r="GM71" i="1"/>
  <c r="GL71" i="1"/>
  <c r="GK71" i="1"/>
  <c r="GJ71" i="1"/>
  <c r="GI71" i="1"/>
  <c r="GH71" i="1"/>
  <c r="GL70" i="1"/>
  <c r="GM70" i="1" s="1"/>
  <c r="GK70" i="1"/>
  <c r="GJ70" i="1"/>
  <c r="GI70" i="1"/>
  <c r="GH70" i="1"/>
  <c r="GL69" i="1"/>
  <c r="GM69" i="1" s="1"/>
  <c r="GK69" i="1"/>
  <c r="GJ69" i="1"/>
  <c r="GI69" i="1"/>
  <c r="GH69" i="1"/>
  <c r="GL67" i="1"/>
  <c r="GM67" i="1" s="1"/>
  <c r="GK67" i="1"/>
  <c r="GJ67" i="1"/>
  <c r="GI67" i="1"/>
  <c r="GH67" i="1"/>
  <c r="GL66" i="1"/>
  <c r="GM66" i="1" s="1"/>
  <c r="GK66" i="1"/>
  <c r="GJ66" i="1"/>
  <c r="GI66" i="1"/>
  <c r="GH66" i="1"/>
  <c r="GL65" i="1"/>
  <c r="GK65" i="1"/>
  <c r="GM65" i="1" s="1"/>
  <c r="GJ65" i="1"/>
  <c r="GI65" i="1"/>
  <c r="GH65" i="1"/>
  <c r="GL64" i="1"/>
  <c r="GM64" i="1" s="1"/>
  <c r="GK64" i="1"/>
  <c r="GJ64" i="1"/>
  <c r="GI64" i="1"/>
  <c r="GH64" i="1"/>
  <c r="GL62" i="1"/>
  <c r="GK62" i="1"/>
  <c r="GM62" i="1" s="1"/>
  <c r="GJ62" i="1"/>
  <c r="GI62" i="1"/>
  <c r="GH62" i="1"/>
  <c r="GL61" i="1"/>
  <c r="GM61" i="1" s="1"/>
  <c r="GK61" i="1"/>
  <c r="GJ61" i="1"/>
  <c r="GI61" i="1"/>
  <c r="GH61" i="1"/>
  <c r="GL60" i="1"/>
  <c r="GM60" i="1" s="1"/>
  <c r="GK60" i="1"/>
  <c r="GJ60" i="1"/>
  <c r="GI60" i="1"/>
  <c r="GH60" i="1"/>
  <c r="GL59" i="1"/>
  <c r="GM59" i="1" s="1"/>
  <c r="GK59" i="1"/>
  <c r="GJ59" i="1"/>
  <c r="GI59" i="1"/>
  <c r="GH59" i="1"/>
  <c r="GL58" i="1"/>
  <c r="GK58" i="1"/>
  <c r="GM58" i="1" s="1"/>
  <c r="GJ58" i="1"/>
  <c r="GI58" i="1"/>
  <c r="GH58" i="1"/>
  <c r="GM57" i="1"/>
  <c r="GL57" i="1"/>
  <c r="GK57" i="1"/>
  <c r="GJ57" i="1"/>
  <c r="GI57" i="1"/>
  <c r="GH57" i="1"/>
  <c r="GL56" i="1"/>
  <c r="GM56" i="1" s="1"/>
  <c r="GK56" i="1"/>
  <c r="GJ56" i="1"/>
  <c r="GI56" i="1"/>
  <c r="GH56" i="1"/>
  <c r="C56" i="1"/>
  <c r="C57" i="1" s="1"/>
  <c r="C58" i="1" s="1"/>
  <c r="C59" i="1" s="1"/>
  <c r="C60" i="1" s="1"/>
  <c r="C61" i="1" s="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GL55" i="1"/>
  <c r="GK55" i="1"/>
  <c r="GM55" i="1" s="1"/>
  <c r="GJ55" i="1"/>
  <c r="GI55" i="1"/>
  <c r="GH55" i="1"/>
  <c r="C55" i="1"/>
  <c r="GM54" i="1"/>
  <c r="GL54" i="1"/>
  <c r="GK54" i="1"/>
  <c r="GJ54" i="1"/>
  <c r="GI54" i="1"/>
  <c r="GH54" i="1"/>
  <c r="GL51" i="1"/>
  <c r="GM51" i="1" s="1"/>
  <c r="GK51" i="1"/>
  <c r="GJ51" i="1"/>
  <c r="GI51" i="1"/>
  <c r="GH51" i="1"/>
  <c r="GL50" i="1"/>
  <c r="GM50" i="1" s="1"/>
  <c r="GK50" i="1"/>
  <c r="GJ50" i="1"/>
  <c r="GI50" i="1"/>
  <c r="GH50" i="1"/>
  <c r="GL49" i="1"/>
  <c r="GK49" i="1"/>
  <c r="GM49" i="1" s="1"/>
  <c r="GJ49" i="1"/>
  <c r="GI49" i="1"/>
  <c r="GH49" i="1"/>
  <c r="GM48" i="1"/>
  <c r="GL48" i="1"/>
  <c r="GK48" i="1"/>
  <c r="GJ48" i="1"/>
  <c r="GI48" i="1"/>
  <c r="GH48" i="1"/>
  <c r="GL47" i="1"/>
  <c r="GM47" i="1" s="1"/>
  <c r="GK47" i="1"/>
  <c r="GJ47" i="1"/>
  <c r="GI47" i="1"/>
  <c r="GH47" i="1"/>
  <c r="GL46" i="1"/>
  <c r="GK46" i="1"/>
  <c r="GM46" i="1" s="1"/>
  <c r="GJ46" i="1"/>
  <c r="GI46" i="1"/>
  <c r="GH46" i="1"/>
  <c r="GM45" i="1"/>
  <c r="GL45" i="1"/>
  <c r="GK45" i="1"/>
  <c r="GJ45" i="1"/>
  <c r="GI45" i="1"/>
  <c r="GH45" i="1"/>
  <c r="GL44" i="1"/>
  <c r="GM44" i="1" s="1"/>
  <c r="GK44" i="1"/>
  <c r="GJ44" i="1"/>
  <c r="GI44" i="1"/>
  <c r="GH44" i="1"/>
  <c r="GL43" i="1"/>
  <c r="GM43" i="1" s="1"/>
  <c r="GK43" i="1"/>
  <c r="GJ43" i="1"/>
  <c r="GI43" i="1"/>
  <c r="GH43" i="1"/>
  <c r="GL42" i="1"/>
  <c r="GM42" i="1" s="1"/>
  <c r="GK42" i="1"/>
  <c r="GJ42" i="1"/>
  <c r="GI42" i="1"/>
  <c r="GH42" i="1"/>
  <c r="GL41" i="1"/>
  <c r="GK41" i="1"/>
  <c r="GM41" i="1" s="1"/>
  <c r="GJ41" i="1"/>
  <c r="GI41" i="1"/>
  <c r="GH41" i="1"/>
  <c r="GM40" i="1"/>
  <c r="GL40" i="1"/>
  <c r="GK40" i="1"/>
  <c r="GJ40" i="1"/>
  <c r="GI40" i="1"/>
  <c r="GH40" i="1"/>
  <c r="GL39" i="1"/>
  <c r="GM39" i="1" s="1"/>
  <c r="GK39" i="1"/>
  <c r="GJ39" i="1"/>
  <c r="GI39" i="1"/>
  <c r="GH39" i="1"/>
  <c r="GL38" i="1"/>
  <c r="GK38" i="1"/>
  <c r="GM38" i="1" s="1"/>
  <c r="GJ38" i="1"/>
  <c r="GI38" i="1"/>
  <c r="GH38" i="1"/>
  <c r="GM37" i="1"/>
  <c r="GL37" i="1"/>
  <c r="GK37" i="1"/>
  <c r="GJ37" i="1"/>
  <c r="GI37" i="1"/>
  <c r="GH37" i="1"/>
  <c r="GL36" i="1"/>
  <c r="GM36" i="1" s="1"/>
  <c r="GK36" i="1"/>
  <c r="GJ36" i="1"/>
  <c r="GI36" i="1"/>
  <c r="GH36" i="1"/>
  <c r="GL35" i="1"/>
  <c r="GM35" i="1" s="1"/>
  <c r="GK35" i="1"/>
  <c r="GJ35" i="1"/>
  <c r="GI35" i="1"/>
  <c r="GH35" i="1"/>
  <c r="GL34" i="1"/>
  <c r="GM34" i="1" s="1"/>
  <c r="GK34" i="1"/>
  <c r="GJ34" i="1"/>
  <c r="GI34" i="1"/>
  <c r="GH34" i="1"/>
  <c r="GL33" i="1"/>
  <c r="GK33" i="1"/>
  <c r="GM33" i="1" s="1"/>
  <c r="GJ33" i="1"/>
  <c r="GI33" i="1"/>
  <c r="GH33" i="1"/>
  <c r="GM32" i="1"/>
  <c r="GL32" i="1"/>
  <c r="GK32" i="1"/>
  <c r="GJ32" i="1"/>
  <c r="GI32" i="1"/>
  <c r="GH32" i="1"/>
  <c r="GL31" i="1"/>
  <c r="GM31" i="1" s="1"/>
  <c r="GK31" i="1"/>
  <c r="GJ31" i="1"/>
  <c r="GI31" i="1"/>
  <c r="GH31" i="1"/>
  <c r="GL30" i="1"/>
  <c r="GK30" i="1"/>
  <c r="GM30" i="1" s="1"/>
  <c r="GJ30" i="1"/>
  <c r="GI30" i="1"/>
  <c r="GH30" i="1"/>
  <c r="GM29" i="1"/>
  <c r="GL29" i="1"/>
  <c r="GK29" i="1"/>
  <c r="GJ29" i="1"/>
  <c r="GI29" i="1"/>
  <c r="GH29" i="1"/>
  <c r="GL28" i="1"/>
  <c r="GM28" i="1" s="1"/>
  <c r="GK28" i="1"/>
  <c r="GJ28" i="1"/>
  <c r="GI28" i="1"/>
  <c r="GH28" i="1"/>
  <c r="GL27" i="1"/>
  <c r="GM27" i="1" s="1"/>
  <c r="GK27" i="1"/>
  <c r="GJ27" i="1"/>
  <c r="GI27" i="1"/>
  <c r="GH27" i="1"/>
  <c r="GL26" i="1"/>
  <c r="GM26" i="1" s="1"/>
  <c r="GK26" i="1"/>
  <c r="GJ26" i="1"/>
  <c r="GI26" i="1"/>
  <c r="GH26" i="1"/>
  <c r="GL25" i="1"/>
  <c r="GK25" i="1"/>
  <c r="GM25" i="1" s="1"/>
  <c r="GJ25" i="1"/>
  <c r="GI25" i="1"/>
  <c r="GH25" i="1"/>
  <c r="GM24" i="1"/>
  <c r="GL24" i="1"/>
  <c r="GK24" i="1"/>
  <c r="GJ24" i="1"/>
  <c r="GI24" i="1"/>
  <c r="GH24" i="1"/>
  <c r="GL23" i="1"/>
  <c r="GM23" i="1" s="1"/>
  <c r="GK23" i="1"/>
  <c r="GJ23" i="1"/>
  <c r="GI23" i="1"/>
  <c r="GH23" i="1"/>
  <c r="GL22" i="1"/>
  <c r="GK22" i="1"/>
  <c r="GM22" i="1" s="1"/>
  <c r="GJ22" i="1"/>
  <c r="GI22" i="1"/>
  <c r="GH22" i="1"/>
  <c r="GM21" i="1"/>
  <c r="GL21" i="1"/>
  <c r="GK21" i="1"/>
  <c r="GJ21" i="1"/>
  <c r="GI21" i="1"/>
  <c r="GH21" i="1"/>
  <c r="GL20" i="1"/>
  <c r="GM20" i="1" s="1"/>
  <c r="GK20" i="1"/>
  <c r="GJ20" i="1"/>
  <c r="GI20" i="1"/>
  <c r="GH20" i="1"/>
  <c r="GL19" i="1"/>
  <c r="GM19" i="1" s="1"/>
  <c r="GK19" i="1"/>
  <c r="GJ19" i="1"/>
  <c r="GI19" i="1"/>
  <c r="GH19" i="1"/>
  <c r="GL18" i="1"/>
  <c r="GM18" i="1" s="1"/>
  <c r="GK18" i="1"/>
  <c r="GJ18" i="1"/>
  <c r="GI18" i="1"/>
  <c r="GH18" i="1"/>
  <c r="GL17" i="1"/>
  <c r="GK17" i="1"/>
  <c r="GM17" i="1" s="1"/>
  <c r="GJ17" i="1"/>
  <c r="GI17" i="1"/>
  <c r="GH17" i="1"/>
  <c r="GM16" i="1"/>
  <c r="GL16" i="1"/>
  <c r="GK16" i="1"/>
  <c r="GJ16" i="1"/>
  <c r="GI16" i="1"/>
  <c r="GH16" i="1"/>
  <c r="GL15" i="1"/>
  <c r="GM15" i="1" s="1"/>
  <c r="GK15" i="1"/>
  <c r="GJ15" i="1"/>
  <c r="GI15" i="1"/>
  <c r="GH15" i="1"/>
  <c r="GL14" i="1"/>
  <c r="GK14" i="1"/>
  <c r="GM14" i="1" s="1"/>
  <c r="GJ14" i="1"/>
  <c r="GI14" i="1"/>
  <c r="GH14" i="1"/>
  <c r="GM13" i="1"/>
  <c r="GL13" i="1"/>
  <c r="GK13" i="1"/>
  <c r="GJ13" i="1"/>
  <c r="GI13" i="1"/>
  <c r="GH13" i="1"/>
  <c r="GL12" i="1"/>
  <c r="GM12" i="1" s="1"/>
  <c r="GK12" i="1"/>
  <c r="GJ12" i="1"/>
  <c r="GI12" i="1"/>
  <c r="GH12" i="1"/>
  <c r="GL11" i="1"/>
  <c r="GM11" i="1" s="1"/>
  <c r="GK11" i="1"/>
  <c r="GJ11" i="1"/>
  <c r="GI11" i="1"/>
  <c r="GH11" i="1"/>
  <c r="GL10" i="1"/>
  <c r="GM10" i="1" s="1"/>
  <c r="GK10" i="1"/>
  <c r="GJ10" i="1"/>
  <c r="GI10" i="1"/>
  <c r="GH10" i="1"/>
  <c r="GL9" i="1"/>
  <c r="GK9" i="1"/>
  <c r="GM9" i="1" s="1"/>
  <c r="GJ9" i="1"/>
  <c r="GI9" i="1"/>
  <c r="GH9" i="1"/>
  <c r="GM8" i="1"/>
  <c r="GL8" i="1"/>
  <c r="GK8" i="1"/>
  <c r="GJ8" i="1"/>
  <c r="GI8" i="1"/>
  <c r="GH8" i="1"/>
  <c r="GL7" i="1"/>
  <c r="GM7" i="1" s="1"/>
  <c r="GK7" i="1"/>
  <c r="GJ7" i="1"/>
  <c r="GI7" i="1"/>
  <c r="GH7" i="1"/>
  <c r="C7" i="1"/>
  <c r="C8" i="1" s="1"/>
  <c r="C9" i="1" s="1"/>
  <c r="C10" i="1" s="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GL6" i="1"/>
  <c r="GK6" i="1"/>
  <c r="GM6" i="1" s="1"/>
  <c r="GJ6" i="1"/>
  <c r="GI6" i="1"/>
  <c r="GH6" i="1"/>
  <c r="C6" i="1"/>
  <c r="GM5" i="1"/>
  <c r="GL5" i="1"/>
  <c r="GK5" i="1"/>
  <c r="GJ5" i="1"/>
  <c r="GI5" i="1"/>
  <c r="GH5" i="1"/>
  <c r="GM33" i="14" l="1"/>
  <c r="GM41" i="14"/>
  <c r="GM85" i="14"/>
  <c r="GM122" i="14"/>
  <c r="GM207" i="14"/>
  <c r="GM215" i="14"/>
  <c r="GM227" i="14"/>
  <c r="GM237" i="14"/>
  <c r="GM106" i="14"/>
  <c r="GM79" i="14"/>
  <c r="GM188" i="14"/>
  <c r="GM197" i="14"/>
  <c r="GM56" i="14"/>
  <c r="GM66" i="14"/>
  <c r="GM138" i="14"/>
  <c r="GM45" i="14"/>
  <c r="GM5" i="14"/>
  <c r="GM127" i="14"/>
  <c r="GM8" i="14"/>
  <c r="GM29" i="14"/>
  <c r="GM84" i="14"/>
  <c r="GM89" i="14"/>
  <c r="GM103" i="14"/>
  <c r="GM18" i="14"/>
  <c r="GM198" i="14"/>
  <c r="GM154" i="14"/>
  <c r="GM6" i="14"/>
  <c r="GM14" i="14"/>
  <c r="GM30" i="14"/>
  <c r="GM59" i="14"/>
  <c r="GM42" i="14"/>
  <c r="GM216" i="14"/>
  <c r="GM238" i="14"/>
  <c r="GM55" i="14"/>
  <c r="GM61" i="14"/>
  <c r="GM44" i="14"/>
  <c r="GM218" i="14"/>
  <c r="GM211" i="14"/>
  <c r="GM2" i="14"/>
  <c r="GM27" i="14"/>
  <c r="GM38" i="14"/>
  <c r="GM54" i="14"/>
  <c r="GM191" i="14"/>
  <c r="GM214" i="14"/>
  <c r="GM234" i="14"/>
  <c r="GM13" i="14"/>
  <c r="GM21" i="14"/>
  <c r="GM26" i="14"/>
  <c r="GM142" i="14"/>
  <c r="GM146" i="14"/>
  <c r="GM153" i="14"/>
  <c r="GM7" i="14"/>
  <c r="GM178" i="14"/>
  <c r="GM135" i="14"/>
  <c r="GM35" i="14"/>
  <c r="GM51" i="14"/>
  <c r="GM11" i="14"/>
  <c r="GM36" i="14"/>
  <c r="GM53" i="14"/>
  <c r="GM69" i="14"/>
  <c r="GM82" i="14"/>
  <c r="GM113" i="14"/>
  <c r="GM133" i="14"/>
  <c r="GM143" i="14"/>
  <c r="GM150" i="14"/>
  <c r="GM162" i="14"/>
  <c r="GM170" i="14"/>
  <c r="GM186" i="14"/>
  <c r="GM194" i="14"/>
  <c r="GM225" i="14"/>
  <c r="GM243" i="14"/>
  <c r="GM71" i="14"/>
  <c r="GM92" i="14"/>
  <c r="GM118" i="14"/>
  <c r="GM161" i="14"/>
  <c r="GM180" i="14"/>
  <c r="GM64" i="14"/>
  <c r="GM245" i="14"/>
  <c r="GM81" i="14"/>
  <c r="GM126" i="14"/>
  <c r="GM130" i="14"/>
  <c r="GM193" i="14"/>
  <c r="GM220" i="14"/>
  <c r="GM224" i="14"/>
  <c r="GM242" i="14"/>
  <c r="GM120" i="14"/>
  <c r="GM155" i="14"/>
  <c r="GM202" i="14"/>
  <c r="GM217" i="14"/>
  <c r="GM10" i="14"/>
  <c r="GM24" i="14"/>
  <c r="GM12" i="14"/>
  <c r="GM37" i="14"/>
  <c r="GM46" i="14"/>
  <c r="GM83" i="14"/>
  <c r="GM102" i="14"/>
  <c r="GM105" i="14"/>
  <c r="GM144" i="14"/>
  <c r="GM152" i="14"/>
  <c r="GM164" i="14"/>
  <c r="GM195" i="14"/>
  <c r="GM200" i="14"/>
  <c r="GM208" i="14"/>
  <c r="GM223" i="14"/>
  <c r="GM226" i="14"/>
  <c r="GM244" i="14"/>
  <c r="GM3" i="14"/>
  <c r="GM9" i="14"/>
  <c r="GM17" i="14"/>
  <c r="GM20" i="14"/>
  <c r="GM31" i="14"/>
  <c r="GM34" i="14"/>
  <c r="GM125" i="14"/>
  <c r="GM129" i="14"/>
  <c r="GM192" i="14"/>
  <c r="GM241" i="14"/>
  <c r="GM32" i="14"/>
  <c r="GM116" i="14"/>
  <c r="GM22" i="14"/>
  <c r="GM43" i="14"/>
  <c r="GM219" i="14"/>
  <c r="GM28" i="14"/>
  <c r="GM4" i="14"/>
  <c r="GM40" i="14"/>
  <c r="GM67" i="14"/>
  <c r="GM107" i="14"/>
  <c r="GM58" i="14"/>
  <c r="GM86" i="14"/>
  <c r="GM97" i="14"/>
  <c r="GM110" i="14"/>
  <c r="GM119" i="14"/>
  <c r="GM187" i="14"/>
  <c r="GM190" i="14"/>
  <c r="GM15" i="14"/>
  <c r="GM39" i="14"/>
  <c r="GM221" i="14"/>
  <c r="GM239" i="14"/>
  <c r="GM23" i="14"/>
  <c r="GM57" i="14"/>
  <c r="GM68" i="14"/>
  <c r="GM78" i="14"/>
  <c r="GM88" i="14"/>
  <c r="GM91" i="14"/>
  <c r="GM95" i="14"/>
  <c r="GM108" i="14"/>
  <c r="GM112" i="14"/>
  <c r="GM115" i="14"/>
  <c r="GM137" i="14"/>
  <c r="GM141" i="14"/>
  <c r="GM168" i="14"/>
  <c r="GM189" i="14"/>
  <c r="GM233" i="14"/>
  <c r="GM25" i="14"/>
  <c r="GM47" i="14"/>
  <c r="GM98" i="14"/>
  <c r="GM63" i="14"/>
  <c r="GM70" i="14"/>
  <c r="GM93" i="14"/>
  <c r="GM111" i="14"/>
  <c r="GM117" i="14"/>
  <c r="GM136" i="14"/>
  <c r="GM139" i="14"/>
  <c r="GM171" i="14"/>
  <c r="GM206" i="14"/>
  <c r="GM213" i="14"/>
  <c r="GM240" i="14"/>
  <c r="GM52" i="14"/>
  <c r="GM16" i="14"/>
  <c r="GM19" i="14"/>
  <c r="GM62" i="14"/>
  <c r="GM74" i="14"/>
  <c r="GM101" i="14"/>
  <c r="GM104" i="14"/>
  <c r="GM48" i="14"/>
  <c r="GM72" i="14"/>
  <c r="GM114" i="14"/>
  <c r="GM87" i="14"/>
  <c r="GM90" i="14"/>
  <c r="GM99" i="14"/>
  <c r="GM81" i="1"/>
  <c r="GM91" i="1"/>
  <c r="GM95" i="1"/>
  <c r="GM105" i="1"/>
  <c r="GM109" i="1"/>
  <c r="GM153" i="1"/>
  <c r="GM164" i="1"/>
  <c r="GM229" i="1"/>
  <c r="GG186" i="3"/>
  <c r="GH21" i="3"/>
  <c r="GK26" i="3"/>
  <c r="GK30" i="3"/>
  <c r="GK38" i="3"/>
  <c r="GK46" i="3"/>
  <c r="GK54" i="3"/>
  <c r="GK62" i="3"/>
  <c r="GK70" i="3"/>
  <c r="GK78" i="3"/>
  <c r="GK86" i="3"/>
  <c r="GK94" i="3"/>
  <c r="GH29" i="3"/>
  <c r="GH37" i="3"/>
  <c r="GH45" i="3"/>
  <c r="GH53" i="3"/>
  <c r="GH61" i="3"/>
  <c r="GH69" i="3"/>
  <c r="GH77" i="3"/>
  <c r="GH85" i="3"/>
  <c r="GH93" i="3"/>
  <c r="GH101" i="3"/>
  <c r="GK101" i="3"/>
  <c r="GM123" i="1"/>
  <c r="GM196" i="1"/>
  <c r="GM246" i="1"/>
  <c r="GK25" i="3"/>
  <c r="GK41" i="3"/>
  <c r="GK49" i="3"/>
  <c r="GK57" i="3"/>
  <c r="GM84" i="1"/>
  <c r="GM201" i="1"/>
  <c r="GM221" i="1"/>
  <c r="GM74" i="1"/>
  <c r="GM132" i="1"/>
  <c r="GM156" i="1"/>
  <c r="GM183" i="1"/>
  <c r="GM195" i="1"/>
  <c r="GM211" i="1"/>
  <c r="GM226" i="1"/>
  <c r="GM237" i="1"/>
  <c r="GM245" i="1"/>
  <c r="GK6" i="3"/>
  <c r="GF186" i="3"/>
  <c r="GM191" i="1"/>
  <c r="GM241" i="1"/>
  <c r="GK33" i="3"/>
  <c r="GM217" i="1"/>
  <c r="GE186" i="3"/>
  <c r="GH5" i="3"/>
  <c r="K253" i="7"/>
</calcChain>
</file>

<file path=xl/sharedStrings.xml><?xml version="1.0" encoding="utf-8"?>
<sst xmlns="http://schemas.openxmlformats.org/spreadsheetml/2006/main" count="8538" uniqueCount="1018">
  <si>
    <t>EVERYTHING (all FTs, even those with no data, and all database species information)</t>
  </si>
  <si>
    <t>JUST "INCLUDE" FT from: MASTER_OPIHI DATA CLEANING (ALSO excludes individual transects that were crap, "1" = "present", "2" = "present in excluded transects"):</t>
  </si>
  <si>
    <t>JUST "INCLUDE" FT from: MASTER_OPIHI DATA CLEANING (ALSO excludes individual transects that were crap):</t>
  </si>
  <si>
    <t>EVERYTHING (all FTs, even those with no data, and species are delininated by "1" = "present")</t>
  </si>
  <si>
    <t>https://docs.google.com/spreadsheets/d/1hKqULHWJ4k9WGsgo4QkwDRNJa49Nw2uK8WbSAHKes5I/edit#gid=0</t>
  </si>
  <si>
    <t>Green:Whole Field trip was excluded from Diversity calculations (Sheet 1); Orange: Excluded Transect were reinstated from Diversity calculations (Sheet 1); If transects were excluded due to missing transects (no data), they were not highlighted</t>
  </si>
  <si>
    <t>Date</t>
  </si>
  <si>
    <t>Location</t>
  </si>
  <si>
    <t>latitude</t>
  </si>
  <si>
    <t>longitude</t>
  </si>
  <si>
    <t>School</t>
  </si>
  <si>
    <t>Start Time</t>
  </si>
  <si>
    <t>Stop Time</t>
  </si>
  <si>
    <t>Num of T</t>
  </si>
  <si>
    <t>Transect Length</t>
  </si>
  <si>
    <t>Pt Spacing</t>
  </si>
  <si>
    <t>Num of Quad/T</t>
  </si>
  <si>
    <t>Actual Quadrats sampled</t>
  </si>
  <si>
    <t>Actual Q/T if different than stated</t>
  </si>
  <si>
    <t>Excluding transects (not for P/A)</t>
  </si>
  <si>
    <t>Notes</t>
  </si>
  <si>
    <t>Acanthophora spicifera</t>
  </si>
  <si>
    <t>Actinopyga varians</t>
  </si>
  <si>
    <t>Ahnfeltiopsis concinna</t>
  </si>
  <si>
    <t>Ahnfeltiopsis flabelliformis</t>
  </si>
  <si>
    <t>Aiptasia pulchella</t>
  </si>
  <si>
    <t>Red: Field trip has no quadrat/transect species data</t>
  </si>
  <si>
    <t>Excluding Transects/reason</t>
  </si>
  <si>
    <t>Actual Quadrats (after exclusions)</t>
  </si>
  <si>
    <t>Akalaphycus setchelliae</t>
  </si>
  <si>
    <t>Amansia glomerata</t>
  </si>
  <si>
    <t>Amphipod spp</t>
  </si>
  <si>
    <t>Anthopleura nigrescens</t>
  </si>
  <si>
    <t>Aplysia spp</t>
  </si>
  <si>
    <t>Articulated Corallines</t>
  </si>
  <si>
    <t>Asparagopsis taxiformis</t>
  </si>
  <si>
    <t>Asteronema breviarticulatum</t>
  </si>
  <si>
    <t>Avrainvillea amadelpha</t>
  </si>
  <si>
    <t>Barnacles spp</t>
  </si>
  <si>
    <t>Bleached Coral</t>
  </si>
  <si>
    <t>Boodlea composita</t>
  </si>
  <si>
    <t>Bornetella sphaerica</t>
  </si>
  <si>
    <t>Botryocladia skottsbergii</t>
  </si>
  <si>
    <t>Brachidontes crebristriatus</t>
  </si>
  <si>
    <t>Brittle Star</t>
  </si>
  <si>
    <t>Brown Crust</t>
  </si>
  <si>
    <t>Bryopsis spp</t>
  </si>
  <si>
    <t>Calcinus elegans</t>
  </si>
  <si>
    <t>Calcinus laevimanus</t>
  </si>
  <si>
    <t>Calcinus seurati</t>
  </si>
  <si>
    <t>Caulerpa racemosa</t>
  </si>
  <si>
    <t>Caulerpa sertularioides</t>
  </si>
  <si>
    <t>Caulerpa spp</t>
  </si>
  <si>
    <t>Cellana exarata</t>
  </si>
  <si>
    <t>Cellana sandwicensis</t>
  </si>
  <si>
    <t>Centroceras clavulatum</t>
  </si>
  <si>
    <t>Chaetomorpha antennina</t>
  </si>
  <si>
    <t>Champia parvula</t>
  </si>
  <si>
    <t>Chnoospora minima</t>
  </si>
  <si>
    <t>Chondria spp</t>
  </si>
  <si>
    <t>Cladophora or Cladophoropsis spp</t>
  </si>
  <si>
    <t>Codium arabicum</t>
  </si>
  <si>
    <t>Codium edule</t>
  </si>
  <si>
    <t>Codium spp.</t>
  </si>
  <si>
    <t>Coelothrix irregularis</t>
  </si>
  <si>
    <t>Colobocentrotus atratus</t>
  </si>
  <si>
    <t>Colpomenia sinuosa</t>
  </si>
  <si>
    <t>Conus ebraeus</t>
  </si>
  <si>
    <t>Conus spp</t>
  </si>
  <si>
    <t>Coral spp.</t>
  </si>
  <si>
    <t>Crab spp</t>
  </si>
  <si>
    <t>Crustose Coralline Algae</t>
  </si>
  <si>
    <t>df_###</t>
  </si>
  <si>
    <t>Cyanobacteria spp</t>
  </si>
  <si>
    <t>Cypraea tigris</t>
  </si>
  <si>
    <t>Dasya spp</t>
  </si>
  <si>
    <t>Dendropoma gregaria</t>
  </si>
  <si>
    <t>Diadema paucispinum</t>
  </si>
  <si>
    <t>Dichotomaria marginata</t>
  </si>
  <si>
    <t>Dictyopteris spp</t>
  </si>
  <si>
    <t>Dictyosphaeria cavernosa</t>
  </si>
  <si>
    <t>Dictyosphaeria spp</t>
  </si>
  <si>
    <t>Dictyosphaeria versluysii</t>
  </si>
  <si>
    <t>Dictyota acutiloba</t>
  </si>
  <si>
    <t>Dictyota sandvicensis</t>
  </si>
  <si>
    <t>Dictyota spp</t>
  </si>
  <si>
    <t>Drupa morum</t>
  </si>
  <si>
    <t>Echinolittorina hawaiiensis</t>
  </si>
  <si>
    <t>Echinometra mathaei</t>
  </si>
  <si>
    <t>Echinometra oblonga</t>
  </si>
  <si>
    <t>Echinometra sp</t>
  </si>
  <si>
    <t>Echinothrix spp</t>
  </si>
  <si>
    <t>Fireworm spp</t>
  </si>
  <si>
    <t>Galaxaura spp</t>
  </si>
  <si>
    <t>Galaxaura or Liagora sp</t>
  </si>
  <si>
    <t>Gelid spp</t>
  </si>
  <si>
    <t>Gelidiella acerosa</t>
  </si>
  <si>
    <t>Gelidiopsis intricata</t>
  </si>
  <si>
    <t>Gelidiopsis spp</t>
  </si>
  <si>
    <t>Gelidium pusillum</t>
  </si>
  <si>
    <t>Gracilaria salicornia</t>
  </si>
  <si>
    <t>Grapsus tenuicrustatus</t>
  </si>
  <si>
    <t>Grateloupia spp</t>
  </si>
  <si>
    <t>Griffithsia spp</t>
  </si>
  <si>
    <t>Halimeda discoidea</t>
  </si>
  <si>
    <t>Haminoea cymbalum</t>
  </si>
  <si>
    <t>Hermit Crab</t>
  </si>
  <si>
    <t>Holothuria atra</t>
  </si>
  <si>
    <t>Holothuria cinerascens</t>
  </si>
  <si>
    <t>Holothuria difficilis</t>
  </si>
  <si>
    <t>Holothuria hilla</t>
  </si>
  <si>
    <t>Holothuria pardalis</t>
  </si>
  <si>
    <t>Holothuria spp</t>
  </si>
  <si>
    <t>Holothuria whitmaei</t>
  </si>
  <si>
    <t>Hydroclathrus clathratus</t>
  </si>
  <si>
    <t>Hypnea cervicornis</t>
  </si>
  <si>
    <t>Hypnea chordacea</t>
  </si>
  <si>
    <t>Hypnea musciformis</t>
  </si>
  <si>
    <t>Hypnea spp</t>
  </si>
  <si>
    <t>Isognomon californicum</t>
  </si>
  <si>
    <t>Isognomon perna</t>
  </si>
  <si>
    <t>Laurencia dendroidea</t>
  </si>
  <si>
    <t>Laurencia dotyi</t>
  </si>
  <si>
    <t>Laurencia mcdermidiae</t>
  </si>
  <si>
    <t>Laurencia spp</t>
  </si>
  <si>
    <t>Leptolyngbya crosbyana</t>
  </si>
  <si>
    <t>Liagora spp</t>
  </si>
  <si>
    <t>Littoraria pintado</t>
  </si>
  <si>
    <t>Lobophora variegata</t>
  </si>
  <si>
    <t>Loimia medusa</t>
  </si>
  <si>
    <t>Lyngbya majuscula</t>
  </si>
  <si>
    <t>Martensia spp</t>
  </si>
  <si>
    <t>Mauritia mauritiana</t>
  </si>
  <si>
    <t>Microdictyon setchellianum</t>
  </si>
  <si>
    <t>Monetaria caputserpentis</t>
  </si>
  <si>
    <t>Montipora capitata</t>
  </si>
  <si>
    <t>Montipora sp</t>
  </si>
  <si>
    <t>Morula granulata</t>
  </si>
  <si>
    <t>Morula sp</t>
  </si>
  <si>
    <t>Morula uva</t>
  </si>
  <si>
    <t>Neomeris spp</t>
  </si>
  <si>
    <t>Nerita picea</t>
  </si>
  <si>
    <t>Nerita polita</t>
  </si>
  <si>
    <t>Nesochthamalus intertextus</t>
  </si>
  <si>
    <t>Ophiocoma brevipes</t>
  </si>
  <si>
    <t>Ophiocoma erinaceus</t>
  </si>
  <si>
    <t>Onchidium verruculatum</t>
  </si>
  <si>
    <t>Padina spp</t>
  </si>
  <si>
    <t>Palisada parvipapillata</t>
  </si>
  <si>
    <t>Palythoa caesia</t>
  </si>
  <si>
    <t>Parvocaulis parvulus</t>
  </si>
  <si>
    <t>Peasiella tantilla</t>
  </si>
  <si>
    <t>Pennaria disticha</t>
  </si>
  <si>
    <t>Pocillopora damicornis</t>
  </si>
  <si>
    <t>Pocillopora sp</t>
  </si>
  <si>
    <t>Porites lobata</t>
  </si>
  <si>
    <t>Porites sp</t>
  </si>
  <si>
    <t>Portieria hornemannii</t>
  </si>
  <si>
    <t>Protopalythoa spp</t>
  </si>
  <si>
    <t>Pterocladiella caerulescens</t>
  </si>
  <si>
    <t>Pterocladiella capillacea</t>
  </si>
  <si>
    <t>Pterocladiella spp</t>
  </si>
  <si>
    <t>Rhodymenia spp</t>
  </si>
  <si>
    <t>Sargassum aquifolium</t>
  </si>
  <si>
    <t>Sargassum polyphyllum</t>
  </si>
  <si>
    <t>Sargassum spp</t>
  </si>
  <si>
    <t>Siphonaria normalis</t>
  </si>
  <si>
    <t>Smaragdinella calyculata</t>
  </si>
  <si>
    <t>Snail spp</t>
  </si>
  <si>
    <t>Sphacelaria spp</t>
  </si>
  <si>
    <t>Spirobranchus giganteus</t>
  </si>
  <si>
    <t>Sponge spp</t>
  </si>
  <si>
    <t>Spyridia filamentosa</t>
  </si>
  <si>
    <t>Stomatopod spp</t>
  </si>
  <si>
    <t>Stylocheilus striatus</t>
  </si>
  <si>
    <t>Symploca hydnoides</t>
  </si>
  <si>
    <t>Thylacodes variabilis</t>
  </si>
  <si>
    <t>Trichogloea spp</t>
  </si>
  <si>
    <t>Tripneustes gratilla</t>
  </si>
  <si>
    <t>Tube snail</t>
  </si>
  <si>
    <t>Turbinaria ornata</t>
  </si>
  <si>
    <t>Turf spp</t>
  </si>
  <si>
    <t>Ulva fasciata</t>
  </si>
  <si>
    <t>Ulva flexuosa</t>
  </si>
  <si>
    <t>Ulva reticulata</t>
  </si>
  <si>
    <t>Ulva spp</t>
  </si>
  <si>
    <t>Zoanthid spp</t>
  </si>
  <si>
    <t>Unknown Brown</t>
  </si>
  <si>
    <t>Unknown Cyanobacteria</t>
  </si>
  <si>
    <t>Unknown Fuzzy</t>
  </si>
  <si>
    <t>Unknown Green</t>
  </si>
  <si>
    <t>Unknown Polychaete</t>
  </si>
  <si>
    <t>Unknown  Red</t>
  </si>
  <si>
    <t>Unknown species</t>
  </si>
  <si>
    <t>Wrangelia elegantissima</t>
  </si>
  <si>
    <t>Species count:</t>
  </si>
  <si>
    <t>Kahana Bay</t>
  </si>
  <si>
    <t>OPIHI Coordinator</t>
  </si>
  <si>
    <t>1 meter</t>
  </si>
  <si>
    <t>5,1,2,4,7,3</t>
  </si>
  <si>
    <t>Snail spp.</t>
  </si>
  <si>
    <t>Diamond Head</t>
  </si>
  <si>
    <t>9,9,12,12,9,7</t>
  </si>
  <si>
    <t>Trochus intextus</t>
  </si>
  <si>
    <t>4,1,6,6,10,6</t>
  </si>
  <si>
    <t>Valonia spp</t>
  </si>
  <si>
    <t>5,2,3,3,6,6,6</t>
  </si>
  <si>
    <t>Species Count (&gt;=2)</t>
  </si>
  <si>
    <t>Species count (&gt;=5)</t>
  </si>
  <si>
    <t>Simpson's Diversity Index:</t>
  </si>
  <si>
    <t>Number of tallies recorded_species only</t>
  </si>
  <si>
    <t>Total number of tallies</t>
  </si>
  <si>
    <t>7,10,10,10,10,9</t>
  </si>
  <si>
    <t>Difference = substrate tallies</t>
  </si>
  <si>
    <t>5,0,2,7,5,5,5</t>
  </si>
  <si>
    <t>9,10,7,6,5,9,10</t>
  </si>
  <si>
    <t>Sand Island</t>
  </si>
  <si>
    <t>2 meters</t>
  </si>
  <si>
    <t>9,6,5,6</t>
  </si>
  <si>
    <t>Barbers Point</t>
  </si>
  <si>
    <t>7,6,7,6,4</t>
  </si>
  <si>
    <t>8,9,9,10,9</t>
  </si>
  <si>
    <t>9,8,5,7</t>
  </si>
  <si>
    <t>5,9,7,10.5</t>
  </si>
  <si>
    <t>7,5,4,6,7,5</t>
  </si>
  <si>
    <t>9,9,10,10</t>
  </si>
  <si>
    <t>Turtle Bay</t>
  </si>
  <si>
    <t>3 meters</t>
  </si>
  <si>
    <t>8,7,7</t>
  </si>
  <si>
    <t>6,5</t>
  </si>
  <si>
    <t>Waipuilani</t>
  </si>
  <si>
    <t>8,6,8,8,6</t>
  </si>
  <si>
    <t>5,8,7</t>
  </si>
  <si>
    <t>Mapulehu</t>
  </si>
  <si>
    <t>10.10,9</t>
  </si>
  <si>
    <t>9,10,8,10,8,8</t>
  </si>
  <si>
    <t>5,10,11,7,9</t>
  </si>
  <si>
    <t>5 meters</t>
  </si>
  <si>
    <t>5,4,3,4</t>
  </si>
  <si>
    <t>2,4,4</t>
  </si>
  <si>
    <t>Morris Point</t>
  </si>
  <si>
    <t>9,9,9</t>
  </si>
  <si>
    <t>3,3,4,4</t>
  </si>
  <si>
    <t>4,4,2,3,4,2,4</t>
  </si>
  <si>
    <t>Ewa Beach</t>
  </si>
  <si>
    <t>4 meters</t>
  </si>
  <si>
    <t>Sandy Beach</t>
  </si>
  <si>
    <t>Waiopae</t>
  </si>
  <si>
    <t>4,5,4</t>
  </si>
  <si>
    <t>12,9,11,10,11,10.11</t>
  </si>
  <si>
    <t>Maili Beach</t>
  </si>
  <si>
    <t>3,6,6</t>
  </si>
  <si>
    <t>11,11,11,8,8,9.8,</t>
  </si>
  <si>
    <t>10,9,9,8</t>
  </si>
  <si>
    <t>4,2,4,5</t>
  </si>
  <si>
    <t>7,9,9,9,9</t>
  </si>
  <si>
    <t>8,7,6,8,7</t>
  </si>
  <si>
    <t>3,3,5,5,6</t>
  </si>
  <si>
    <t>5,5,4,6</t>
  </si>
  <si>
    <t>Hilo Yacht Club</t>
  </si>
  <si>
    <t>2,4,6,6,4</t>
  </si>
  <si>
    <t>4,3,3,5</t>
  </si>
  <si>
    <t>10,10,10,9,10</t>
  </si>
  <si>
    <t>6,5,6,6,5</t>
  </si>
  <si>
    <t>11,11,8,11</t>
  </si>
  <si>
    <t>13,12,11,10,9,11,9</t>
  </si>
  <si>
    <t>Waipouli</t>
  </si>
  <si>
    <t>12,13,15</t>
  </si>
  <si>
    <t>15,14,14</t>
  </si>
  <si>
    <t xml:space="preserve">OPIHI  </t>
  </si>
  <si>
    <t>7,7,5,6,6,6,7</t>
  </si>
  <si>
    <t>T2; species richness</t>
  </si>
  <si>
    <t>Mary Star of the Sea</t>
  </si>
  <si>
    <t>6,3,6,5,6,5,5</t>
  </si>
  <si>
    <t>OPIHI</t>
  </si>
  <si>
    <t>8,2,8,5</t>
  </si>
  <si>
    <t>2,4,4,4,4</t>
  </si>
  <si>
    <t>1.5 meters</t>
  </si>
  <si>
    <t>Highlands Intermediate School</t>
  </si>
  <si>
    <t>5,5,5,5,6</t>
  </si>
  <si>
    <t>Keiki Ponds</t>
  </si>
  <si>
    <t>12,11,11,11,10,8,8,10</t>
  </si>
  <si>
    <t>T6; species richness</t>
  </si>
  <si>
    <t>10,7,8,6,5,7,8</t>
  </si>
  <si>
    <t>6,6,6,5,6</t>
  </si>
  <si>
    <t>6,6,6,6,6,6,5</t>
  </si>
  <si>
    <t>Molokai High School</t>
  </si>
  <si>
    <t>14,6,0.5</t>
  </si>
  <si>
    <t>T3; no data</t>
  </si>
  <si>
    <t>Pahoa High and Intermediate School</t>
  </si>
  <si>
    <t>4,4,5,5,5</t>
  </si>
  <si>
    <t>Richardsons</t>
  </si>
  <si>
    <t>5,5,5,4</t>
  </si>
  <si>
    <t>Onekahakaha</t>
  </si>
  <si>
    <t>10,0,5,5</t>
  </si>
  <si>
    <t>T2; no data</t>
  </si>
  <si>
    <t>7,10,9,9</t>
  </si>
  <si>
    <t>Kilauea School</t>
  </si>
  <si>
    <t>5,4,5,5,5</t>
  </si>
  <si>
    <t>Hawaii Baptist Academy</t>
  </si>
  <si>
    <t>8,7,8,6</t>
  </si>
  <si>
    <t>Fuji</t>
  </si>
  <si>
    <t xml:space="preserve">Kilauea  </t>
  </si>
  <si>
    <t>Napili Bay</t>
  </si>
  <si>
    <t>7,6,5,6,5</t>
  </si>
  <si>
    <t>9,5,9,11</t>
  </si>
  <si>
    <t>10,10,10,9</t>
  </si>
  <si>
    <t>Kaupo</t>
  </si>
  <si>
    <t>Ka Umeke Kaeo PCS</t>
  </si>
  <si>
    <t>9,10,9,7,10,10,9</t>
  </si>
  <si>
    <t>Keei</t>
  </si>
  <si>
    <t>11,11,13,6</t>
  </si>
  <si>
    <t>Kiholo Bay</t>
  </si>
  <si>
    <t>Kohala High School</t>
  </si>
  <si>
    <t>1/2 meter</t>
  </si>
  <si>
    <t>7,9,9</t>
  </si>
  <si>
    <t>10,0,10,0</t>
  </si>
  <si>
    <t>T2,T4; no data</t>
  </si>
  <si>
    <t>0.5 meter</t>
  </si>
  <si>
    <t>5,5,6,5,5,5,4,5,7</t>
  </si>
  <si>
    <t>Nukolii</t>
  </si>
  <si>
    <t>Kawaikini New Century Public Charter School</t>
  </si>
  <si>
    <t>7,5</t>
  </si>
  <si>
    <t>5,5,6,7,5,6,6,7,7</t>
  </si>
  <si>
    <t>15,16,12</t>
  </si>
  <si>
    <t>Radford High School</t>
  </si>
  <si>
    <t>Waipahu High School</t>
  </si>
  <si>
    <t>5,5,2,5,5,2,2</t>
  </si>
  <si>
    <t>T1,T3,T7; species richness</t>
  </si>
  <si>
    <t>Kapukahehu Kaluakoʻi</t>
  </si>
  <si>
    <t>Kualapuu School</t>
  </si>
  <si>
    <t>4,4,5,4,5,5</t>
  </si>
  <si>
    <t>5,5,0,5,4,5</t>
  </si>
  <si>
    <t>Mililani High School</t>
  </si>
  <si>
    <t>5,5,5,5,1,5,5</t>
  </si>
  <si>
    <t>T2; teacher comments</t>
  </si>
  <si>
    <t>5,5,5,6,5,6</t>
  </si>
  <si>
    <t>Holoholokai</t>
  </si>
  <si>
    <t>5,3,5,4,5,4</t>
  </si>
  <si>
    <t>10,7,3</t>
  </si>
  <si>
    <t>Old Airport</t>
  </si>
  <si>
    <t>10,8,10</t>
  </si>
  <si>
    <t>10,8,10,9,8,10</t>
  </si>
  <si>
    <t>5,10,0,11</t>
  </si>
  <si>
    <t>University of Hawaii</t>
  </si>
  <si>
    <t>5,8,5,7</t>
  </si>
  <si>
    <t>3,5,5,5,5,5,5</t>
  </si>
  <si>
    <t>Kilauea</t>
  </si>
  <si>
    <t>5,6,6,5,6,5</t>
  </si>
  <si>
    <t>6,7,5,8,6,5,</t>
  </si>
  <si>
    <t>Kauai High School</t>
  </si>
  <si>
    <t>5,5,5,5,4,4</t>
  </si>
  <si>
    <t>Keiki Bay</t>
  </si>
  <si>
    <t>Kailua Intermediate</t>
  </si>
  <si>
    <t>4,6,6,6,5</t>
  </si>
  <si>
    <t>Sandy Beach West</t>
  </si>
  <si>
    <t>Stevenson Middle School</t>
  </si>
  <si>
    <t>3,4,4,2,4,3,3</t>
  </si>
  <si>
    <t>Hilo Union School</t>
  </si>
  <si>
    <t>Moomomi</t>
  </si>
  <si>
    <t>3 meter</t>
  </si>
  <si>
    <t>9,5,5,8</t>
  </si>
  <si>
    <t>10,5,12,9</t>
  </si>
  <si>
    <t>7,0,7,6,5,5,4,0,6</t>
  </si>
  <si>
    <t>T2,T8; no data</t>
  </si>
  <si>
    <t>5,0,5,5,5,4</t>
  </si>
  <si>
    <t>Wawaloli</t>
  </si>
  <si>
    <t>Hawaii Technology Academy</t>
  </si>
  <si>
    <t>8,10,10.10</t>
  </si>
  <si>
    <t>Mahaulepu</t>
  </si>
  <si>
    <t>5,0,4,5,5</t>
  </si>
  <si>
    <t>5,5,5,4,5,5,5</t>
  </si>
  <si>
    <t>Ilima Intermediate School</t>
  </si>
  <si>
    <t>2,5,4,4,4,4</t>
  </si>
  <si>
    <t>Hulopo'e Bay</t>
  </si>
  <si>
    <t>Lanai High and Elementary</t>
  </si>
  <si>
    <t>5,2,5,3,5</t>
  </si>
  <si>
    <t>Keawakapu</t>
  </si>
  <si>
    <t>St. Anthony High School</t>
  </si>
  <si>
    <t>1,0,1,0,1,0,0,3,2</t>
  </si>
  <si>
    <t>5,5,5,4,4</t>
  </si>
  <si>
    <t>Kealakehe High School</t>
  </si>
  <si>
    <t>11,11,11,10,11,11,10</t>
  </si>
  <si>
    <t>Volcano School of Arts and Sciences</t>
  </si>
  <si>
    <t>6,6,5,6,5</t>
  </si>
  <si>
    <t>Farrington High School</t>
  </si>
  <si>
    <t>3,5,5,5,0,5,5</t>
  </si>
  <si>
    <t>T5; no data</t>
  </si>
  <si>
    <t>5,0,3</t>
  </si>
  <si>
    <t>Iolani School</t>
  </si>
  <si>
    <t>6,5,5,5,5,5</t>
  </si>
  <si>
    <t>Kula Kaiapuni o Lahainaluna</t>
  </si>
  <si>
    <t>5,6</t>
  </si>
  <si>
    <t>4,3,4,4,5,5</t>
  </si>
  <si>
    <t>Oneo Bay</t>
  </si>
  <si>
    <t>10,10,9,7,8</t>
  </si>
  <si>
    <t>T6; no data</t>
  </si>
  <si>
    <t>Lokelani</t>
  </si>
  <si>
    <t>0.25 meter</t>
  </si>
  <si>
    <t>6,6,6,6</t>
  </si>
  <si>
    <t>Salt Pond</t>
  </si>
  <si>
    <t>Waimea Canyon Middle School</t>
  </si>
  <si>
    <t>3,5,5,4,4,4</t>
  </si>
  <si>
    <t>4,5,5,5,5</t>
  </si>
  <si>
    <t>10,5,8,9</t>
  </si>
  <si>
    <t>8,10,8</t>
  </si>
  <si>
    <t>8,7,6,6</t>
  </si>
  <si>
    <t>11,11,4</t>
  </si>
  <si>
    <t>11,12,12</t>
  </si>
  <si>
    <t>9,10,10</t>
  </si>
  <si>
    <t>5,5,5,5,5,4,3,5,4,5</t>
  </si>
  <si>
    <t>T6,T7; species richness</t>
  </si>
  <si>
    <t>4,9,9,6</t>
  </si>
  <si>
    <t>Hongwanji Mission School</t>
  </si>
  <si>
    <t>5,5,0,3,5,1</t>
  </si>
  <si>
    <t>1.5 meter</t>
  </si>
  <si>
    <t>7,7,11</t>
  </si>
  <si>
    <t>3,4,4,4,5,0,4,1,5</t>
  </si>
  <si>
    <t>UH Manoa</t>
  </si>
  <si>
    <t>4,9,10</t>
  </si>
  <si>
    <t>5,0,3,1</t>
  </si>
  <si>
    <t>4,2,4,3,3,4</t>
  </si>
  <si>
    <t>Kamehameha Schools</t>
  </si>
  <si>
    <t>5,5,5,5,5</t>
  </si>
  <si>
    <t>T6,T7; no data</t>
  </si>
  <si>
    <t>8,10,11,10,11</t>
  </si>
  <si>
    <t>5,5,4,5,4</t>
  </si>
  <si>
    <t>4,5,4,6,6</t>
  </si>
  <si>
    <t>Ka Waihona I Ka Naauao PCS</t>
  </si>
  <si>
    <t>5,5,5,0</t>
  </si>
  <si>
    <t>6,6,4,6,4</t>
  </si>
  <si>
    <t>5,5,5,2,5,5</t>
  </si>
  <si>
    <t>T4; species richness</t>
  </si>
  <si>
    <t>7,8,7,8,6,6,8,5,7,7</t>
  </si>
  <si>
    <t>4,6,9,6,11,10,6</t>
  </si>
  <si>
    <t>T7; species richness</t>
  </si>
  <si>
    <t>5,0,6,4,5,6</t>
  </si>
  <si>
    <t>T2,T5;no data, species richness</t>
  </si>
  <si>
    <t>10,9,8,5,10,10</t>
  </si>
  <si>
    <t>1,3,0,3,0</t>
  </si>
  <si>
    <t>Mokauea Island</t>
  </si>
  <si>
    <t>5,4,5,5</t>
  </si>
  <si>
    <t>0,0,10</t>
  </si>
  <si>
    <t>T1,T2; no data</t>
  </si>
  <si>
    <t>5,10,10</t>
  </si>
  <si>
    <t>5,3,4,5,5,5,0,5</t>
  </si>
  <si>
    <t>T3</t>
  </si>
  <si>
    <t>8,13,5,10,7,0</t>
  </si>
  <si>
    <t>T2, T6</t>
  </si>
  <si>
    <t>If see "2" means that species was only found in excluded transect</t>
  </si>
  <si>
    <t>7,9,8,7,7,8,10</t>
  </si>
  <si>
    <t>9,9,2,5</t>
  </si>
  <si>
    <t>T3; Low species richness</t>
  </si>
  <si>
    <t>Mililani Middle</t>
  </si>
  <si>
    <t>5,0,5,0,0,0</t>
  </si>
  <si>
    <t>8,9,9.5</t>
  </si>
  <si>
    <t>Baby Makapuu</t>
  </si>
  <si>
    <t>4,5,4,4,3,3,5</t>
  </si>
  <si>
    <t>T4; quadrats did not add up to 25</t>
  </si>
  <si>
    <t>Paauilo Elementary and Intermediate School</t>
  </si>
  <si>
    <t>1/4 meter</t>
  </si>
  <si>
    <t>7,8,6,8</t>
  </si>
  <si>
    <t>5,5,5,3,5,4,4</t>
  </si>
  <si>
    <t xml:space="preserve">T6;  T6--&gt;group did not specify species of algae, only as "algae" </t>
  </si>
  <si>
    <t>4,5,4,5,4</t>
  </si>
  <si>
    <t>Waimea High School</t>
  </si>
  <si>
    <t>4,5,5,5,5,5</t>
  </si>
  <si>
    <t>Haneo'o Fishpond</t>
  </si>
  <si>
    <t>Hana School</t>
  </si>
  <si>
    <t>Waimanalo School</t>
  </si>
  <si>
    <t>2.5 meters</t>
  </si>
  <si>
    <t>1,4,2,3</t>
  </si>
  <si>
    <t>4,5,3,5,4,5,2</t>
  </si>
  <si>
    <t>Lanikai Point</t>
  </si>
  <si>
    <t>6,4,9,9,5,7</t>
  </si>
  <si>
    <t>T1,T5--&gt;low species richness</t>
  </si>
  <si>
    <t>3,4,4,4,5</t>
  </si>
  <si>
    <t>Saint Louis School</t>
  </si>
  <si>
    <t>4,4,5,5,5,5</t>
  </si>
  <si>
    <t>Our Savior Lutheran School</t>
  </si>
  <si>
    <t>1,1,1,0,1,1,1</t>
  </si>
  <si>
    <t>10,10,10,8,8</t>
  </si>
  <si>
    <t>Hilo Union Elementary</t>
  </si>
  <si>
    <t>5,5,5,3,2,5,4</t>
  </si>
  <si>
    <t>T3,T5; low species richness (&lt;3/transect)</t>
  </si>
  <si>
    <t>1,0,1,0,1,1,1,1,0,0,1</t>
  </si>
  <si>
    <t>6,8,5,7</t>
  </si>
  <si>
    <t>5,4,4,5,5,5,5</t>
  </si>
  <si>
    <t>T7; low species richness</t>
  </si>
  <si>
    <t>Kona Bay Estates</t>
  </si>
  <si>
    <t>4,2,2,5,4,5</t>
  </si>
  <si>
    <t>10,9,9,10,8</t>
  </si>
  <si>
    <t>Waiʻanae High School Reef</t>
  </si>
  <si>
    <t>Waianae High School</t>
  </si>
  <si>
    <t>7,9,7,9,8</t>
  </si>
  <si>
    <t>T4,T5; low species richness and strange zonation</t>
  </si>
  <si>
    <t>Hawaii Academy of Arts and Sciences</t>
  </si>
  <si>
    <t>5,2,5,5,5,5</t>
  </si>
  <si>
    <t>3,3,4,3,3,2</t>
  </si>
  <si>
    <t>Kamaole 2&amp;3 Beach Parks</t>
  </si>
  <si>
    <t>0,1,3,3,0,3,3,3,5,4</t>
  </si>
  <si>
    <t>T1,T2,T3, T5, T6; low species richness, lack of data</t>
  </si>
  <si>
    <t>3,2,5,6,3</t>
  </si>
  <si>
    <t xml:space="preserve">Highlands Intermediate  </t>
  </si>
  <si>
    <t>6,6,3</t>
  </si>
  <si>
    <t>T2,T3; low species richness</t>
  </si>
  <si>
    <t>8,9,7,1,6,11</t>
  </si>
  <si>
    <t>T2,T3,T4,T5; low species richness</t>
  </si>
  <si>
    <t>West Hawaii Explorations Academy PCS</t>
  </si>
  <si>
    <t>5,5,0,5,5</t>
  </si>
  <si>
    <t>No results displayed for 3rd transect</t>
  </si>
  <si>
    <t xml:space="preserve">Kahalu'u Bay </t>
  </si>
  <si>
    <t>5,5,4,5,5</t>
  </si>
  <si>
    <t>Hawaii Technology Academy PCS</t>
  </si>
  <si>
    <t>2,3,0,0,0</t>
  </si>
  <si>
    <t>Punalu'u Beach Park</t>
  </si>
  <si>
    <t>7,6,4,5,6</t>
  </si>
  <si>
    <t>5 Transects, all different #'s of quadrats/ transect</t>
  </si>
  <si>
    <t>4,1,4</t>
  </si>
  <si>
    <t>In database only 3 transects (note the 2nd transect consisted of only 1 quadrat). Transects 1 and 3 had only 4 quadrats (not stated 5).</t>
  </si>
  <si>
    <t>University of Hawaii at Manoa</t>
  </si>
  <si>
    <t>Actually 5 (vs. 3) transects and 5 quads/T (vs. 10) in datasheet</t>
  </si>
  <si>
    <t>1,0,0,0</t>
  </si>
  <si>
    <t>5,5,5,5,5,0,0</t>
  </si>
  <si>
    <t>0,4,1,3,3,3,3</t>
  </si>
  <si>
    <t>4,3,4,4,4</t>
  </si>
  <si>
    <t>5,5,3,5</t>
  </si>
  <si>
    <t>5,5,2,5,5,5</t>
  </si>
  <si>
    <t>5,8,5</t>
  </si>
  <si>
    <t>5,5,3,5,5,3</t>
  </si>
  <si>
    <t>3,2,2,2,4,2,1</t>
  </si>
  <si>
    <t>4,4,5,3,4,5,1</t>
  </si>
  <si>
    <t>4,5,0</t>
  </si>
  <si>
    <t>2,5,3,2,7</t>
  </si>
  <si>
    <t>Farrington High school</t>
  </si>
  <si>
    <t>5,0,0,0.0</t>
  </si>
  <si>
    <t>Mare Ike</t>
  </si>
  <si>
    <t>0,1,1</t>
  </si>
  <si>
    <t>4,5,5,0,5,5</t>
  </si>
  <si>
    <t>3,1,3,3</t>
  </si>
  <si>
    <t>0,0,6</t>
  </si>
  <si>
    <t>6,5,0,3,6</t>
  </si>
  <si>
    <t>Hongwanji MIssion School</t>
  </si>
  <si>
    <t>5,0,3,1,3</t>
  </si>
  <si>
    <t>Kahalu'u Bay</t>
  </si>
  <si>
    <t>5,6,6,6,6</t>
  </si>
  <si>
    <t>5,5</t>
  </si>
  <si>
    <t>10,10,9,7,8,0</t>
  </si>
  <si>
    <t>Voyager Public Charter School</t>
  </si>
  <si>
    <t>4,4,3,4,3,2</t>
  </si>
  <si>
    <t>3,3,3,2</t>
  </si>
  <si>
    <t>5,0,0,4,0</t>
  </si>
  <si>
    <t>1,0,0,0,0,0</t>
  </si>
  <si>
    <t>0,0,2,0,2,1,0</t>
  </si>
  <si>
    <t>5,4,6,7,3,5,2,3</t>
  </si>
  <si>
    <t>7,0,7,7,8,7,0,7</t>
  </si>
  <si>
    <t>This list leaves out field trips without any field trip time data (coded as 0:00--&gt;1:00 in Metadata). Oneo Bay field trip on 5/5/2017 time was changed from 12:15--&gt;12:15 to 12:15--&gt;13:15 and 2/9/2019 (Waipouli) field trip  (st:0:00:01, end:0:00:02) was excluded</t>
  </si>
  <si>
    <t>Start time</t>
  </si>
  <si>
    <t>End Time</t>
  </si>
  <si>
    <t>Nearest Prov. Tide Loc(s)</t>
  </si>
  <si>
    <t>Station ID(s)</t>
  </si>
  <si>
    <t>Wts(for 2 or more sts)</t>
  </si>
  <si>
    <t>Ref St.</t>
  </si>
  <si>
    <t>Ref St. ID</t>
  </si>
  <si>
    <t>Ref Tide Adj.</t>
  </si>
  <si>
    <t>Pred.Low Height (during FT)</t>
  </si>
  <si>
    <t>Actual L tide time during FT</t>
  </si>
  <si>
    <t>Actual L tide Ht (during FT)</t>
  </si>
  <si>
    <t>Avg. Tide over Field Trip (unweighted)</t>
  </si>
  <si>
    <t>Honolulu</t>
  </si>
  <si>
    <t>Nawiliwili offset to Hanamulu Bay</t>
  </si>
  <si>
    <t>Nawiliwili</t>
  </si>
  <si>
    <t>Honolulu offset to Waianae; Pearl Harbor Entrance, Bishop Point</t>
  </si>
  <si>
    <t>1612340;1612366</t>
  </si>
  <si>
    <t>0.42;0.58</t>
  </si>
  <si>
    <t>Honolulu offset to Hanuama Bay</t>
  </si>
  <si>
    <t>Kahului offset to Kihei, Maalaea Bay; Kahului offset to Makena</t>
  </si>
  <si>
    <t>1615680;1615680</t>
  </si>
  <si>
    <t>0.7; 0.21</t>
  </si>
  <si>
    <t>Kahului</t>
  </si>
  <si>
    <t>Pearl Harbor Entrance Bishop Point</t>
  </si>
  <si>
    <t>Hilo offset to Kailua-Kona</t>
  </si>
  <si>
    <t>Kawaihae</t>
  </si>
  <si>
    <t>Kawaihae; Hilo offset to Kailua-Kona</t>
  </si>
  <si>
    <t>1617433;1617760</t>
  </si>
  <si>
    <t>0.51; 0.49</t>
  </si>
  <si>
    <t>Honolulu offset to Pukoo Harbor</t>
  </si>
  <si>
    <t>Hilo; Hilo offset to Honuapo</t>
  </si>
  <si>
    <t>1617760;1617760</t>
  </si>
  <si>
    <t>0.71;0.29</t>
  </si>
  <si>
    <t>Hilo</t>
  </si>
  <si>
    <t>Mokuoloe offset to Laie Bay; Mokuoloe offset to Waikane, Kaneohe Bay</t>
  </si>
  <si>
    <t>1612480;1612480</t>
  </si>
  <si>
    <t>0.37;0.63</t>
  </si>
  <si>
    <t>Mokuoloe</t>
  </si>
  <si>
    <t>Kahului; Kahului offset to Lahaina; Honolulu offset to Pukoo Harbor</t>
  </si>
  <si>
    <t>1615680;1615680;1612340</t>
  </si>
  <si>
    <t>0.23;0.43;0.34</t>
  </si>
  <si>
    <t xml:space="preserve"> Mokuoloe offset to Laie Bay; Honolulu offset to Haleiwa</t>
  </si>
  <si>
    <t>1612480; 1612340</t>
  </si>
  <si>
    <t>0.65; 0.35</t>
  </si>
  <si>
    <t>Honolulu offset to Kolo; Mokuoloe offset to Waimanalo</t>
  </si>
  <si>
    <t>1612340;1612480</t>
  </si>
  <si>
    <t>0.82;0.18</t>
  </si>
  <si>
    <t>0.79;0.21</t>
  </si>
  <si>
    <t>0.38;0.62</t>
  </si>
  <si>
    <t>Hilo offset to NapoopooKealakekua Bay</t>
  </si>
  <si>
    <t>Hawaii School for the Deaf and the Blind</t>
  </si>
  <si>
    <t>Honolulu offset to Kolo</t>
  </si>
  <si>
    <t>Honolulu offset to Waianae</t>
  </si>
  <si>
    <t>Mokuoloe offset to Laie Bay; Honolulu offset to Haleiwa</t>
  </si>
  <si>
    <t>1612480;1612340</t>
  </si>
  <si>
    <t>0.65;0.35</t>
  </si>
  <si>
    <t>Port Allen, Hanapepe Bay; Nawiliwili</t>
  </si>
  <si>
    <t>1611347;1611400</t>
  </si>
  <si>
    <t>0.33;0.67</t>
  </si>
  <si>
    <t>Honolulu offset to Kaumalapau Harbor</t>
  </si>
  <si>
    <t>Kahului offset to Hana</t>
  </si>
  <si>
    <t>Port Allen Hanapepe Bay</t>
  </si>
  <si>
    <t>0.71; 0.29</t>
  </si>
  <si>
    <t>Hilo offset to Honuapo</t>
  </si>
  <si>
    <t>Mokuoloe offset to Waimanalo</t>
  </si>
  <si>
    <t>Hilo offset to Kailua-Kona; Hilo offset to Napoopoo,Kealakekua Bay</t>
  </si>
  <si>
    <t>0.60;0.40</t>
  </si>
  <si>
    <t>0.43;0.57</t>
  </si>
  <si>
    <t>Hilo offset to Kailua-Kona; Hilo offset to Napoopoo, Kealakekua Bay</t>
  </si>
  <si>
    <t>Age of students</t>
  </si>
  <si>
    <t>Discipline of class</t>
  </si>
  <si>
    <t>Number of years teachers participated in project</t>
  </si>
  <si>
    <t>Number of field trips techers have done PRIOR to field trip</t>
  </si>
  <si>
    <t>Time spent prepping for OPIHI field trip - # of hours on ID skills, sampling skills</t>
  </si>
  <si>
    <t>Number of times same students went on a field trip</t>
  </si>
  <si>
    <t>Post-PD content - teachers</t>
  </si>
  <si>
    <t>Post FT content. - students</t>
  </si>
  <si>
    <t>Teacher perceptions of data quality</t>
  </si>
  <si>
    <t>Student perceptions of data quality</t>
  </si>
  <si>
    <t>TAKE OUT OPIHI COORDINATOR FIELD TRIPS!! :)</t>
  </si>
  <si>
    <t xml:space="preserve">Then just comparing teacher to teacher - much more accurate </t>
  </si>
  <si>
    <t>EVERYTHING IN WEBSITE NOT PART OF SPECIES DATA ON PREVIOUS SHEETS (does not include red ones on "totals_no_excl" as... those did not have data!)</t>
  </si>
  <si>
    <t>Environmental Stress?(Y/N)</t>
  </si>
  <si>
    <t>If ES, selections</t>
  </si>
  <si>
    <t>Low Tide time</t>
  </si>
  <si>
    <t>Low tide height</t>
  </si>
  <si>
    <t>Tide ref. Location</t>
  </si>
  <si>
    <t># of students</t>
  </si>
  <si>
    <t>Weather Conditions</t>
  </si>
  <si>
    <t>Rain in past 3 days(Y/N)</t>
  </si>
  <si>
    <t>If Y, rain amount</t>
  </si>
  <si>
    <t>Rainfall ref Loc</t>
  </si>
  <si>
    <t># of visitors</t>
  </si>
  <si>
    <t>Avg. wave height (ft)</t>
  </si>
  <si>
    <t>Wave height ref</t>
  </si>
  <si>
    <t>Wind speed (mph)</t>
  </si>
  <si>
    <t>Wind speed ref.</t>
  </si>
  <si>
    <t># fishing</t>
  </si>
  <si>
    <t># collecting</t>
  </si>
  <si>
    <t>Collecting..what/</t>
  </si>
  <si>
    <t>Private Comments</t>
  </si>
  <si>
    <t>Public Comments</t>
  </si>
  <si>
    <t>HNL</t>
  </si>
  <si>
    <t>S</t>
  </si>
  <si>
    <t>N</t>
  </si>
  <si>
    <t>0-1</t>
  </si>
  <si>
    <t>s</t>
  </si>
  <si>
    <t>Y</t>
  </si>
  <si>
    <t>Oahu Immersion Workshop</t>
  </si>
  <si>
    <t>Kauai Immersion Workshop</t>
  </si>
  <si>
    <t>Facilitators Research Day</t>
  </si>
  <si>
    <t>PC</t>
  </si>
  <si>
    <t>13-18</t>
  </si>
  <si>
    <t>Teacher: Michelle Bradley</t>
  </si>
  <si>
    <t>Hanamaulu</t>
  </si>
  <si>
    <t>25-31</t>
  </si>
  <si>
    <t>Teacher: Kevin Johnson</t>
  </si>
  <si>
    <t>Hanauma Bay</t>
  </si>
  <si>
    <t>Teacher: Alison Ashford</t>
  </si>
  <si>
    <t>Kihei</t>
  </si>
  <si>
    <t>Facilitator Research Day</t>
  </si>
  <si>
    <t>Kailua-Kona</t>
  </si>
  <si>
    <t>Teachers:Shari Jumalon &amp; Cheryl Cotten</t>
  </si>
  <si>
    <t>21-25</t>
  </si>
  <si>
    <t>One other OPIHI class at the site</t>
  </si>
  <si>
    <t>Teacher: Sara Larson</t>
  </si>
  <si>
    <t>shell</t>
  </si>
  <si>
    <t>26-30</t>
  </si>
  <si>
    <t>Teacher: Jennifer Seki</t>
  </si>
  <si>
    <t>Kaunakakai</t>
  </si>
  <si>
    <t>R</t>
  </si>
  <si>
    <t>Hilo Bay</t>
  </si>
  <si>
    <t>C</t>
  </si>
  <si>
    <t>Teacher: Charlotte Godfrey-Romo</t>
  </si>
  <si>
    <t>Kaneohe</t>
  </si>
  <si>
    <t>Big Island Immersion Workshop</t>
  </si>
  <si>
    <t>fish</t>
  </si>
  <si>
    <t>Lahaina</t>
  </si>
  <si>
    <t>HNl</t>
  </si>
  <si>
    <t>Teacher: Holly Church</t>
  </si>
  <si>
    <t xml:space="preserve">Hilo  </t>
  </si>
  <si>
    <t>16-20</t>
  </si>
  <si>
    <t>Teacher: Maud Gooch</t>
  </si>
  <si>
    <t>Haleiwa</t>
  </si>
  <si>
    <t>19-24</t>
  </si>
  <si>
    <t>Teacher: Karen Roberts</t>
  </si>
  <si>
    <t>Bleached Algae</t>
  </si>
  <si>
    <t>Saint Anthony High School</t>
  </si>
  <si>
    <t>Maalaea Bay</t>
  </si>
  <si>
    <t>Ke'ei</t>
  </si>
  <si>
    <t>Missing data for transects #2 and 4; teacher had concerns with data integrity (students did not start or finish transects)- CG</t>
  </si>
  <si>
    <t>Flash flood warnings yesterday; brown water; trash and debris</t>
  </si>
  <si>
    <t>rocka</t>
  </si>
  <si>
    <t>seagl</t>
  </si>
  <si>
    <t>Oahu Followup Workshop</t>
  </si>
  <si>
    <t>lots of people running up and down the beach; broken glass, pipes, and a battery</t>
  </si>
  <si>
    <t>y</t>
  </si>
  <si>
    <t>Maui Immersion Workshop</t>
  </si>
  <si>
    <t>We saw wind jellies</t>
  </si>
  <si>
    <r>
      <rPr>
        <u/>
        <sz val="10"/>
        <color rgb="FF1155CC"/>
        <rFont val="Arial"/>
        <family val="2"/>
      </rPr>
      <t>http://www</t>
    </r>
    <r>
      <rPr>
        <sz val="10"/>
        <color rgb="FF000000"/>
        <rFont val="Arial"/>
        <family val="2"/>
        <scheme val="minor"/>
      </rPr>
      <t>.hawaiitides.com/Waikiki/Month</t>
    </r>
  </si>
  <si>
    <r>
      <rPr>
        <u/>
        <sz val="10"/>
        <color rgb="FF1155CC"/>
        <rFont val="Arial"/>
        <family val="2"/>
      </rPr>
      <t>http://www</t>
    </r>
    <r>
      <rPr>
        <sz val="10"/>
        <color rgb="FF000000"/>
        <rFont val="Arial"/>
        <family val="2"/>
        <scheme val="minor"/>
      </rPr>
      <t>.prh.noaa.gov/hnl/hydro/daily_</t>
    </r>
  </si>
  <si>
    <r>
      <rPr>
        <u/>
        <sz val="10"/>
        <color rgb="FF1155CC"/>
        <rFont val="Arial"/>
        <family val="2"/>
      </rPr>
      <t>http://www</t>
    </r>
    <r>
      <rPr>
        <sz val="10"/>
        <color rgb="FF000000"/>
        <rFont val="Arial"/>
        <family val="2"/>
        <scheme val="minor"/>
      </rPr>
      <t>.prh.noaa.gov/hnl/pages/SRF.ph</t>
    </r>
  </si>
  <si>
    <t>http://www.prh.noaa.gov/hnl/pages/SRF.ph</t>
  </si>
  <si>
    <t>could</t>
  </si>
  <si>
    <t>transect 2 MAY have invalid data (a lot of "turf" and "crustose coralline algae"-&gt;they called that "coral").</t>
  </si>
  <si>
    <t>Although it was low tide (-0.5), the water level was still high over the intertidal area which made it difficult for the students to accurately take data. They kept loosing their quadrant to the waves.</t>
  </si>
  <si>
    <t>Kolo, Molokai</t>
  </si>
  <si>
    <t>Molokai Airport</t>
  </si>
  <si>
    <t>Kolo Whart</t>
  </si>
  <si>
    <t>Waikiki</t>
  </si>
  <si>
    <t>Waikiki Zoo</t>
  </si>
  <si>
    <t>Diamond Head Beach</t>
  </si>
  <si>
    <t>partly overcast- mostly due to vog and not rain clouds</t>
  </si>
  <si>
    <t>Transect 2 data are unreliable. Kids were "swimming" in the tide pool and really rushed through it. Transect 7 data are likely more reliable than 2 but they did not get as much support as the other groups.</t>
  </si>
  <si>
    <t>There may have been more rain in other areas of the watershed (for example, a lot of thunder within the last three days).</t>
  </si>
  <si>
    <r>
      <rPr>
        <u/>
        <sz val="10"/>
        <color rgb="FF1155CC"/>
        <rFont val="Arial"/>
        <family val="2"/>
      </rPr>
      <t>https://tidesandcurrents</t>
    </r>
    <r>
      <rPr>
        <sz val="10"/>
        <color rgb="FF000000"/>
        <rFont val="Arial"/>
        <family val="2"/>
        <scheme val="minor"/>
      </rPr>
      <t>.noaa.gov/tide_p</t>
    </r>
  </si>
  <si>
    <r>
      <rPr>
        <u/>
        <sz val="10"/>
        <color rgb="FF1155CC"/>
        <rFont val="Arial"/>
        <family val="2"/>
      </rPr>
      <t>http://prh</t>
    </r>
    <r>
      <rPr>
        <sz val="10"/>
        <color rgb="FF000000"/>
        <rFont val="Arial"/>
        <family val="2"/>
        <scheme val="minor"/>
      </rPr>
      <t>.noaa.gov/hnl/pages/obs.p</t>
    </r>
  </si>
  <si>
    <r>
      <rPr>
        <u/>
        <sz val="10"/>
        <color rgb="FF1155CC"/>
        <rFont val="Arial"/>
        <family val="2"/>
      </rPr>
      <t>https://tidesandcurrents</t>
    </r>
    <r>
      <rPr>
        <sz val="10"/>
        <color rgb="FF000000"/>
        <rFont val="Arial"/>
        <family val="2"/>
        <scheme val="minor"/>
      </rPr>
      <t>.noaa.gov/tide_p</t>
    </r>
  </si>
  <si>
    <r>
      <rPr>
        <u/>
        <sz val="10"/>
        <color rgb="FF1155CC"/>
        <rFont val="Arial"/>
        <family val="2"/>
      </rPr>
      <t>https://www</t>
    </r>
    <r>
      <rPr>
        <sz val="10"/>
        <color rgb="FF000000"/>
        <rFont val="Arial"/>
        <family val="2"/>
        <scheme val="minor"/>
      </rPr>
      <t>.ndbc.noaa.gov</t>
    </r>
  </si>
  <si>
    <t>Great day. Kids took excellent data. tehy took their time and really hit the mark for quality data collection. They say to say thank you to you for the opportunity to do this awesome trip to the intertidal. They were stunned by what they learned.</t>
  </si>
  <si>
    <t>Bleached Coral; Dead Urchins</t>
  </si>
  <si>
    <t>Honolulu Harbor</t>
  </si>
  <si>
    <t>Aloha Tower</t>
  </si>
  <si>
    <t>Sand Island Beach Park</t>
  </si>
  <si>
    <t>http://www.hawaiitides.com/Waikiki/Month</t>
  </si>
  <si>
    <t>http://www.prh.noaa.gov/hnl/hydro/daily_</t>
  </si>
  <si>
    <t>http://www.ndbc.noaa.gov/</t>
  </si>
  <si>
    <t>Sandt Beacg</t>
  </si>
  <si>
    <t>Maui Followup Workshop. Transect 2 couldn't finish transect--waves too big. (Note--per Anuschka and Caroline, transect Nick on [Transect #1] might have suspicious data)</t>
  </si>
  <si>
    <t>Marin</t>
  </si>
  <si>
    <t>Big Island Followup Workshop</t>
  </si>
  <si>
    <t>Beach clean-up, homeless camp; transect 3 collected first 20m of 40 m long transect</t>
  </si>
  <si>
    <t>Waianae</t>
  </si>
  <si>
    <t>Northwest Waianae</t>
  </si>
  <si>
    <t>Kapaa</t>
  </si>
  <si>
    <t>Kealia</t>
  </si>
  <si>
    <t>Lihue</t>
  </si>
  <si>
    <t>Kauai Followup Workshop</t>
  </si>
  <si>
    <t>Honolulu, Hawaii</t>
  </si>
  <si>
    <t>Honolulu International Airport</t>
  </si>
  <si>
    <t>Honolulu, Hawaii--Leeward Shores-Sout</t>
  </si>
  <si>
    <t>Shell</t>
  </si>
  <si>
    <t>Bleached Algae; Bleached Coral; Dead Urchins</t>
  </si>
  <si>
    <t>phli</t>
  </si>
  <si>
    <t>no on</t>
  </si>
  <si>
    <t>none</t>
  </si>
  <si>
    <t>Hanamaulu Bay</t>
  </si>
  <si>
    <t>LR</t>
  </si>
  <si>
    <t>Lihue Airport</t>
  </si>
  <si>
    <t>Waipouli Beach</t>
  </si>
  <si>
    <t>Weather changed throughout the field trip. Heavy rainfall about an hour and a half into data collection. Shower last about 10 minutes.</t>
  </si>
  <si>
    <t>Dead Urchins</t>
  </si>
  <si>
    <t>Waimanalo</t>
  </si>
  <si>
    <t>South shore</t>
  </si>
  <si>
    <t>Station 51202</t>
  </si>
  <si>
    <t>Not s</t>
  </si>
  <si>
    <t>Transect 2 and 5 may be need a bit more scrutiny. Both of those groups filled out the Transect data well but got a little confused with the quadrats and so while they tried to fix their data upon returning to school it was done after the fact.</t>
  </si>
  <si>
    <t>NOAA</t>
  </si>
  <si>
    <t>zero</t>
  </si>
  <si>
    <t>Changed field trip site from Onekahakaha to Hilo Yacht Club Changed transect line length to 60 m (maximum length) ~ JS 5/31/17. Changed all Cladophora spp to Ulva spp (according to CG, Cladophora on algae voucher should be  Ulva fasciata) ~JS 12/1/17</t>
  </si>
  <si>
    <t>Laie Bay</t>
  </si>
  <si>
    <t>Kahuku</t>
  </si>
  <si>
    <t>Waimea Bay</t>
  </si>
  <si>
    <t>Visual Observation at site</t>
  </si>
  <si>
    <t>http://www.prh.noaa.gov/hnl/pages/obs.ph</t>
  </si>
  <si>
    <t>http://www.prh.noaa.gov/hnl/pages/marine</t>
  </si>
  <si>
    <t>transect line 2 is incomplete. Transect line 4: unknown red 1 (with 2 data points) is centroceras clavulatum (fixed in database on 7/31/17 ~ CG) Transect line 4: unknown red 2 (with 4 data points) is cpyridlaf? Transect line 1, quadrat 5: position entered in database was 50m; changed to 5m on 11/26/17 ~JS</t>
  </si>
  <si>
    <t>Y.B. tide calendar</t>
  </si>
  <si>
    <t>Poipu</t>
  </si>
  <si>
    <t>observation</t>
  </si>
  <si>
    <t>observation using OPIHI Meta data sheet</t>
  </si>
  <si>
    <t>NOAA website</t>
  </si>
  <si>
    <t>algae</t>
  </si>
  <si>
    <t>There was another group from UH who were observing the algae at Ewa Beach</t>
  </si>
  <si>
    <t>Hawaiitides.com</t>
  </si>
  <si>
    <t>prhnoaa.gov</t>
  </si>
  <si>
    <t>ndbc.noaa.gov</t>
  </si>
  <si>
    <t>Vario</t>
  </si>
  <si>
    <t>Kaumalapau Harbor</t>
  </si>
  <si>
    <t>Lanai City</t>
  </si>
  <si>
    <t>Marine Life Conservation District (MLCD)</t>
  </si>
  <si>
    <t>La Crosse Anemometer</t>
  </si>
  <si>
    <t>Asked homeless that lived in the area</t>
  </si>
  <si>
    <t>No close spot</t>
  </si>
  <si>
    <t xml:space="preserve">noaa  </t>
  </si>
  <si>
    <t>noaa website</t>
  </si>
  <si>
    <t>myself</t>
  </si>
  <si>
    <t>It rained a little at the beach, but noaa website said it has only a "trace" amount with no number shown</t>
  </si>
  <si>
    <t xml:space="preserve">Honolulu. </t>
  </si>
  <si>
    <t>Visual estimate (no buoy nearby)</t>
  </si>
  <si>
    <t xml:space="preserve">Honolulu  </t>
  </si>
  <si>
    <t>Teach</t>
  </si>
  <si>
    <t>Hilo Harbour</t>
  </si>
  <si>
    <t>Hilo Airport</t>
  </si>
  <si>
    <t>Hilo airport</t>
  </si>
  <si>
    <t xml:space="preserve">Mililani Middle </t>
  </si>
  <si>
    <t>Lanai</t>
  </si>
  <si>
    <t xml:space="preserve">Lanai  </t>
  </si>
  <si>
    <t>Lanau</t>
  </si>
  <si>
    <t>Napilipili, Kauai</t>
  </si>
  <si>
    <t>Napilipili</t>
  </si>
  <si>
    <t>I am not super confident that Transect #4 was very accurate. The students there were not as focused, and it was the first time doing this, so I'm not confident they knew their IDs. They did have a student that was familiar with the process and ID's with them assisting them (and me).</t>
  </si>
  <si>
    <t>Hilon Airport</t>
  </si>
  <si>
    <t>Honolii</t>
  </si>
  <si>
    <t>Couldn't Find This Information!!</t>
  </si>
  <si>
    <t>don't</t>
  </si>
  <si>
    <t>I am not super confident on Transect #1</t>
  </si>
  <si>
    <t>Bleached Algae, Dead Urchins</t>
  </si>
  <si>
    <t>Maalaea</t>
  </si>
  <si>
    <t>It was FUN!!! :)</t>
  </si>
  <si>
    <t>We found a starfish, sea urchins and sea cucumbers!</t>
  </si>
  <si>
    <t>Haneo'o Fish Pond</t>
  </si>
  <si>
    <t>Hana, Maui</t>
  </si>
  <si>
    <t>Hana</t>
  </si>
  <si>
    <t>Alenuihana Channel</t>
  </si>
  <si>
    <t>Hana Airport</t>
  </si>
  <si>
    <t>The loko is shaped like a bowl and we were on the outer rim on the left side. Some areas have a short intertidal zone because of a sudden drop-off. Because of the location we chose, we were parallel to the waves while being perpendicular to the shore (see pictures). After we had finished we did a little beach cleanup because we noticed a lot of broken plastic and trash.After walking a little ways down there was a much better site for the survey (perpendicular to both the shore and waves) and I would like to include the biology class or have groups do two transect lines each to cover a bit more area.</t>
  </si>
  <si>
    <t>Observed but not captured in transect points: Nerita picea (pipipi), Actinopyga varians, Colpomenia sinusoa (puha), Porites lobata, Zoanthids (colonial anemones), unknown snail (spotting looks like Mitra stictica [mitter] but without toothed edge of whorl but the size of eulimid - see photo), unknown black organism (found on plastic debris not on transect point--see photo).</t>
  </si>
  <si>
    <t>Port Allen</t>
  </si>
  <si>
    <t>Hanapepe Bay</t>
  </si>
  <si>
    <t>transect line 6 didn't complete survey. Reassigned Coral Sp. to Unknown on 7/31/2017 ~CG, JS, FLV</t>
  </si>
  <si>
    <t>Ewa</t>
  </si>
  <si>
    <t>ewa</t>
  </si>
  <si>
    <t>Station 51200</t>
  </si>
  <si>
    <t>*lots of foot traffic in the area-because their is a footpath above the area surveyed. *We had a couple of data collection problems and I had to make adjustments to the field trip information page to get the data input. So here are the adjustments: *the students collected information from 11 transects (we called them T0 to T10- but we adjusted this to T1 to T11), *the distance between the transect lines was 3 meters (so we had transects at 0 meters(m), 3 m, 6 m, 9 m, 12 m, 15 m, 18 m, 21 m, 24 m, 27 m, 30 m), *the distance between points for the transect point intercept was every two meters, we had one group who collected data from the transect 1 &amp; 2-not collect transect intercept data), *the distance between points for the quadrat point intercept was every five meters (so each transect had 5 quadrats), but we had  one group-who did transects 1 &amp;2-they collected quadrat data every 3 meters). ** NOTE: changed distance between transect pointsfrom 1.5 m to 3 m (Received error message when tried to select 5 m) ~JS 2/11/18</t>
  </si>
  <si>
    <t>N/A</t>
  </si>
  <si>
    <t>NOAA (0.5-3.6 kts)</t>
  </si>
  <si>
    <t>We had some miscommunication on number of quadrats per transect. #1 placed every 1m and then every 2m about halfway through. #2 placed every 5m. #3 &amp; #4 placed every 2m.</t>
  </si>
  <si>
    <t>hilo</t>
  </si>
  <si>
    <t xml:space="preserve">Visual estimate  </t>
  </si>
  <si>
    <t>N/A (Beaufort scale)</t>
  </si>
  <si>
    <t>This was an OPIHI workshop for continuing teachers. Data entered by JP (as ran out of time during workshop).  There is a glitch in the transect save. On transect 2, transect points 13 and 14 should be "rock." But, even if I change them to rock, and save the sheet it changes it to acanthophora. So, the two acanthophora points are incorrect.</t>
  </si>
  <si>
    <t>Palolo Fire Station</t>
  </si>
  <si>
    <t>Visual estimate</t>
  </si>
  <si>
    <t>Data entered by JP as ran out of time at workshop</t>
  </si>
  <si>
    <t>OPIHI Teacher Workshop</t>
  </si>
  <si>
    <t>South Shore Forecast NOAA</t>
  </si>
  <si>
    <t>Transect 4 and 10 were done incorrectly. The Kupu intern was not trained properly and did not allow her students to collect data the way they were trained (per students from her group). So, she had them do a quadrat at each .5m mark, identify the species seen, but not tally how many were seen. I should have checked on them. Sorry. So I had them only enter transect data, not quadrat data. I would say the best data come from transects 3,5,8,9 since my coteacher and I were with the groups the entire times. The other groups had less involved adults and/or ones that overrode what the students were trained to do and the students were too shy to speak up. I apologize, I should have monitored all of them better.   (Jo comment-Transect 6 has suspiciously low diversity) (Becca comment re Jo- For all of Transect 1: the numbers on the sheet do not match the entered data [dendropoma entered but not on sheet for 3m, padina entered but not o sheet for 5m, neomeris and padina entered but not on sheet for 9m], disregard all data form Transect 6, Transect 7 had 30 data points for both 1m and 3m, {Transect 9 has actinopyga listed when it should be dendropoma at 1m, missing 8 pts of turf at 3m, and listed as 20 pts sand with no other data at 9m. M9 has been corrected})</t>
  </si>
  <si>
    <t>Kaunakakai, HI</t>
  </si>
  <si>
    <t>Visual estimate (Beaufort scale)</t>
  </si>
  <si>
    <t>JP entered data as ran out of time in workshop. The two shorter transects have less species--the participants seemed more competent but we should have checked in on them more.</t>
  </si>
  <si>
    <t>OPIHI Teacher Workshop Field Trip. Transect #3 was twice as long with 14 quadrats, other 2 transects where shorter and only had 7 quadrats. The "0" point is towards the land, but on land as we surveyed the inner edge of the large tidepool (so, the reel was on land but towards the ocean)</t>
  </si>
  <si>
    <t>None</t>
  </si>
  <si>
    <t>Kihei, Maui</t>
  </si>
  <si>
    <t>touri</t>
  </si>
  <si>
    <t>(Jo comment on data -- Transects look good, but would not use quadrat data).</t>
  </si>
  <si>
    <t>Bishop Point, Pearl Harbor</t>
  </si>
  <si>
    <t>Kalaeloa Airport</t>
  </si>
  <si>
    <t>Pearl Harbor Entrance</t>
  </si>
  <si>
    <t>People who visited the beach were there to exercise either by running or walking along the beach</t>
  </si>
  <si>
    <t>Pahala, HI</t>
  </si>
  <si>
    <t>Punalu'u</t>
  </si>
  <si>
    <t>Phoenix-issues with data collection</t>
  </si>
  <si>
    <t>The student who recorded this metadata did not write down much</t>
  </si>
  <si>
    <t>Two people were seen walking/running on the beach. One person was there to fish by casting a net. He didn't cast his net while we were there, but he was watching the ocean.</t>
  </si>
  <si>
    <t>Honolulu Airport</t>
  </si>
  <si>
    <t>Honolulu, HI</t>
  </si>
  <si>
    <t>The tide was higher than we expected</t>
  </si>
  <si>
    <t>Kailua Kona</t>
  </si>
  <si>
    <t>Kona Airport</t>
  </si>
  <si>
    <t>Kolo Wharf</t>
  </si>
  <si>
    <t>Rainy season brought the most runoff we've seen in years. Intertidal covered in red dirt sediment.</t>
  </si>
  <si>
    <t>Maalaea Harbor</t>
  </si>
  <si>
    <t>Kahului Harbor</t>
  </si>
  <si>
    <t>(Becca-Would not use transect data from transect 4)</t>
  </si>
  <si>
    <t>Manele Bay</t>
  </si>
  <si>
    <t>Mokapu Point</t>
  </si>
  <si>
    <t>Wana</t>
  </si>
  <si>
    <t>Kamehameha schools had an elementary field trip, so there were about 100 visitors for the first hour.</t>
  </si>
  <si>
    <t>NOAA, Honolulu</t>
  </si>
  <si>
    <t>(Becca-transects and quadrats start either at 0 or 2 m, it changes between transects, also both field trips have different parameters for transect points)</t>
  </si>
  <si>
    <t>(Becca-Would not use any data (transect or quadrats) from Transect 5)</t>
  </si>
  <si>
    <t xml:space="preserve">Kaumalapau  </t>
  </si>
  <si>
    <t>Kaumalapau</t>
  </si>
  <si>
    <t>n/a</t>
  </si>
  <si>
    <t>Sand,</t>
  </si>
  <si>
    <t>(Becca- Would not use transect 3 and 6 as is on site, they cannot be corrected for some reason)</t>
  </si>
  <si>
    <t>(Becca- transects 4,5 not entered correctly, cannot change it either for some earson [same problem as other field trip])</t>
  </si>
  <si>
    <t>(Becca- overall, would not use field trip. The only useable data seems to be from the transect line of 5 6 6, but overall all 3 looks okay. Wouldn't use anything else.)</t>
  </si>
  <si>
    <t>Hanama'ulu</t>
  </si>
  <si>
    <t>NNWH1</t>
  </si>
  <si>
    <t>I laid out our transects with 1 on the right instead of on the left, so when you look at my data sheets, you'll see where we renumbered them in red pen for correct data entry.  (Becca- Wouldn't use quadrats 6 or 8 from transect two, would not use transect data from transect 7, would not use anything from transect 8, quadrats 7 and 8 on transect3 are both 25/25 lyngbya which matches the data sheet but is this likely?)</t>
  </si>
  <si>
    <t>Transect Line #3 needed to be repositioned in the middle of transect point-intersect count.    Becca-(Wouldn't use transects data, or data from transect 7)</t>
  </si>
  <si>
    <t>Niu Valley</t>
  </si>
  <si>
    <t>waikiki</t>
  </si>
  <si>
    <t>bait</t>
  </si>
  <si>
    <t>hilo bay</t>
  </si>
  <si>
    <t>1 to 3</t>
  </si>
  <si>
    <t>https://tidesandcurrents.noaa.gov/tide_p</t>
  </si>
  <si>
    <t>https://www.ndbc.noaa.gov/</t>
  </si>
  <si>
    <t>https://www.ndbc.noaa.gov/station_page.p</t>
  </si>
  <si>
    <t>Horse trail rides occurring and leaving scat on the beach. Public Bacterial warning sign posted next to where the stream enters the ocean. Stream enters the ocean 86.5 meters SW from our survey site.</t>
  </si>
  <si>
    <t>maalaea</t>
  </si>
  <si>
    <t>(Becca-Would not use transect 4 transect data)</t>
  </si>
  <si>
    <t>Crabs were present, sea urchins were present. Little sand was present. The site overall was filled with dead coral and very little life.</t>
  </si>
  <si>
    <t>Species Count</t>
  </si>
  <si>
    <t>Simpson's Diversity</t>
  </si>
  <si>
    <t>Hanauma</t>
  </si>
  <si>
    <t>(Becca-Emily Bayne is Emily Willis, Transect 6: Quadrat 2 has more than 25 pts and Qua. 4 has three points of "fish," Do not use any Transect 4 data, Do not use any Transect 1 data)</t>
  </si>
  <si>
    <t>personal</t>
  </si>
  <si>
    <t>crazy weather conditions, high surf and high winds, low temperature, small group, therefore limited data; full day... (OPIHI immersion workshop day 1); due to storm and logisitics limited internet, therefore could not look up pages.</t>
  </si>
  <si>
    <t>crazy weather conditions, not ideal field work</t>
  </si>
  <si>
    <t>honolulu</t>
  </si>
  <si>
    <t>Rainy day. Had to work quickly for safety. please double check our data.</t>
  </si>
  <si>
    <t>Seal was sunbathing at the entry to location. abundant sea hares, sea urchins, shrimp, sea cucumbers, hydroids, sponge!</t>
  </si>
  <si>
    <t>0 ft</t>
  </si>
  <si>
    <t>This site is at the last Oahu Fishing Village. This data was collected in hopes of maintaining this site to allow future generations to continue their cultural fishing practices including restoration of it's fishponds. Continued dredging and development of this site would further damage this large coral reef/intertidal bench.</t>
  </si>
  <si>
    <t>this is a fake entry for teaching purposes</t>
  </si>
  <si>
    <t>PD class</t>
  </si>
  <si>
    <t>crab</t>
  </si>
  <si>
    <t>Kekaha Barking Sands</t>
  </si>
  <si>
    <t>Did not use Transect 6 data. I am including the data sheet, but not entering it as it is not anywhere near accurate</t>
  </si>
  <si>
    <t>Corrected misidentified species according to voucher specimens. (ZJD)</t>
  </si>
  <si>
    <t>Kaunakakai Harbor</t>
  </si>
  <si>
    <t>Kaunakakai, Molokai Airport</t>
  </si>
  <si>
    <t>Station 51205</t>
  </si>
  <si>
    <t>Mapulehu OPIHI site</t>
  </si>
  <si>
    <t>Pearl Harbor, Barber Point</t>
  </si>
  <si>
    <t>Kalaeloa</t>
  </si>
  <si>
    <t>Data entered incorrectly. All edits were made in the database corresponding to original datasheets except for point transect data. (ZJD)</t>
  </si>
  <si>
    <t>waimanalo</t>
  </si>
  <si>
    <t>Makapu'u</t>
  </si>
  <si>
    <t>Centered in the pool area, groups 6 and 7 were mostly sand, so they might have pretty minimal data</t>
  </si>
  <si>
    <t>Water Quality: 8.5ppm DO, 80 degrees F, 37 PPT Salinity, 0-5 turbidity. Low species richness is true to this site, I attended this field trip. (ZJD)</t>
  </si>
  <si>
    <t>Shifted slightly towards Waimanalo, so that transect lines covered more of the rocky area, versus 4/1/19 location. Transect 6: group did not specify the species of algae, just tallied each specimen as "algae".</t>
  </si>
  <si>
    <t>Water Quality: 4.5 ppm DO, 80 degrees F, 35 PPT Salinity, 0-5 turbidity. Excluded transects 2 &amp; 6 due to quality of data. (ZJD)</t>
  </si>
  <si>
    <t xml:space="preserve">Group 4 data may be unreliable, they had a challenging time in the field and had to collect their point intercept data twice. Group 5 quadrat data did not add up to 25, data was unreliable. </t>
  </si>
  <si>
    <t>Water Quality: 3 ppm DO, 27 degrees C, 38 PPT Salinity, 0-5 turbidity. Checked/edited data for groups 4 &amp;5 against datasheets. (ZJD)</t>
  </si>
  <si>
    <t>There were a lot of families at the beach today, and everyone was SO interested in our field trips. We had several families with small children join in our field trip and help students look for different organisms. It was a great day, my students were thrilled to get to share their knowledge with the community. Can't thank you all enough for such a wonderful experience!</t>
  </si>
  <si>
    <t>Water Quality: 6ppm DO, 80 degrees F, 35 PPT Salinity, 0-5 turbidity. Thanks!</t>
  </si>
  <si>
    <t>Regarding rain events in prior 3 days, closest reference location is 10+ miles away at Kona Airport. There may have been more rainfall at this site. Regarding number of visitors at the site, I'm not sure how to define the site. Specifically where we collecting data, there were 1-2 people. At the beach behind the site and in the water nearby snorkeling, there were more than 50 people.</t>
  </si>
  <si>
    <t>HILO</t>
  </si>
  <si>
    <t>Fish</t>
  </si>
  <si>
    <t>Very Calm, Super beautiful Transect #2 went backwards.</t>
  </si>
  <si>
    <t>Estimated by observation; see comments</t>
  </si>
  <si>
    <t>METADATA: I forgot to collect the wave height and wind speed metadata and now I can't find data from April 8. Also it seems Nawiliwili was the closest reference location, which is not that close to Salt Pond, but maybe I'm not looking in the correct place. TRANSECTS/QUADRATS DATA:</t>
  </si>
  <si>
    <t>Mokapu pt</t>
  </si>
  <si>
    <t>Transcent 2, Point-Intercept 35m, Unknown sample is Chiton. Transcent 4 (All girl group), Point-intercept 10m label Dasya, mention Jessica help ID it, but there is no sample for algae press</t>
  </si>
  <si>
    <t>Pearl City</t>
  </si>
  <si>
    <t>Kunia</t>
  </si>
  <si>
    <t>Lots of trash and broken glass spotted on shore.</t>
  </si>
  <si>
    <t>HOno</t>
  </si>
  <si>
    <t>There was a lot more algae in the survey area than was actually collected on the data sheets. Most collected on the data sheets was turn algae. I included additional algae on voucher because I thought groups misidentified turf algae; after speaking with groups they explained they colelcted the extra algae near their survey area, but only recorded what their pointer touched during identification. Note: Transect Line 1 quadrat 3 is missing 5 data points.</t>
  </si>
  <si>
    <t xml:space="preserve">Kailua. </t>
  </si>
  <si>
    <t xml:space="preserve">Kailua </t>
  </si>
  <si>
    <t>Kailua Beach</t>
  </si>
  <si>
    <t>Kailua</t>
  </si>
  <si>
    <t>Data entered incorrectly. Adjustments made (ZJD)</t>
  </si>
  <si>
    <t>Tide Times Honolulu</t>
  </si>
  <si>
    <t>Entered all data. ZJD</t>
  </si>
  <si>
    <t>Rubbi</t>
  </si>
  <si>
    <t>Transect and Quadrat readings were only done for the first 10 m, primarily in the lower intertidal, upper intertidal area was left largely unsurveyed.</t>
  </si>
  <si>
    <t>hanamaulu</t>
  </si>
  <si>
    <t>Transect 3 - accidently opened an extra quadrat, but no data entered b/c they did not do the last placement Transect 4 - quatrats 1 &amp;2 don't add up to 25 ... that's all the tally marks they had   Transect 5 has no transect point intercept data</t>
  </si>
  <si>
    <t>Entered data for Transects 1 &amp;2. (ZJD)</t>
  </si>
  <si>
    <t>NA</t>
  </si>
  <si>
    <t>Travis Rose joined us Individual on drugs throwing rocks and potentially dangerous</t>
  </si>
  <si>
    <t>Maalaea Bay, Maui</t>
  </si>
  <si>
    <t xml:space="preserve">1st time conducting observation. Data is erratic. Not sure if data is usable. Students did well during mock data collection but needed more help in the field even though we had a lot of volunteers. </t>
  </si>
  <si>
    <t>1st time conducting observation in this location with 4th/5th graders. Changed Unknown green to Pterocladiella caerulescens after checking voucher. (ZJD).</t>
  </si>
  <si>
    <t>Waiane</t>
  </si>
  <si>
    <t>Could not select more than one organism: Acanthophora spicifera, articulated coralines, Dendropoma gregaria, Dictyota spp, Hypnea spp, Laurencia spp,</t>
  </si>
  <si>
    <t>Bleached Algae; Dead Fish</t>
  </si>
  <si>
    <t>Maha'ulepu</t>
  </si>
  <si>
    <t>Hanapepe</t>
  </si>
  <si>
    <t>Not c</t>
  </si>
  <si>
    <t>Sampling errors and incomplete data, so don't recommend counting this data! This is more for practice.</t>
  </si>
  <si>
    <t>Not using data per comment above by Sayles. (ZJD)</t>
  </si>
  <si>
    <t>Entered all data according to datasheets (ZJD)</t>
  </si>
  <si>
    <t>While the tide was low the surf was a little big on the day and so i did not allow the students to go all the way to the 0 m mark. Instead I had the students extend their transect line a little closer to shore and take an additional measurement inland.</t>
  </si>
  <si>
    <t>First run, not fully confident w/ data. Data entered by ZJD</t>
  </si>
  <si>
    <t xml:space="preserve">Pearl Harbor. </t>
  </si>
  <si>
    <t xml:space="preserve">Ewa  </t>
  </si>
  <si>
    <t>limu</t>
  </si>
  <si>
    <t>Kihei, Maalaea Bay, Maui</t>
  </si>
  <si>
    <t>Kihei #2</t>
  </si>
  <si>
    <t>Shifted data collection location toward the south end of the location. The wind speed and wave height were based on visual observations at the site.</t>
  </si>
  <si>
    <t>Kolo, HI</t>
  </si>
  <si>
    <t>Kapukahehu, Kaluakoi</t>
  </si>
  <si>
    <t>Bleached Algae; Bleached Coral</t>
  </si>
  <si>
    <t>Emilio Macalalad Field Trip- Molokai High School</t>
  </si>
  <si>
    <t>Entered by ZJD</t>
  </si>
  <si>
    <t>Dead Fish</t>
  </si>
  <si>
    <t>The dead fish were found on the shore in a fish hole.</t>
  </si>
  <si>
    <t>Kaneohe, Marine Corps Air Station</t>
  </si>
  <si>
    <t>Mokapu Point, HI (098)</t>
  </si>
  <si>
    <t>Rainfall reference location (e.g. Honolulu), Wave height reference location (e.g. Honolulu):, and Wind speed reference location (e.g. Honolulu):: is invalid--All NOAA links for these fields do not work so could not determine closest correct location to Baby Makapuu.  Rainfall amount is a guess-- it also rained heavily on us twice during the field trip.</t>
  </si>
  <si>
    <t>SUM STudents</t>
  </si>
  <si>
    <t>Count of field trips:</t>
  </si>
  <si>
    <t>Avg. students/trip</t>
  </si>
  <si>
    <t>Field trips w/o student data</t>
  </si>
  <si>
    <t>Grand total (possible)</t>
  </si>
  <si>
    <t>species count</t>
  </si>
  <si>
    <t>quadrats sampled</t>
  </si>
  <si>
    <t>species/quadrat</t>
  </si>
  <si>
    <t>Count (# non-zero)</t>
  </si>
  <si>
    <t>Total #</t>
  </si>
  <si>
    <t>3; low species riches (&lt;3 species)</t>
  </si>
  <si>
    <t>T2,T6;T2--&gt;only transect with lyngbya present (weird), T6--&gt;not included</t>
  </si>
  <si>
    <t>Avg</t>
  </si>
  <si>
    <t>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</si>
</sst>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m\-d"/>
    <numFmt numFmtId="166" formatCode="#,##0.000"/>
  </numFmts>
  <fonts count="16" x14ac:knownFonts="1">
    <font>
      <sz val="10"/>
      <color rgb="FF000000"/>
      <name val="Arial"/>
      <scheme val="minor"/>
    </font>
    <font>
      <b/>
      <sz val="10"/>
      <color theme="1"/>
      <name val="Arial"/>
      <family val="2"/>
      <scheme val="minor"/>
    </font>
    <font>
      <b/>
      <sz val="12"/>
      <color rgb="FF000000"/>
      <name val="Calibri"/>
      <family val="2"/>
    </font>
    <font>
      <sz val="10"/>
      <color theme="1"/>
      <name val="Arial"/>
      <family val="2"/>
      <scheme val="minor"/>
    </font>
    <font>
      <sz val="12"/>
      <color rgb="FF000000"/>
      <name val="Calibri"/>
      <family val="2"/>
    </font>
    <font>
      <u/>
      <sz val="10"/>
      <color rgb="FF0000FF"/>
      <name val="Calibri"/>
      <family val="2"/>
    </font>
    <font>
      <u/>
      <sz val="10"/>
      <color rgb="FF0000FF"/>
      <name val="Roboto"/>
    </font>
    <font>
      <sz val="10"/>
      <color theme="1"/>
      <name val="Arial"/>
      <family val="2"/>
    </font>
    <font>
      <sz val="12"/>
      <color theme="1"/>
      <name val="Calibri"/>
      <family val="2"/>
    </font>
    <font>
      <b/>
      <sz val="10"/>
      <color theme="1"/>
      <name val="Arial"/>
      <family val="2"/>
    </font>
    <font>
      <u/>
      <sz val="10"/>
      <color rgb="FF0000FF"/>
      <name val="Arial"/>
      <family val="2"/>
    </font>
    <font>
      <u/>
      <sz val="10"/>
      <color rgb="FF1155CC"/>
      <name val="Arial"/>
      <family val="2"/>
    </font>
    <font>
      <u/>
      <sz val="10"/>
      <color rgb="FF1155CC"/>
      <name val="Arial"/>
      <family val="2"/>
      <scheme val="minor"/>
    </font>
    <font>
      <u/>
      <sz val="10"/>
      <color rgb="FF0000FF"/>
      <name val="Arial"/>
      <family val="2"/>
    </font>
    <font>
      <sz val="10"/>
      <color rgb="FF000000"/>
      <name val="Arial"/>
      <family val="2"/>
    </font>
    <font>
      <sz val="10"/>
      <color rgb="FF000000"/>
      <name val="Arial"/>
      <family val="2"/>
      <scheme val="minor"/>
    </font>
  </fonts>
  <fills count="7">
    <fill>
      <patternFill patternType="none"/>
    </fill>
    <fill>
      <patternFill patternType="gray125"/>
    </fill>
    <fill>
      <patternFill patternType="solid">
        <fgColor rgb="FFFF0000"/>
        <bgColor rgb="FFFF0000"/>
      </patternFill>
    </fill>
    <fill>
      <patternFill patternType="solid">
        <fgColor rgb="FFFF9900"/>
        <bgColor rgb="FFFF9900"/>
      </patternFill>
    </fill>
    <fill>
      <patternFill patternType="solid">
        <fgColor rgb="FF00FF00"/>
        <bgColor rgb="FF00FF00"/>
      </patternFill>
    </fill>
    <fill>
      <patternFill patternType="solid">
        <fgColor rgb="FFFFFF00"/>
        <bgColor rgb="FFFFFF00"/>
      </patternFill>
    </fill>
    <fill>
      <patternFill patternType="solid">
        <fgColor rgb="FF7030A0"/>
        <bgColor rgb="FFFF0000"/>
      </patternFill>
    </fill>
  </fills>
  <borders count="4">
    <border>
      <left/>
      <right/>
      <top/>
      <bottom/>
      <diagonal/>
    </border>
    <border>
      <left style="thick">
        <color rgb="FF000000"/>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9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3" fillId="0" borderId="1" xfId="0" applyFont="1" applyBorder="1"/>
    <xf numFmtId="0" fontId="7" fillId="0" borderId="1" xfId="0" applyFont="1" applyBorder="1"/>
    <xf numFmtId="0" fontId="1" fillId="0" borderId="1" xfId="0" applyFont="1" applyBorder="1"/>
    <xf numFmtId="0" fontId="2" fillId="0" borderId="2" xfId="0" applyFont="1" applyBorder="1"/>
    <xf numFmtId="0" fontId="4" fillId="0" borderId="2" xfId="0" applyFont="1" applyBorder="1"/>
    <xf numFmtId="164" fontId="3" fillId="0" borderId="0" xfId="0" applyNumberFormat="1" applyFont="1"/>
    <xf numFmtId="21" fontId="3" fillId="0" borderId="0" xfId="0" applyNumberFormat="1" applyFont="1"/>
    <xf numFmtId="0" fontId="3" fillId="0" borderId="3" xfId="0" applyFont="1" applyBorder="1"/>
    <xf numFmtId="3" fontId="3" fillId="0" borderId="0" xfId="0" applyNumberFormat="1" applyFont="1"/>
    <xf numFmtId="164" fontId="3" fillId="0" borderId="3" xfId="0" applyNumberFormat="1" applyFont="1" applyBorder="1"/>
    <xf numFmtId="21" fontId="3" fillId="0" borderId="3" xfId="0" applyNumberFormat="1" applyFont="1" applyBorder="1"/>
    <xf numFmtId="164" fontId="3" fillId="2" borderId="0" xfId="0" applyNumberFormat="1" applyFont="1" applyFill="1"/>
    <xf numFmtId="0" fontId="3" fillId="2" borderId="0" xfId="0" applyFont="1" applyFill="1"/>
    <xf numFmtId="21" fontId="3" fillId="2" borderId="0" xfId="0" applyNumberFormat="1" applyFont="1" applyFill="1"/>
    <xf numFmtId="0" fontId="8" fillId="0" borderId="0" xfId="0" applyFont="1"/>
    <xf numFmtId="0" fontId="7" fillId="0" borderId="0" xfId="0" applyFont="1" applyAlignment="1">
      <alignment horizontal="right"/>
    </xf>
    <xf numFmtId="164" fontId="3" fillId="3" borderId="0" xfId="0" applyNumberFormat="1" applyFont="1" applyFill="1"/>
    <xf numFmtId="0" fontId="3" fillId="3" borderId="0" xfId="0" applyFont="1" applyFill="1"/>
    <xf numFmtId="21" fontId="3" fillId="3" borderId="0" xfId="0" applyNumberFormat="1" applyFont="1" applyFill="1"/>
    <xf numFmtId="164" fontId="3" fillId="4" borderId="0" xfId="0" applyNumberFormat="1" applyFont="1" applyFill="1"/>
    <xf numFmtId="0" fontId="3" fillId="4" borderId="0" xfId="0" applyFont="1" applyFill="1"/>
    <xf numFmtId="21" fontId="3" fillId="4" borderId="0" xfId="0" applyNumberFormat="1" applyFont="1" applyFill="1"/>
    <xf numFmtId="0" fontId="4" fillId="0" borderId="0" xfId="0" applyFont="1" applyAlignment="1">
      <alignment horizontal="right"/>
    </xf>
    <xf numFmtId="0" fontId="8" fillId="2" borderId="0" xfId="0" applyFont="1" applyFill="1"/>
    <xf numFmtId="0" fontId="8" fillId="0" borderId="3" xfId="0" applyFont="1" applyBorder="1"/>
    <xf numFmtId="164" fontId="4" fillId="0" borderId="0" xfId="0" applyNumberFormat="1" applyFont="1"/>
    <xf numFmtId="21" fontId="4" fillId="0" borderId="0" xfId="0" applyNumberFormat="1" applyFont="1"/>
    <xf numFmtId="14" fontId="4" fillId="0" borderId="0" xfId="0" applyNumberFormat="1" applyFont="1"/>
    <xf numFmtId="21" fontId="8" fillId="0" borderId="0" xfId="0" applyNumberFormat="1" applyFont="1"/>
    <xf numFmtId="14" fontId="4" fillId="0" borderId="0" xfId="0" applyNumberFormat="1" applyFont="1" applyAlignment="1">
      <alignment horizontal="right"/>
    </xf>
    <xf numFmtId="21" fontId="4" fillId="0" borderId="0" xfId="0" applyNumberFormat="1" applyFont="1" applyAlignment="1">
      <alignment horizontal="right"/>
    </xf>
    <xf numFmtId="0" fontId="8" fillId="4" borderId="0" xfId="0" applyFont="1" applyFill="1"/>
    <xf numFmtId="21" fontId="8" fillId="4" borderId="0" xfId="0" applyNumberFormat="1" applyFont="1" applyFill="1"/>
    <xf numFmtId="0" fontId="8" fillId="3" borderId="0" xfId="0" applyFont="1" applyFill="1"/>
    <xf numFmtId="21" fontId="8" fillId="3" borderId="0" xfId="0" applyNumberFormat="1" applyFont="1" applyFill="1"/>
    <xf numFmtId="0" fontId="9" fillId="0" borderId="0" xfId="0" applyFont="1"/>
    <xf numFmtId="21" fontId="9" fillId="0" borderId="0" xfId="0" applyNumberFormat="1" applyFont="1"/>
    <xf numFmtId="4" fontId="9" fillId="0" borderId="0" xfId="0" applyNumberFormat="1" applyFont="1"/>
    <xf numFmtId="20" fontId="9" fillId="0" borderId="0" xfId="0" applyNumberFormat="1" applyFont="1"/>
    <xf numFmtId="164" fontId="9" fillId="0" borderId="0" xfId="0" applyNumberFormat="1" applyFont="1"/>
    <xf numFmtId="4" fontId="9" fillId="0" borderId="2" xfId="0" applyNumberFormat="1" applyFont="1" applyBorder="1"/>
    <xf numFmtId="0" fontId="7" fillId="0" borderId="2" xfId="0" applyFont="1" applyBorder="1"/>
    <xf numFmtId="164" fontId="7" fillId="0" borderId="0" xfId="0" applyNumberFormat="1" applyFont="1" applyAlignment="1">
      <alignment horizontal="right"/>
    </xf>
    <xf numFmtId="21" fontId="7" fillId="0" borderId="0" xfId="0" applyNumberFormat="1" applyFont="1" applyAlignment="1">
      <alignment horizontal="right"/>
    </xf>
    <xf numFmtId="0" fontId="7" fillId="0" borderId="0" xfId="0" quotePrefix="1" applyFont="1"/>
    <xf numFmtId="4" fontId="7" fillId="0" borderId="0" xfId="0" applyNumberFormat="1" applyFont="1" applyAlignment="1">
      <alignment horizontal="right"/>
    </xf>
    <xf numFmtId="20" fontId="7" fillId="0" borderId="0" xfId="0" applyNumberFormat="1" applyFont="1" applyAlignment="1">
      <alignment horizontal="right"/>
    </xf>
    <xf numFmtId="164" fontId="7" fillId="3" borderId="0" xfId="0" applyNumberFormat="1" applyFont="1" applyFill="1" applyAlignment="1">
      <alignment horizontal="right"/>
    </xf>
    <xf numFmtId="0" fontId="7" fillId="3" borderId="0" xfId="0" applyFont="1" applyFill="1"/>
    <xf numFmtId="21" fontId="7" fillId="3" borderId="0" xfId="0" applyNumberFormat="1" applyFont="1" applyFill="1" applyAlignment="1">
      <alignment horizontal="right"/>
    </xf>
    <xf numFmtId="164" fontId="7" fillId="4" borderId="0" xfId="0" applyNumberFormat="1" applyFont="1" applyFill="1" applyAlignment="1">
      <alignment horizontal="right"/>
    </xf>
    <xf numFmtId="0" fontId="7" fillId="4" borderId="0" xfId="0" applyFont="1" applyFill="1"/>
    <xf numFmtId="21" fontId="7" fillId="4" borderId="0" xfId="0" applyNumberFormat="1" applyFont="1" applyFill="1" applyAlignment="1">
      <alignment horizontal="right"/>
    </xf>
    <xf numFmtId="164" fontId="7" fillId="2" borderId="0" xfId="0" applyNumberFormat="1" applyFont="1" applyFill="1" applyAlignment="1">
      <alignment horizontal="right"/>
    </xf>
    <xf numFmtId="0" fontId="7" fillId="2" borderId="0" xfId="0" applyFont="1" applyFill="1"/>
    <xf numFmtId="21" fontId="7" fillId="2" borderId="0" xfId="0" applyNumberFormat="1" applyFont="1" applyFill="1" applyAlignment="1">
      <alignment horizontal="right"/>
    </xf>
    <xf numFmtId="11" fontId="7" fillId="0" borderId="0" xfId="0" applyNumberFormat="1" applyFont="1" applyAlignment="1">
      <alignment horizontal="right"/>
    </xf>
    <xf numFmtId="164" fontId="4" fillId="0" borderId="0" xfId="0" applyNumberFormat="1" applyFont="1" applyAlignment="1">
      <alignment horizontal="right"/>
    </xf>
    <xf numFmtId="21" fontId="8" fillId="0" borderId="0" xfId="0" applyNumberFormat="1" applyFont="1" applyAlignment="1">
      <alignment horizontal="right"/>
    </xf>
    <xf numFmtId="21" fontId="8" fillId="4" borderId="0" xfId="0" applyNumberFormat="1" applyFont="1" applyFill="1" applyAlignment="1">
      <alignment horizontal="right"/>
    </xf>
    <xf numFmtId="21" fontId="8" fillId="3" borderId="0" xfId="0" applyNumberFormat="1" applyFont="1" applyFill="1" applyAlignment="1">
      <alignment horizontal="right"/>
    </xf>
    <xf numFmtId="165" fontId="3" fillId="0" borderId="0" xfId="0" applyNumberFormat="1" applyFont="1"/>
    <xf numFmtId="20" fontId="3" fillId="0" borderId="0" xfId="0" applyNumberFormat="1"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4" fontId="3" fillId="0" borderId="0" xfId="0" applyNumberFormat="1" applyFont="1"/>
    <xf numFmtId="164" fontId="3" fillId="5" borderId="0" xfId="0" applyNumberFormat="1" applyFont="1" applyFill="1"/>
    <xf numFmtId="0" fontId="3" fillId="5" borderId="0" xfId="0" applyFont="1" applyFill="1"/>
    <xf numFmtId="4" fontId="7" fillId="5" borderId="0" xfId="0" applyNumberFormat="1" applyFont="1" applyFill="1" applyAlignment="1">
      <alignment horizontal="right"/>
    </xf>
    <xf numFmtId="0" fontId="7" fillId="5" borderId="0" xfId="0" applyFont="1" applyFill="1" applyAlignment="1">
      <alignment horizontal="right"/>
    </xf>
    <xf numFmtId="2" fontId="3" fillId="0" borderId="0" xfId="0" applyNumberFormat="1" applyFont="1"/>
    <xf numFmtId="0" fontId="7" fillId="4" borderId="0" xfId="0" applyFont="1" applyFill="1" applyAlignment="1">
      <alignment horizontal="right"/>
    </xf>
    <xf numFmtId="4" fontId="7" fillId="4" borderId="0" xfId="0" applyNumberFormat="1" applyFont="1" applyFill="1" applyAlignment="1">
      <alignment horizontal="right"/>
    </xf>
    <xf numFmtId="14" fontId="4" fillId="4" borderId="0" xfId="0" applyNumberFormat="1" applyFont="1" applyFill="1" applyAlignment="1">
      <alignment horizontal="right"/>
    </xf>
    <xf numFmtId="0" fontId="4" fillId="4" borderId="0" xfId="0" applyFont="1" applyFill="1"/>
    <xf numFmtId="14" fontId="4" fillId="5" borderId="0" xfId="0" applyNumberFormat="1" applyFont="1" applyFill="1"/>
    <xf numFmtId="0" fontId="8" fillId="5" borderId="0" xfId="0" applyFont="1" applyFill="1"/>
    <xf numFmtId="164" fontId="4" fillId="4" borderId="0" xfId="0" applyNumberFormat="1" applyFont="1" applyFill="1"/>
    <xf numFmtId="166" fontId="3" fillId="0" borderId="0" xfId="0" applyNumberFormat="1" applyFont="1"/>
    <xf numFmtId="164" fontId="3" fillId="6" borderId="0" xfId="0" applyNumberFormat="1" applyFont="1" applyFill="1"/>
  </cellXfs>
  <cellStyles count="1">
    <cellStyle name="Normal" xfId="0" builtinId="0"/>
  </cellStyles>
  <dxfs count="2">
    <dxf>
      <fill>
        <patternFill patternType="solid">
          <fgColor rgb="FF00FFFF"/>
          <bgColor rgb="FF00FFFF"/>
        </patternFill>
      </fill>
    </dxf>
    <dxf>
      <fill>
        <patternFill patternType="solid">
          <fgColor rgb="FF00FFFF"/>
          <bgColor rgb="FF00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0.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hartsheet" Target="chart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chartsheet" Target="chartsheets/sheet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hartsheet" Target="chart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title>
      <c:tx>
        <c:rich>
          <a:bodyPr/>
          <a:lstStyle/>
          <a:p>
            <a:pPr lvl="0">
              <a:defRPr b="0">
                <a:solidFill>
                  <a:srgbClr val="757575"/>
                </a:solidFill>
                <a:latin typeface="+mn-lt"/>
              </a:defRPr>
            </a:pPr>
            <a:r>
              <a:rPr lang="en-US" b="0">
                <a:solidFill>
                  <a:srgbClr val="757575"/>
                </a:solidFill>
                <a:latin typeface="+mn-lt"/>
              </a:rPr>
              <a:t> Richenss vs. tides</a:t>
            </a:r>
          </a:p>
        </c:rich>
      </c:tx>
      <c:overlay val="0"/>
    </c:title>
    <c:autoTitleDeleted val="0"/>
    <c:plotArea>
      <c:layout/>
      <c:scatterChart>
        <c:scatterStyle val="lineMarker"/>
        <c:varyColors val="0"/>
        <c:dLbls>
          <c:showLegendKey val="0"/>
          <c:showVal val="0"/>
          <c:showCatName val="0"/>
          <c:showSerName val="0"/>
          <c:showPercent val="0"/>
          <c:showBubbleSize val="0"/>
        </c:dLbls>
        <c:axId val="1358915081"/>
        <c:axId val="1037050433"/>
      </c:scatterChart>
      <c:valAx>
        <c:axId val="13589150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037050433"/>
        <c:crosses val="autoZero"/>
        <c:crossBetween val="midCat"/>
      </c:valAx>
      <c:valAx>
        <c:axId val="1037050433"/>
        <c:scaling>
          <c:orientation val="minMax"/>
        </c:scaling>
        <c:delete val="0"/>
        <c:axPos val="l"/>
        <c:majorTickMark val="cross"/>
        <c:minorTickMark val="cross"/>
        <c:tickLblPos val="nextTo"/>
        <c:spPr>
          <a:ln>
            <a:noFill/>
          </a:ln>
        </c:spPr>
        <c:crossAx val="1358915081"/>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title>
      <c:tx>
        <c:rich>
          <a:bodyPr/>
          <a:lstStyle/>
          <a:p>
            <a:pPr lvl="0">
              <a:defRPr b="0">
                <a:solidFill>
                  <a:srgbClr val="757575"/>
                </a:solidFill>
                <a:latin typeface="+mn-lt"/>
              </a:defRPr>
            </a:pPr>
            <a:r>
              <a:rPr b="0">
                <a:solidFill>
                  <a:srgbClr val="757575"/>
                </a:solidFill>
                <a:latin typeface="+mn-lt"/>
              </a:rPr>
              <a:t>Species richness vs. tides</a:t>
            </a:r>
          </a:p>
        </c:rich>
      </c:tx>
      <c:overlay val="0"/>
    </c:title>
    <c:autoTitleDeleted val="0"/>
    <c:plotArea>
      <c:layout/>
      <c:scatterChart>
        <c:scatterStyle val="lineMarker"/>
        <c:varyColors val="0"/>
        <c:dLbls>
          <c:showLegendKey val="0"/>
          <c:showVal val="0"/>
          <c:showCatName val="0"/>
          <c:showSerName val="0"/>
          <c:showPercent val="0"/>
          <c:showBubbleSize val="0"/>
        </c:dLbls>
        <c:axId val="1530647983"/>
        <c:axId val="666637945"/>
      </c:scatterChart>
      <c:valAx>
        <c:axId val="15306479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Tides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666637945"/>
        <c:crosses val="autoZero"/>
        <c:crossBetween val="midCat"/>
      </c:valAx>
      <c:valAx>
        <c:axId val="666637945"/>
        <c:scaling>
          <c:orientation val="minMax"/>
        </c:scaling>
        <c:delete val="0"/>
        <c:axPos val="l"/>
        <c:majorTickMark val="cross"/>
        <c:minorTickMark val="cross"/>
        <c:tickLblPos val="nextTo"/>
        <c:spPr>
          <a:ln>
            <a:noFill/>
          </a:ln>
        </c:spPr>
        <c:crossAx val="1530647983"/>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title>
      <c:tx>
        <c:rich>
          <a:bodyPr/>
          <a:lstStyle/>
          <a:p>
            <a:pPr lvl="0">
              <a:defRPr b="0">
                <a:solidFill>
                  <a:srgbClr val="757575"/>
                </a:solidFill>
                <a:latin typeface="+mn-lt"/>
              </a:defRPr>
            </a:pPr>
            <a:r>
              <a:rPr b="0">
                <a:solidFill>
                  <a:srgbClr val="757575"/>
                </a:solidFill>
                <a:latin typeface="+mn-lt"/>
              </a:rPr>
              <a:t>Tides vs. species/quadrat</a:t>
            </a:r>
          </a:p>
        </c:rich>
      </c:tx>
      <c:layout>
        <c:manualLayout>
          <c:xMode val="edge"/>
          <c:yMode val="edge"/>
          <c:x val="2.9525862068965517E-2"/>
          <c:y val="0.05"/>
        </c:manualLayout>
      </c:layout>
      <c:overlay val="0"/>
    </c:title>
    <c:autoTitleDeleted val="0"/>
    <c:plotArea>
      <c:layout/>
      <c:scatterChart>
        <c:scatterStyle val="lineMarker"/>
        <c:varyColors val="0"/>
        <c:dLbls>
          <c:showLegendKey val="0"/>
          <c:showVal val="0"/>
          <c:showCatName val="0"/>
          <c:showSerName val="0"/>
          <c:showPercent val="0"/>
          <c:showBubbleSize val="0"/>
        </c:dLbls>
        <c:axId val="2083304314"/>
        <c:axId val="1182741400"/>
      </c:scatterChart>
      <c:valAx>
        <c:axId val="20833043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Tides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182741400"/>
        <c:crosses val="autoZero"/>
        <c:crossBetween val="midCat"/>
      </c:valAx>
      <c:valAx>
        <c:axId val="1182741400"/>
        <c:scaling>
          <c:orientation val="minMax"/>
        </c:scaling>
        <c:delete val="0"/>
        <c:axPos val="l"/>
        <c:majorTickMark val="cross"/>
        <c:minorTickMark val="cross"/>
        <c:tickLblPos val="nextTo"/>
        <c:spPr>
          <a:ln>
            <a:noFill/>
          </a:ln>
        </c:spPr>
        <c:crossAx val="2083304314"/>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Simpson's Diversity vs. Avg. Tide height (ft)</a:t>
            </a:r>
          </a:p>
        </c:rich>
      </c:tx>
      <c:overlay val="0"/>
    </c:title>
    <c:autoTitleDeleted val="0"/>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spPr>
              <a:ln w="19050">
                <a:solidFill>
                  <a:srgbClr val="000000"/>
                </a:solidFill>
              </a:ln>
            </c:spPr>
            <c:trendlineType val="linear"/>
            <c:dispRSqr val="1"/>
            <c:dispEq val="1"/>
            <c:trendlineLbl>
              <c:numFmt formatCode="General" sourceLinked="0"/>
            </c:trendlineLbl>
          </c:trendline>
          <c:xVal>
            <c:numRef>
              <c:f>Sheet12!$E$4:$E$137</c:f>
              <c:numCache>
                <c:formatCode>General</c:formatCode>
                <c:ptCount val="134"/>
                <c:pt idx="0">
                  <c:v>0.84733735077147099</c:v>
                </c:pt>
                <c:pt idx="1">
                  <c:v>0.83583384307401432</c:v>
                </c:pt>
                <c:pt idx="2">
                  <c:v>0.69913764031411096</c:v>
                </c:pt>
                <c:pt idx="3">
                  <c:v>0.80658566547660182</c:v>
                </c:pt>
                <c:pt idx="4">
                  <c:v>0.6983904020042444</c:v>
                </c:pt>
                <c:pt idx="5">
                  <c:v>0.54889783602185904</c:v>
                </c:pt>
                <c:pt idx="6">
                  <c:v>0.63478651898134997</c:v>
                </c:pt>
                <c:pt idx="7">
                  <c:v>0.60154396535492372</c:v>
                </c:pt>
                <c:pt idx="8">
                  <c:v>0.85513262835077086</c:v>
                </c:pt>
                <c:pt idx="9">
                  <c:v>0.72501689324119223</c:v>
                </c:pt>
                <c:pt idx="10">
                  <c:v>0.80307230805991459</c:v>
                </c:pt>
                <c:pt idx="11">
                  <c:v>0.67238081102920555</c:v>
                </c:pt>
                <c:pt idx="12">
                  <c:v>0.54599712062398631</c:v>
                </c:pt>
                <c:pt idx="13">
                  <c:v>0.70259661835748788</c:v>
                </c:pt>
                <c:pt idx="14">
                  <c:v>0.81129094088057374</c:v>
                </c:pt>
                <c:pt idx="15">
                  <c:v>0.71360960081133618</c:v>
                </c:pt>
                <c:pt idx="16">
                  <c:v>0.6290116444191991</c:v>
                </c:pt>
                <c:pt idx="17">
                  <c:v>0.62614585685256263</c:v>
                </c:pt>
                <c:pt idx="18">
                  <c:v>0.86088043327315655</c:v>
                </c:pt>
                <c:pt idx="19">
                  <c:v>0.8417048534121705</c:v>
                </c:pt>
                <c:pt idx="20">
                  <c:v>0.87834890965732093</c:v>
                </c:pt>
                <c:pt idx="21">
                  <c:v>0.76070792457097625</c:v>
                </c:pt>
                <c:pt idx="22">
                  <c:v>0.68526570048309177</c:v>
                </c:pt>
                <c:pt idx="23">
                  <c:v>0.7092394014962593</c:v>
                </c:pt>
                <c:pt idx="24">
                  <c:v>0.8501567398119122</c:v>
                </c:pt>
                <c:pt idx="25">
                  <c:v>0.79538110410593632</c:v>
                </c:pt>
                <c:pt idx="26">
                  <c:v>0.67871123155676005</c:v>
                </c:pt>
                <c:pt idx="27">
                  <c:v>0.81463557420236121</c:v>
                </c:pt>
                <c:pt idx="28">
                  <c:v>0.61736070781949237</c:v>
                </c:pt>
                <c:pt idx="29">
                  <c:v>0.84094935774398349</c:v>
                </c:pt>
                <c:pt idx="30">
                  <c:v>0.81411742736652093</c:v>
                </c:pt>
                <c:pt idx="31">
                  <c:v>0.57998148552646633</c:v>
                </c:pt>
                <c:pt idx="32">
                  <c:v>0.64121059461109842</c:v>
                </c:pt>
                <c:pt idx="33">
                  <c:v>0.71768664563617246</c:v>
                </c:pt>
                <c:pt idx="34">
                  <c:v>0.72092453030954928</c:v>
                </c:pt>
                <c:pt idx="35">
                  <c:v>0.67044224803405239</c:v>
                </c:pt>
                <c:pt idx="36">
                  <c:v>0.91909361783929255</c:v>
                </c:pt>
                <c:pt idx="37">
                  <c:v>0.48975697665173723</c:v>
                </c:pt>
                <c:pt idx="38">
                  <c:v>0.48460174063284045</c:v>
                </c:pt>
                <c:pt idx="39">
                  <c:v>0.74775910364145659</c:v>
                </c:pt>
                <c:pt idx="40">
                  <c:v>0.67296002288493173</c:v>
                </c:pt>
                <c:pt idx="41">
                  <c:v>0.10376447876447881</c:v>
                </c:pt>
                <c:pt idx="42">
                  <c:v>0.76805138298974418</c:v>
                </c:pt>
                <c:pt idx="43">
                  <c:v>0.72768951281891703</c:v>
                </c:pt>
                <c:pt idx="44">
                  <c:v>0.5548403522630091</c:v>
                </c:pt>
                <c:pt idx="45">
                  <c:v>0.81131355196946031</c:v>
                </c:pt>
                <c:pt idx="46">
                  <c:v>0.78194353785900783</c:v>
                </c:pt>
                <c:pt idx="47">
                  <c:v>0.86149308252681966</c:v>
                </c:pt>
                <c:pt idx="48">
                  <c:v>0.82728769701246763</c:v>
                </c:pt>
                <c:pt idx="49">
                  <c:v>0.82260909935004645</c:v>
                </c:pt>
                <c:pt idx="50">
                  <c:v>0.63255967349631037</c:v>
                </c:pt>
                <c:pt idx="51">
                  <c:v>0.73529118964659035</c:v>
                </c:pt>
                <c:pt idx="52">
                  <c:v>0.66150069050176463</c:v>
                </c:pt>
                <c:pt idx="53">
                  <c:v>0.59794871794871796</c:v>
                </c:pt>
                <c:pt idx="54">
                  <c:v>0.38463900072805102</c:v>
                </c:pt>
                <c:pt idx="55">
                  <c:v>0.85387504267668146</c:v>
                </c:pt>
                <c:pt idx="56">
                  <c:v>0.5345179694960458</c:v>
                </c:pt>
                <c:pt idx="57">
                  <c:v>0.58081931940433718</c:v>
                </c:pt>
                <c:pt idx="58">
                  <c:v>0.49541037349256523</c:v>
                </c:pt>
                <c:pt idx="59">
                  <c:v>0.46811844858723595</c:v>
                </c:pt>
                <c:pt idx="60">
                  <c:v>0.51492802649356451</c:v>
                </c:pt>
                <c:pt idx="61">
                  <c:v>0.69414687160378818</c:v>
                </c:pt>
                <c:pt idx="62">
                  <c:v>0.59041751348237292</c:v>
                </c:pt>
                <c:pt idx="63">
                  <c:v>0.71194852941176467</c:v>
                </c:pt>
                <c:pt idx="64">
                  <c:v>0.84443855308118299</c:v>
                </c:pt>
                <c:pt idx="65">
                  <c:v>0.71696127946127941</c:v>
                </c:pt>
                <c:pt idx="66">
                  <c:v>0.49816625916870416</c:v>
                </c:pt>
                <c:pt idx="67">
                  <c:v>0.43078899113578561</c:v>
                </c:pt>
                <c:pt idx="68">
                  <c:v>0.341225451293098</c:v>
                </c:pt>
                <c:pt idx="69">
                  <c:v>0.31873876548096114</c:v>
                </c:pt>
                <c:pt idx="70">
                  <c:v>0.45559876263409438</c:v>
                </c:pt>
                <c:pt idx="71">
                  <c:v>0.11128276927533431</c:v>
                </c:pt>
                <c:pt idx="72">
                  <c:v>0.63732775413029363</c:v>
                </c:pt>
                <c:pt idx="73">
                  <c:v>0.65175846051758457</c:v>
                </c:pt>
                <c:pt idx="74">
                  <c:v>0.81993186064402679</c:v>
                </c:pt>
                <c:pt idx="75">
                  <c:v>0.61535495534218687</c:v>
                </c:pt>
                <c:pt idx="76">
                  <c:v>0.24556196162435617</c:v>
                </c:pt>
                <c:pt idx="77">
                  <c:v>0.71198428290766214</c:v>
                </c:pt>
                <c:pt idx="78">
                  <c:v>0.68615446178471395</c:v>
                </c:pt>
                <c:pt idx="79">
                  <c:v>0.68665432274604754</c:v>
                </c:pt>
                <c:pt idx="80">
                  <c:v>0.3963065953654189</c:v>
                </c:pt>
                <c:pt idx="81">
                  <c:v>0.79615371198189977</c:v>
                </c:pt>
                <c:pt idx="82">
                  <c:v>0.86828665445719988</c:v>
                </c:pt>
                <c:pt idx="83">
                  <c:v>0.58182656522741494</c:v>
                </c:pt>
                <c:pt idx="84">
                  <c:v>0.72604975796465165</c:v>
                </c:pt>
              </c:numCache>
            </c:numRef>
          </c:xVal>
          <c:yVal>
            <c:numRef>
              <c:f>Sheet12!$D$4:$D$137</c:f>
              <c:numCache>
                <c:formatCode>General</c:formatCode>
                <c:ptCount val="134"/>
                <c:pt idx="0">
                  <c:v>29</c:v>
                </c:pt>
                <c:pt idx="1">
                  <c:v>33</c:v>
                </c:pt>
                <c:pt idx="2">
                  <c:v>15</c:v>
                </c:pt>
                <c:pt idx="3">
                  <c:v>24</c:v>
                </c:pt>
                <c:pt idx="4">
                  <c:v>11</c:v>
                </c:pt>
                <c:pt idx="5">
                  <c:v>21</c:v>
                </c:pt>
                <c:pt idx="6">
                  <c:v>13</c:v>
                </c:pt>
                <c:pt idx="7">
                  <c:v>25</c:v>
                </c:pt>
                <c:pt idx="8">
                  <c:v>16</c:v>
                </c:pt>
                <c:pt idx="9">
                  <c:v>23</c:v>
                </c:pt>
                <c:pt idx="10">
                  <c:v>24</c:v>
                </c:pt>
                <c:pt idx="11">
                  <c:v>16</c:v>
                </c:pt>
                <c:pt idx="12">
                  <c:v>13</c:v>
                </c:pt>
                <c:pt idx="13">
                  <c:v>20</c:v>
                </c:pt>
                <c:pt idx="14">
                  <c:v>20</c:v>
                </c:pt>
                <c:pt idx="15">
                  <c:v>11</c:v>
                </c:pt>
                <c:pt idx="16">
                  <c:v>18</c:v>
                </c:pt>
                <c:pt idx="17">
                  <c:v>21</c:v>
                </c:pt>
                <c:pt idx="18">
                  <c:v>27</c:v>
                </c:pt>
                <c:pt idx="19">
                  <c:v>27</c:v>
                </c:pt>
                <c:pt idx="20">
                  <c:v>24</c:v>
                </c:pt>
                <c:pt idx="21">
                  <c:v>24</c:v>
                </c:pt>
                <c:pt idx="22">
                  <c:v>21</c:v>
                </c:pt>
                <c:pt idx="23">
                  <c:v>24</c:v>
                </c:pt>
                <c:pt idx="24">
                  <c:v>17</c:v>
                </c:pt>
                <c:pt idx="25">
                  <c:v>18</c:v>
                </c:pt>
                <c:pt idx="26">
                  <c:v>5</c:v>
                </c:pt>
                <c:pt idx="27">
                  <c:v>27</c:v>
                </c:pt>
                <c:pt idx="28">
                  <c:v>17</c:v>
                </c:pt>
                <c:pt idx="29">
                  <c:v>20</c:v>
                </c:pt>
                <c:pt idx="30">
                  <c:v>12</c:v>
                </c:pt>
                <c:pt idx="31">
                  <c:v>11</c:v>
                </c:pt>
                <c:pt idx="32">
                  <c:v>15</c:v>
                </c:pt>
                <c:pt idx="33">
                  <c:v>25</c:v>
                </c:pt>
                <c:pt idx="34">
                  <c:v>19</c:v>
                </c:pt>
                <c:pt idx="35">
                  <c:v>7</c:v>
                </c:pt>
                <c:pt idx="36">
                  <c:v>28</c:v>
                </c:pt>
                <c:pt idx="37">
                  <c:v>2</c:v>
                </c:pt>
                <c:pt idx="38">
                  <c:v>3</c:v>
                </c:pt>
                <c:pt idx="39">
                  <c:v>8</c:v>
                </c:pt>
                <c:pt idx="40">
                  <c:v>10</c:v>
                </c:pt>
                <c:pt idx="41">
                  <c:v>4</c:v>
                </c:pt>
                <c:pt idx="42">
                  <c:v>9</c:v>
                </c:pt>
                <c:pt idx="43">
                  <c:v>17</c:v>
                </c:pt>
                <c:pt idx="44">
                  <c:v>18</c:v>
                </c:pt>
                <c:pt idx="45">
                  <c:v>16</c:v>
                </c:pt>
                <c:pt idx="46">
                  <c:v>13</c:v>
                </c:pt>
                <c:pt idx="47">
                  <c:v>19</c:v>
                </c:pt>
                <c:pt idx="48">
                  <c:v>20</c:v>
                </c:pt>
                <c:pt idx="49">
                  <c:v>13</c:v>
                </c:pt>
                <c:pt idx="50">
                  <c:v>7</c:v>
                </c:pt>
                <c:pt idx="51">
                  <c:v>11</c:v>
                </c:pt>
                <c:pt idx="52">
                  <c:v>11</c:v>
                </c:pt>
                <c:pt idx="53">
                  <c:v>11</c:v>
                </c:pt>
                <c:pt idx="54">
                  <c:v>18</c:v>
                </c:pt>
                <c:pt idx="55">
                  <c:v>12</c:v>
                </c:pt>
                <c:pt idx="56">
                  <c:v>13</c:v>
                </c:pt>
                <c:pt idx="57">
                  <c:v>11</c:v>
                </c:pt>
                <c:pt idx="58">
                  <c:v>7</c:v>
                </c:pt>
                <c:pt idx="59">
                  <c:v>14</c:v>
                </c:pt>
                <c:pt idx="60">
                  <c:v>8</c:v>
                </c:pt>
                <c:pt idx="61">
                  <c:v>10</c:v>
                </c:pt>
                <c:pt idx="62">
                  <c:v>17</c:v>
                </c:pt>
                <c:pt idx="63">
                  <c:v>15</c:v>
                </c:pt>
                <c:pt idx="64">
                  <c:v>11</c:v>
                </c:pt>
                <c:pt idx="65">
                  <c:v>20</c:v>
                </c:pt>
                <c:pt idx="66">
                  <c:v>13</c:v>
                </c:pt>
                <c:pt idx="67">
                  <c:v>10</c:v>
                </c:pt>
                <c:pt idx="68">
                  <c:v>13</c:v>
                </c:pt>
                <c:pt idx="69">
                  <c:v>21</c:v>
                </c:pt>
                <c:pt idx="70">
                  <c:v>16</c:v>
                </c:pt>
                <c:pt idx="71">
                  <c:v>12</c:v>
                </c:pt>
                <c:pt idx="72">
                  <c:v>23</c:v>
                </c:pt>
                <c:pt idx="73">
                  <c:v>15</c:v>
                </c:pt>
                <c:pt idx="74">
                  <c:v>13</c:v>
                </c:pt>
                <c:pt idx="75">
                  <c:v>9</c:v>
                </c:pt>
                <c:pt idx="76">
                  <c:v>13</c:v>
                </c:pt>
                <c:pt idx="77">
                  <c:v>10</c:v>
                </c:pt>
                <c:pt idx="78">
                  <c:v>35</c:v>
                </c:pt>
                <c:pt idx="79">
                  <c:v>10</c:v>
                </c:pt>
                <c:pt idx="80">
                  <c:v>10</c:v>
                </c:pt>
                <c:pt idx="81">
                  <c:v>18</c:v>
                </c:pt>
                <c:pt idx="82">
                  <c:v>17</c:v>
                </c:pt>
                <c:pt idx="83">
                  <c:v>9</c:v>
                </c:pt>
                <c:pt idx="84">
                  <c:v>7</c:v>
                </c:pt>
              </c:numCache>
            </c:numRef>
          </c:yVal>
          <c:smooth val="1"/>
          <c:extLst>
            <c:ext xmlns:c16="http://schemas.microsoft.com/office/drawing/2014/chart" uri="{C3380CC4-5D6E-409C-BE32-E72D297353CC}">
              <c16:uniqueId val="{00000001-AEB2-D742-9822-284B4C3F6027}"/>
            </c:ext>
          </c:extLst>
        </c:ser>
        <c:dLbls>
          <c:showLegendKey val="0"/>
          <c:showVal val="0"/>
          <c:showCatName val="0"/>
          <c:showSerName val="0"/>
          <c:showPercent val="0"/>
          <c:showBubbleSize val="0"/>
        </c:dLbls>
        <c:axId val="1897033848"/>
        <c:axId val="240814127"/>
      </c:scatterChart>
      <c:valAx>
        <c:axId val="189703384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Tide Height (ft)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40814127"/>
        <c:crosses val="autoZero"/>
        <c:crossBetween val="midCat"/>
      </c:valAx>
      <c:valAx>
        <c:axId val="2408141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Simpson's Diversity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897033848"/>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sheetViews>
    <sheetView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2" title="Chart">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2.xml><?xml version="1.0" encoding="utf-8"?>
<xdr:wsDr xmlns:xdr="http://schemas.openxmlformats.org/drawingml/2006/spreadsheetDrawing" xmlns:a="http://schemas.openxmlformats.org/drawingml/2006/main">
  <xdr:absoluteAnchor>
    <xdr:pos x="0" y="0"/>
    <xdr:ext cx="8610600" cy="6276975"/>
    <xdr:graphicFrame macro="">
      <xdr:nvGraphicFramePr>
        <xdr:cNvPr id="2" name="Chart 1" title="Chart">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3.xml><?xml version="1.0" encoding="utf-8"?>
<xdr:wsDr xmlns:xdr="http://schemas.openxmlformats.org/drawingml/2006/spreadsheetDrawing" xmlns:a="http://schemas.openxmlformats.org/drawingml/2006/main">
  <xdr:absoluteAnchor>
    <xdr:pos x="0" y="0"/>
    <xdr:ext cx="8610600" cy="6276975"/>
    <xdr:graphicFrame macro="">
      <xdr:nvGraphicFramePr>
        <xdr:cNvPr id="3" name="Chart 3" title="Chart">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4.xml><?xml version="1.0" encoding="utf-8"?>
<xdr:wsDr xmlns:xdr="http://schemas.openxmlformats.org/drawingml/2006/spreadsheetDrawing" xmlns:a="http://schemas.openxmlformats.org/drawingml/2006/main">
  <xdr:absoluteAnchor>
    <xdr:pos x="0" y="0"/>
    <xdr:ext cx="8610600" cy="6276975"/>
    <xdr:graphicFrame macro="">
      <xdr:nvGraphicFramePr>
        <xdr:cNvPr id="4" name="Chart 4" title="Chart">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hKqULHWJ4k9WGsgo4QkwDRNJa49Nw2uK8WbSAHKes5I/edi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hKqULHWJ4k9WGsgo4QkwDRNJa49Nw2uK8WbSAHKes5I/edit"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 TargetMode="External"/><Relationship Id="rId13" Type="http://schemas.openxmlformats.org/officeDocument/2006/relationships/hyperlink" Target="http://www.hawaiitides.com/Waikiki/Month" TargetMode="External"/><Relationship Id="rId18" Type="http://schemas.openxmlformats.org/officeDocument/2006/relationships/hyperlink" Target="http://prhnoaa.gov/" TargetMode="External"/><Relationship Id="rId26" Type="http://schemas.openxmlformats.org/officeDocument/2006/relationships/hyperlink" Target="http://www.prh.noaa.gov/hnl/pages/obs.ph" TargetMode="External"/><Relationship Id="rId3" Type="http://schemas.openxmlformats.org/officeDocument/2006/relationships/hyperlink" Target="http://www/" TargetMode="External"/><Relationship Id="rId21" Type="http://schemas.openxmlformats.org/officeDocument/2006/relationships/hyperlink" Target="http://www.hawaiitides.com/Waikiki/Month" TargetMode="External"/><Relationship Id="rId7" Type="http://schemas.openxmlformats.org/officeDocument/2006/relationships/hyperlink" Target="https://tidesandcurrents/" TargetMode="External"/><Relationship Id="rId12" Type="http://schemas.openxmlformats.org/officeDocument/2006/relationships/hyperlink" Target="http://www.prh.noaa.gov/hnl/pages/SRF.ph" TargetMode="External"/><Relationship Id="rId17" Type="http://schemas.openxmlformats.org/officeDocument/2006/relationships/hyperlink" Target="http://hawaiitides.com/" TargetMode="External"/><Relationship Id="rId25" Type="http://schemas.openxmlformats.org/officeDocument/2006/relationships/hyperlink" Target="http://www.hawaiitides.com/Waikiki/Month" TargetMode="External"/><Relationship Id="rId2" Type="http://schemas.openxmlformats.org/officeDocument/2006/relationships/hyperlink" Target="http://www/" TargetMode="External"/><Relationship Id="rId16" Type="http://schemas.openxmlformats.org/officeDocument/2006/relationships/hyperlink" Target="http://www.ndbc.noaa.gov/" TargetMode="External"/><Relationship Id="rId20" Type="http://schemas.openxmlformats.org/officeDocument/2006/relationships/hyperlink" Target="http://ndbc.noaa.gov/" TargetMode="External"/><Relationship Id="rId29" Type="http://schemas.openxmlformats.org/officeDocument/2006/relationships/hyperlink" Target="https://tidesandcurrents.noaa.gov/tide_p" TargetMode="External"/><Relationship Id="rId1" Type="http://schemas.openxmlformats.org/officeDocument/2006/relationships/hyperlink" Target="http://www/" TargetMode="External"/><Relationship Id="rId6" Type="http://schemas.openxmlformats.org/officeDocument/2006/relationships/hyperlink" Target="http://prh/" TargetMode="External"/><Relationship Id="rId11" Type="http://schemas.openxmlformats.org/officeDocument/2006/relationships/hyperlink" Target="http://www.ndbc.noaa.gov/" TargetMode="External"/><Relationship Id="rId24" Type="http://schemas.openxmlformats.org/officeDocument/2006/relationships/hyperlink" Target="http://www.ndbc.noaa.gov/" TargetMode="External"/><Relationship Id="rId32" Type="http://schemas.openxmlformats.org/officeDocument/2006/relationships/hyperlink" Target="https://www.ndbc.noaa.gov/station_page.p" TargetMode="External"/><Relationship Id="rId5" Type="http://schemas.openxmlformats.org/officeDocument/2006/relationships/hyperlink" Target="https://tidesandcurrents/" TargetMode="External"/><Relationship Id="rId15" Type="http://schemas.openxmlformats.org/officeDocument/2006/relationships/hyperlink" Target="http://www.prh.noaa.gov/hnl/pages/marine" TargetMode="External"/><Relationship Id="rId23" Type="http://schemas.openxmlformats.org/officeDocument/2006/relationships/hyperlink" Target="http://www.ndbc.noaa.gov/" TargetMode="External"/><Relationship Id="rId28" Type="http://schemas.openxmlformats.org/officeDocument/2006/relationships/hyperlink" Target="http://www.ndbc.noaa.gov/" TargetMode="External"/><Relationship Id="rId10" Type="http://schemas.openxmlformats.org/officeDocument/2006/relationships/hyperlink" Target="http://www.prh.noaa.gov/hnl/hydro/daily_" TargetMode="External"/><Relationship Id="rId19" Type="http://schemas.openxmlformats.org/officeDocument/2006/relationships/hyperlink" Target="http://ndbc.noaa.gov/" TargetMode="External"/><Relationship Id="rId31" Type="http://schemas.openxmlformats.org/officeDocument/2006/relationships/hyperlink" Target="https://www.ndbc.noaa.gov/" TargetMode="External"/><Relationship Id="rId4" Type="http://schemas.openxmlformats.org/officeDocument/2006/relationships/hyperlink" Target="http://ww/" TargetMode="External"/><Relationship Id="rId9" Type="http://schemas.openxmlformats.org/officeDocument/2006/relationships/hyperlink" Target="http://www.hawaiitides.com/Waikiki/Month" TargetMode="External"/><Relationship Id="rId14" Type="http://schemas.openxmlformats.org/officeDocument/2006/relationships/hyperlink" Target="http://www.prh.noaa.gov/hnl/pages/obs.ph" TargetMode="External"/><Relationship Id="rId22" Type="http://schemas.openxmlformats.org/officeDocument/2006/relationships/hyperlink" Target="http://www.ndbc.noaa.gov/" TargetMode="External"/><Relationship Id="rId27" Type="http://schemas.openxmlformats.org/officeDocument/2006/relationships/hyperlink" Target="http://www.ndbc.noaa.gov/" TargetMode="External"/><Relationship Id="rId30" Type="http://schemas.openxmlformats.org/officeDocument/2006/relationships/hyperlink" Target="http://www.prh.noaa.gov/hnl/pages/obs.p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BEEFD-1DAC-D949-A0F1-F58347CD47F9}">
  <sheetPr>
    <outlinePr summaryBelow="0" summaryRight="0"/>
  </sheetPr>
  <dimension ref="A1:HI249"/>
  <sheetViews>
    <sheetView tabSelected="1" zoomScale="130" zoomScaleNormal="130" workbookViewId="0">
      <pane xSplit="2" ySplit="1" topLeftCell="C2" activePane="bottomRight" state="frozen"/>
      <selection pane="topRight" activeCell="C1" sqref="C1"/>
      <selection pane="bottomLeft" activeCell="A5" sqref="A5"/>
      <selection pane="bottomRight" activeCell="GN2" sqref="GN2"/>
    </sheetView>
  </sheetViews>
  <sheetFormatPr baseColWidth="10" defaultColWidth="12.6640625" defaultRowHeight="15.75" customHeight="1" x14ac:dyDescent="0.15"/>
  <cols>
    <col min="18" max="18" width="20.1640625" customWidth="1"/>
    <col min="20" max="20" width="20.5" customWidth="1"/>
    <col min="26" max="26" width="18.6640625" customWidth="1"/>
    <col min="28" max="28" width="19.5" customWidth="1"/>
    <col min="29" max="29" width="19" customWidth="1"/>
    <col min="30" max="30" width="25.6640625" customWidth="1"/>
    <col min="31" max="31" width="22.1640625" customWidth="1"/>
    <col min="35" max="35" width="17.6640625" customWidth="1"/>
    <col min="44" max="44" width="16.83203125" customWidth="1"/>
    <col min="50" max="50" width="21.5" customWidth="1"/>
    <col min="52" max="52" width="16.1640625" customWidth="1"/>
    <col min="54" max="54" width="28.6640625" customWidth="1"/>
    <col min="60" max="60" width="16.83203125" customWidth="1"/>
    <col min="65" max="65" width="21.6640625" customWidth="1"/>
    <col min="66" max="66" width="16.33203125" customWidth="1"/>
    <col min="69" max="69" width="17.33203125" customWidth="1"/>
    <col min="70" max="70" width="18.6640625" customWidth="1"/>
    <col min="73" max="73" width="21.1640625" customWidth="1"/>
    <col min="74" max="74" width="16.33203125" customWidth="1"/>
    <col min="75" max="75" width="21.6640625" customWidth="1"/>
    <col min="77" max="77" width="16.33203125" customWidth="1"/>
    <col min="80" max="80" width="20.6640625" customWidth="1"/>
    <col min="81" max="81" width="19.83203125" customWidth="1"/>
    <col min="82" max="82" width="17.83203125" customWidth="1"/>
    <col min="87" max="87" width="19.6640625" customWidth="1"/>
    <col min="89" max="89" width="15.83203125" customWidth="1"/>
    <col min="92" max="92" width="16" customWidth="1"/>
    <col min="93" max="93" width="17.5" customWidth="1"/>
    <col min="97" max="97" width="17.33203125" customWidth="1"/>
    <col min="101" max="101" width="19" customWidth="1"/>
    <col min="112" max="112" width="20.83203125" customWidth="1"/>
    <col min="114" max="114" width="20.33203125" customWidth="1"/>
    <col min="116" max="116" width="21.5" customWidth="1"/>
    <col min="118" max="118" width="19" customWidth="1"/>
    <col min="120" max="120" width="15.1640625" customWidth="1"/>
    <col min="123" max="123" width="17" customWidth="1"/>
    <col min="126" max="126" width="21.5" customWidth="1"/>
    <col min="130" max="130" width="15.5" customWidth="1"/>
    <col min="136" max="136" width="21.6640625" customWidth="1"/>
    <col min="139" max="139" width="17" customWidth="1"/>
    <col min="141" max="141" width="17.6640625" customWidth="1"/>
    <col min="145" max="145" width="15.1640625" customWidth="1"/>
    <col min="151" max="151" width="15.5" customWidth="1"/>
    <col min="152" max="152" width="21.5" customWidth="1"/>
    <col min="153" max="153" width="20.1640625" customWidth="1"/>
    <col min="154" max="154" width="15.6640625" customWidth="1"/>
    <col min="156" max="156" width="17.1640625" customWidth="1"/>
    <col min="159" max="159" width="16.6640625" customWidth="1"/>
    <col min="165" max="165" width="16.83203125" customWidth="1"/>
    <col min="167" max="167" width="16.83203125" customWidth="1"/>
    <col min="168" max="169" width="18.6640625" customWidth="1"/>
    <col min="172" max="172" width="17.83203125" customWidth="1"/>
    <col min="174" max="174" width="17.33203125" customWidth="1"/>
    <col min="195" max="217" width="20.1640625" customWidth="1"/>
  </cols>
  <sheetData>
    <row r="1" spans="1:217" ht="16" x14ac:dyDescent="0.2">
      <c r="A1" s="1" t="s">
        <v>6</v>
      </c>
      <c r="B1" s="2" t="s">
        <v>7</v>
      </c>
      <c r="C1" s="1" t="s">
        <v>72</v>
      </c>
      <c r="D1" s="2" t="s">
        <v>8</v>
      </c>
      <c r="E1" s="2" t="s">
        <v>9</v>
      </c>
      <c r="F1" s="2" t="s">
        <v>10</v>
      </c>
      <c r="G1" s="1" t="s">
        <v>11</v>
      </c>
      <c r="H1" s="1" t="s">
        <v>12</v>
      </c>
      <c r="I1" s="1" t="s">
        <v>13</v>
      </c>
      <c r="J1" s="1" t="s">
        <v>14</v>
      </c>
      <c r="K1" s="1" t="s">
        <v>15</v>
      </c>
      <c r="L1" s="1" t="s">
        <v>16</v>
      </c>
      <c r="M1" s="1" t="s">
        <v>17</v>
      </c>
      <c r="N1" s="1" t="s">
        <v>18</v>
      </c>
      <c r="O1" s="1" t="s">
        <v>27</v>
      </c>
      <c r="P1" s="1" t="s">
        <v>28</v>
      </c>
      <c r="Q1" s="1" t="s">
        <v>20</v>
      </c>
      <c r="R1" s="2" t="s">
        <v>21</v>
      </c>
      <c r="S1" s="3" t="s">
        <v>22</v>
      </c>
      <c r="T1" s="4" t="s">
        <v>23</v>
      </c>
      <c r="U1" s="3" t="s">
        <v>24</v>
      </c>
      <c r="V1" s="8" t="s">
        <v>25</v>
      </c>
      <c r="W1" s="8" t="s">
        <v>29</v>
      </c>
      <c r="X1" s="8" t="s">
        <v>30</v>
      </c>
      <c r="Y1" s="3" t="s">
        <v>31</v>
      </c>
      <c r="Z1" s="3" t="s">
        <v>32</v>
      </c>
      <c r="AA1" s="8" t="s">
        <v>33</v>
      </c>
      <c r="AB1" s="2" t="s">
        <v>34</v>
      </c>
      <c r="AC1" s="3" t="s">
        <v>35</v>
      </c>
      <c r="AD1" s="4" t="s">
        <v>36</v>
      </c>
      <c r="AE1" s="2" t="s">
        <v>37</v>
      </c>
      <c r="AF1" s="4" t="s">
        <v>38</v>
      </c>
      <c r="AG1" s="4" t="s">
        <v>39</v>
      </c>
      <c r="AH1" s="8" t="s">
        <v>40</v>
      </c>
      <c r="AI1" s="1" t="s">
        <v>41</v>
      </c>
      <c r="AJ1" s="3" t="s">
        <v>42</v>
      </c>
      <c r="AK1" s="8" t="s">
        <v>43</v>
      </c>
      <c r="AL1" s="3" t="s">
        <v>44</v>
      </c>
      <c r="AM1" s="2" t="s">
        <v>45</v>
      </c>
      <c r="AN1" s="4" t="s">
        <v>46</v>
      </c>
      <c r="AO1" s="8" t="s">
        <v>47</v>
      </c>
      <c r="AP1" s="4" t="s">
        <v>48</v>
      </c>
      <c r="AQ1" s="3" t="s">
        <v>49</v>
      </c>
      <c r="AR1" s="3" t="s">
        <v>50</v>
      </c>
      <c r="AS1" s="3" t="s">
        <v>51</v>
      </c>
      <c r="AT1" s="3" t="s">
        <v>52</v>
      </c>
      <c r="AU1" s="8" t="s">
        <v>53</v>
      </c>
      <c r="AV1" s="8" t="s">
        <v>54</v>
      </c>
      <c r="AW1" s="8" t="s">
        <v>55</v>
      </c>
      <c r="AX1" s="9" t="s">
        <v>56</v>
      </c>
      <c r="AY1" s="8" t="s">
        <v>57</v>
      </c>
      <c r="AZ1" s="8" t="s">
        <v>58</v>
      </c>
      <c r="BA1" s="10" t="s">
        <v>59</v>
      </c>
      <c r="BB1" s="10" t="s">
        <v>60</v>
      </c>
      <c r="BC1" s="4" t="s">
        <v>61</v>
      </c>
      <c r="BD1" s="4" t="s">
        <v>62</v>
      </c>
      <c r="BE1" s="2" t="s">
        <v>63</v>
      </c>
      <c r="BF1" s="3" t="s">
        <v>64</v>
      </c>
      <c r="BG1" s="8" t="s">
        <v>65</v>
      </c>
      <c r="BH1" s="3" t="s">
        <v>66</v>
      </c>
      <c r="BI1" s="8" t="s">
        <v>67</v>
      </c>
      <c r="BJ1" s="8" t="s">
        <v>68</v>
      </c>
      <c r="BK1" s="2" t="s">
        <v>69</v>
      </c>
      <c r="BL1" s="4" t="s">
        <v>70</v>
      </c>
      <c r="BM1" s="2" t="s">
        <v>71</v>
      </c>
      <c r="BN1" s="4" t="s">
        <v>73</v>
      </c>
      <c r="BO1" s="8" t="s">
        <v>74</v>
      </c>
      <c r="BP1" s="4" t="s">
        <v>75</v>
      </c>
      <c r="BQ1" s="3" t="s">
        <v>76</v>
      </c>
      <c r="BR1" s="4" t="s">
        <v>77</v>
      </c>
      <c r="BS1" s="3" t="s">
        <v>78</v>
      </c>
      <c r="BT1" s="8" t="s">
        <v>79</v>
      </c>
      <c r="BU1" s="3" t="s">
        <v>80</v>
      </c>
      <c r="BV1" s="11" t="s">
        <v>81</v>
      </c>
      <c r="BW1" s="4" t="s">
        <v>82</v>
      </c>
      <c r="BX1" s="3" t="s">
        <v>83</v>
      </c>
      <c r="BY1" s="3" t="s">
        <v>84</v>
      </c>
      <c r="BZ1" s="2" t="s">
        <v>85</v>
      </c>
      <c r="CA1" s="3" t="s">
        <v>86</v>
      </c>
      <c r="CB1" s="3" t="s">
        <v>87</v>
      </c>
      <c r="CC1" s="2" t="s">
        <v>88</v>
      </c>
      <c r="CD1" s="8" t="s">
        <v>89</v>
      </c>
      <c r="CE1" s="8" t="s">
        <v>90</v>
      </c>
      <c r="CF1" s="3" t="s">
        <v>91</v>
      </c>
      <c r="CG1" s="8" t="s">
        <v>92</v>
      </c>
      <c r="CH1" s="4" t="s">
        <v>93</v>
      </c>
      <c r="CI1" s="3" t="s">
        <v>94</v>
      </c>
      <c r="CJ1" s="8" t="s">
        <v>95</v>
      </c>
      <c r="CK1" s="3" t="s">
        <v>96</v>
      </c>
      <c r="CL1" s="3" t="s">
        <v>97</v>
      </c>
      <c r="CM1" s="8" t="s">
        <v>98</v>
      </c>
      <c r="CN1" s="3" t="s">
        <v>99</v>
      </c>
      <c r="CO1" s="1" t="s">
        <v>100</v>
      </c>
      <c r="CP1" s="8" t="s">
        <v>101</v>
      </c>
      <c r="CQ1" s="8" t="s">
        <v>102</v>
      </c>
      <c r="CR1" s="3" t="s">
        <v>103</v>
      </c>
      <c r="CS1" s="1" t="s">
        <v>104</v>
      </c>
      <c r="CT1" s="4" t="s">
        <v>105</v>
      </c>
      <c r="CU1" s="4" t="s">
        <v>106</v>
      </c>
      <c r="CV1" s="8" t="s">
        <v>107</v>
      </c>
      <c r="CW1" s="8" t="s">
        <v>108</v>
      </c>
      <c r="CX1" s="8" t="s">
        <v>109</v>
      </c>
      <c r="CY1" s="8" t="s">
        <v>110</v>
      </c>
      <c r="CZ1" s="8" t="s">
        <v>111</v>
      </c>
      <c r="DA1" s="4" t="s">
        <v>112</v>
      </c>
      <c r="DB1" s="8" t="s">
        <v>113</v>
      </c>
      <c r="DC1" s="3" t="s">
        <v>114</v>
      </c>
      <c r="DD1" s="8" t="s">
        <v>115</v>
      </c>
      <c r="DE1" s="8" t="s">
        <v>116</v>
      </c>
      <c r="DF1" s="3" t="s">
        <v>117</v>
      </c>
      <c r="DG1" s="2" t="s">
        <v>118</v>
      </c>
      <c r="DH1" s="4" t="s">
        <v>119</v>
      </c>
      <c r="DI1" s="3" t="s">
        <v>120</v>
      </c>
      <c r="DJ1" s="4" t="s">
        <v>121</v>
      </c>
      <c r="DK1" s="8" t="s">
        <v>122</v>
      </c>
      <c r="DL1" s="4" t="s">
        <v>123</v>
      </c>
      <c r="DM1" s="2" t="s">
        <v>124</v>
      </c>
      <c r="DN1" s="3" t="s">
        <v>125</v>
      </c>
      <c r="DO1" s="3" t="s">
        <v>126</v>
      </c>
      <c r="DP1" s="4" t="s">
        <v>127</v>
      </c>
      <c r="DQ1" s="3" t="s">
        <v>128</v>
      </c>
      <c r="DR1" s="3" t="s">
        <v>129</v>
      </c>
      <c r="DS1" s="1" t="s">
        <v>130</v>
      </c>
      <c r="DT1" s="8" t="s">
        <v>131</v>
      </c>
      <c r="DU1" s="8" t="s">
        <v>132</v>
      </c>
      <c r="DV1" s="3" t="s">
        <v>133</v>
      </c>
      <c r="DW1" s="8" t="s">
        <v>134</v>
      </c>
      <c r="DX1" s="3" t="s">
        <v>135</v>
      </c>
      <c r="DY1" s="3" t="s">
        <v>136</v>
      </c>
      <c r="DZ1" s="4" t="s">
        <v>137</v>
      </c>
      <c r="EA1" s="2" t="s">
        <v>138</v>
      </c>
      <c r="EB1" s="8" t="s">
        <v>139</v>
      </c>
      <c r="EC1" s="8" t="s">
        <v>140</v>
      </c>
      <c r="ED1" s="3" t="s">
        <v>141</v>
      </c>
      <c r="EE1" s="8" t="s">
        <v>142</v>
      </c>
      <c r="EF1" s="8" t="s">
        <v>143</v>
      </c>
      <c r="EG1" s="8" t="s">
        <v>146</v>
      </c>
      <c r="EH1" s="8" t="s">
        <v>144</v>
      </c>
      <c r="EI1" s="3" t="s">
        <v>145</v>
      </c>
      <c r="EJ1" s="2" t="s">
        <v>147</v>
      </c>
      <c r="EK1" s="8" t="s">
        <v>148</v>
      </c>
      <c r="EL1" s="8" t="s">
        <v>149</v>
      </c>
      <c r="EM1" s="3" t="s">
        <v>150</v>
      </c>
      <c r="EN1" s="3" t="s">
        <v>151</v>
      </c>
      <c r="EO1" s="8" t="s">
        <v>152</v>
      </c>
      <c r="EP1" s="3" t="s">
        <v>153</v>
      </c>
      <c r="EQ1" s="3" t="s">
        <v>154</v>
      </c>
      <c r="ER1" s="3" t="s">
        <v>155</v>
      </c>
      <c r="ES1" s="8" t="s">
        <v>156</v>
      </c>
      <c r="ET1" s="8" t="s">
        <v>157</v>
      </c>
      <c r="EU1" s="8" t="s">
        <v>158</v>
      </c>
      <c r="EV1" s="3" t="s">
        <v>159</v>
      </c>
      <c r="EW1" s="3" t="s">
        <v>160</v>
      </c>
      <c r="EX1" s="3" t="s">
        <v>161</v>
      </c>
      <c r="EY1" s="8" t="s">
        <v>162</v>
      </c>
      <c r="EZ1" s="3" t="s">
        <v>163</v>
      </c>
      <c r="FA1" s="3" t="s">
        <v>164</v>
      </c>
      <c r="FB1" s="1" t="s">
        <v>165</v>
      </c>
      <c r="FC1" s="3" t="s">
        <v>166</v>
      </c>
      <c r="FD1" s="8" t="s">
        <v>167</v>
      </c>
      <c r="FE1" s="4" t="s">
        <v>200</v>
      </c>
      <c r="FF1" s="12" t="s">
        <v>169</v>
      </c>
      <c r="FG1" s="3" t="s">
        <v>170</v>
      </c>
      <c r="FH1" s="3" t="s">
        <v>171</v>
      </c>
      <c r="FI1" s="1" t="s">
        <v>172</v>
      </c>
      <c r="FJ1" s="8" t="s">
        <v>173</v>
      </c>
      <c r="FK1" s="4" t="s">
        <v>174</v>
      </c>
      <c r="FL1" s="4" t="s">
        <v>175</v>
      </c>
      <c r="FM1" s="2" t="s">
        <v>176</v>
      </c>
      <c r="FN1" s="3" t="s">
        <v>177</v>
      </c>
      <c r="FO1" s="3" t="s">
        <v>203</v>
      </c>
      <c r="FP1" s="3" t="s">
        <v>178</v>
      </c>
      <c r="FQ1" s="8" t="s">
        <v>179</v>
      </c>
      <c r="FR1" s="2" t="s">
        <v>180</v>
      </c>
      <c r="FS1" s="2" t="s">
        <v>181</v>
      </c>
      <c r="FT1" s="3" t="s">
        <v>182</v>
      </c>
      <c r="FU1" s="3" t="s">
        <v>183</v>
      </c>
      <c r="FV1" s="8" t="s">
        <v>184</v>
      </c>
      <c r="FW1" s="4" t="s">
        <v>185</v>
      </c>
      <c r="FX1" s="3" t="s">
        <v>205</v>
      </c>
      <c r="FY1" s="3" t="s">
        <v>194</v>
      </c>
      <c r="FZ1" s="3" t="s">
        <v>186</v>
      </c>
      <c r="GA1" s="3" t="s">
        <v>187</v>
      </c>
      <c r="GB1" s="8" t="s">
        <v>188</v>
      </c>
      <c r="GC1" s="3" t="s">
        <v>189</v>
      </c>
      <c r="GD1" s="3" t="s">
        <v>190</v>
      </c>
      <c r="GE1" s="8" t="s">
        <v>191</v>
      </c>
      <c r="GF1" s="4" t="s">
        <v>192</v>
      </c>
      <c r="GG1" s="12" t="s">
        <v>193</v>
      </c>
      <c r="GH1" s="4" t="s">
        <v>195</v>
      </c>
      <c r="GI1" s="4" t="s">
        <v>207</v>
      </c>
      <c r="GJ1" s="4" t="s">
        <v>208</v>
      </c>
      <c r="GK1" s="4" t="s">
        <v>210</v>
      </c>
      <c r="GL1" s="3" t="s">
        <v>211</v>
      </c>
      <c r="GM1" s="3" t="s">
        <v>213</v>
      </c>
      <c r="GN1" s="3" t="s">
        <v>1017</v>
      </c>
      <c r="GO1" s="3"/>
      <c r="GP1" s="3"/>
      <c r="GQ1" s="3"/>
      <c r="GR1" s="3"/>
      <c r="GS1" s="3"/>
      <c r="GT1" s="3"/>
      <c r="GU1" s="3"/>
      <c r="GV1" s="3"/>
      <c r="GW1" s="3"/>
      <c r="GX1" s="3"/>
      <c r="GY1" s="3"/>
      <c r="GZ1" s="3"/>
      <c r="HA1" s="3"/>
      <c r="HB1" s="3"/>
      <c r="HC1" s="3"/>
      <c r="HD1" s="3"/>
      <c r="HE1" s="3"/>
      <c r="HF1" s="3"/>
      <c r="HG1" s="3"/>
      <c r="HH1" s="3"/>
      <c r="HI1" s="3"/>
    </row>
    <row r="2" spans="1:217" ht="15.75" customHeight="1" x14ac:dyDescent="0.15">
      <c r="A2" s="13">
        <v>38018</v>
      </c>
      <c r="B2" s="3" t="s">
        <v>196</v>
      </c>
      <c r="C2" s="3">
        <v>1</v>
      </c>
      <c r="D2" s="3">
        <v>21.559277999999999</v>
      </c>
      <c r="E2" s="3">
        <v>-157.87190200000001</v>
      </c>
      <c r="F2" s="3" t="s">
        <v>197</v>
      </c>
      <c r="G2" s="14">
        <v>0</v>
      </c>
      <c r="H2" s="14">
        <v>4.1666666666666664E-2</v>
      </c>
      <c r="I2" s="3">
        <v>6</v>
      </c>
      <c r="J2" s="3">
        <v>10</v>
      </c>
      <c r="K2" s="3" t="s">
        <v>198</v>
      </c>
      <c r="L2" s="3">
        <v>11</v>
      </c>
      <c r="M2" s="3">
        <v>22</v>
      </c>
      <c r="N2" s="3" t="s">
        <v>199</v>
      </c>
      <c r="P2" s="3">
        <v>22</v>
      </c>
      <c r="R2" s="3">
        <v>23</v>
      </c>
      <c r="AD2" s="3">
        <v>15</v>
      </c>
      <c r="AF2" s="3">
        <v>15</v>
      </c>
      <c r="AK2" s="3">
        <v>11</v>
      </c>
      <c r="BM2" s="3">
        <v>6</v>
      </c>
      <c r="DP2" s="3">
        <v>1</v>
      </c>
      <c r="ED2" s="3">
        <v>8</v>
      </c>
      <c r="FB2" s="3">
        <v>15</v>
      </c>
      <c r="FS2" s="3">
        <v>54</v>
      </c>
      <c r="FT2" s="3">
        <v>1</v>
      </c>
      <c r="GF2" s="3">
        <v>17</v>
      </c>
      <c r="GH2" s="3">
        <f t="shared" ref="GH2:GH48" si="0">COUNT(R2:GG2)</f>
        <v>11</v>
      </c>
      <c r="GI2" s="3">
        <f t="shared" ref="GI2:GI48" si="1">COUNTIF(R2:GG2,"&gt;=2")</f>
        <v>9</v>
      </c>
      <c r="GJ2" s="3">
        <f t="shared" ref="GJ2:GJ48" si="2">COUNTIF(R2:GG2,"&gt;=5")</f>
        <v>9</v>
      </c>
      <c r="GK2" s="3">
        <f t="shared" ref="GK2:GK48" si="3">SUM(R2:GG2)</f>
        <v>166</v>
      </c>
      <c r="GL2" s="3">
        <f t="shared" ref="GL2:GL48" si="4">25*P2</f>
        <v>550</v>
      </c>
      <c r="GM2" s="3">
        <f t="shared" ref="GM2:GM48" si="5">GL2-GK2</f>
        <v>384</v>
      </c>
    </row>
    <row r="3" spans="1:217" ht="15.75" customHeight="1" x14ac:dyDescent="0.15">
      <c r="A3" s="13">
        <v>38041</v>
      </c>
      <c r="B3" s="3" t="s">
        <v>201</v>
      </c>
      <c r="C3" s="16">
        <f t="shared" ref="C3:C48" si="6">C2+1</f>
        <v>2</v>
      </c>
      <c r="D3" s="3">
        <v>21.25544</v>
      </c>
      <c r="E3" s="3">
        <v>-157.810303</v>
      </c>
      <c r="F3" s="3" t="s">
        <v>197</v>
      </c>
      <c r="G3" s="14">
        <v>0</v>
      </c>
      <c r="H3" s="14">
        <v>4.1666666666666664E-2</v>
      </c>
      <c r="I3" s="3">
        <v>6</v>
      </c>
      <c r="J3" s="3">
        <v>11</v>
      </c>
      <c r="K3" s="3" t="s">
        <v>198</v>
      </c>
      <c r="L3" s="3">
        <v>12</v>
      </c>
      <c r="M3" s="3">
        <v>58</v>
      </c>
      <c r="N3" s="3" t="s">
        <v>202</v>
      </c>
      <c r="P3" s="3">
        <v>58</v>
      </c>
      <c r="R3" s="3">
        <v>3</v>
      </c>
      <c r="AF3" s="3">
        <v>3</v>
      </c>
      <c r="AO3" s="3">
        <v>1</v>
      </c>
      <c r="BB3" s="3">
        <v>5</v>
      </c>
      <c r="BM3" s="3">
        <v>4</v>
      </c>
      <c r="BQ3" s="3">
        <v>10</v>
      </c>
      <c r="BZ3" s="3">
        <v>102</v>
      </c>
      <c r="CB3" s="3">
        <v>3</v>
      </c>
      <c r="CS3" s="3">
        <v>2</v>
      </c>
      <c r="DM3" s="3">
        <v>51</v>
      </c>
      <c r="DP3" s="3">
        <v>3</v>
      </c>
      <c r="DS3" s="3">
        <v>27</v>
      </c>
      <c r="DV3" s="3">
        <v>4</v>
      </c>
      <c r="ED3" s="3">
        <v>2</v>
      </c>
      <c r="EJ3" s="3">
        <v>332</v>
      </c>
      <c r="FB3" s="3">
        <v>81</v>
      </c>
      <c r="FC3" s="3">
        <v>3</v>
      </c>
      <c r="FR3" s="3">
        <v>15</v>
      </c>
      <c r="FS3" s="3">
        <v>308</v>
      </c>
      <c r="GE3" s="3">
        <v>1</v>
      </c>
      <c r="GF3" s="3">
        <v>3</v>
      </c>
      <c r="GH3" s="3">
        <f t="shared" si="0"/>
        <v>21</v>
      </c>
      <c r="GI3" s="3">
        <f t="shared" si="1"/>
        <v>19</v>
      </c>
      <c r="GJ3" s="3">
        <f t="shared" si="2"/>
        <v>9</v>
      </c>
      <c r="GK3" s="3">
        <f t="shared" si="3"/>
        <v>963</v>
      </c>
      <c r="GL3" s="3">
        <f t="shared" si="4"/>
        <v>1450</v>
      </c>
      <c r="GM3" s="3">
        <f t="shared" si="5"/>
        <v>487</v>
      </c>
    </row>
    <row r="4" spans="1:217" ht="15.75" customHeight="1" x14ac:dyDescent="0.15">
      <c r="A4" s="13">
        <v>38050</v>
      </c>
      <c r="B4" s="3" t="s">
        <v>196</v>
      </c>
      <c r="C4" s="16">
        <f t="shared" si="6"/>
        <v>3</v>
      </c>
      <c r="D4" s="3">
        <v>21.559277999999999</v>
      </c>
      <c r="E4" s="3">
        <v>-157.87190200000001</v>
      </c>
      <c r="F4" s="3" t="s">
        <v>197</v>
      </c>
      <c r="G4" s="14">
        <v>0</v>
      </c>
      <c r="H4" s="14">
        <v>4.1666666666666664E-2</v>
      </c>
      <c r="I4" s="3">
        <v>6</v>
      </c>
      <c r="J4" s="3">
        <v>10</v>
      </c>
      <c r="K4" s="3" t="s">
        <v>198</v>
      </c>
      <c r="L4" s="3">
        <v>11</v>
      </c>
      <c r="M4" s="3">
        <v>33</v>
      </c>
      <c r="N4" s="3" t="s">
        <v>204</v>
      </c>
      <c r="P4" s="3">
        <v>33</v>
      </c>
      <c r="R4" s="3">
        <v>30</v>
      </c>
      <c r="AD4" s="3">
        <v>13</v>
      </c>
      <c r="AF4" s="3">
        <v>28</v>
      </c>
      <c r="AK4" s="3">
        <v>13</v>
      </c>
      <c r="BM4" s="3">
        <v>6</v>
      </c>
      <c r="ED4" s="3">
        <v>4</v>
      </c>
      <c r="FB4" s="3">
        <v>15</v>
      </c>
      <c r="FC4" s="3">
        <v>8</v>
      </c>
      <c r="FS4" s="3">
        <v>73</v>
      </c>
      <c r="FT4" s="3">
        <v>2</v>
      </c>
      <c r="GF4" s="3">
        <v>103</v>
      </c>
      <c r="GH4" s="3">
        <f t="shared" si="0"/>
        <v>11</v>
      </c>
      <c r="GI4" s="3">
        <f t="shared" si="1"/>
        <v>11</v>
      </c>
      <c r="GJ4" s="3">
        <f t="shared" si="2"/>
        <v>9</v>
      </c>
      <c r="GK4" s="3">
        <f t="shared" si="3"/>
        <v>295</v>
      </c>
      <c r="GL4" s="3">
        <f t="shared" si="4"/>
        <v>825</v>
      </c>
      <c r="GM4" s="3">
        <f t="shared" si="5"/>
        <v>530</v>
      </c>
    </row>
    <row r="5" spans="1:217" ht="15.75" customHeight="1" x14ac:dyDescent="0.15">
      <c r="A5" s="13">
        <v>38384</v>
      </c>
      <c r="B5" s="3" t="s">
        <v>196</v>
      </c>
      <c r="C5" s="16">
        <f t="shared" si="6"/>
        <v>4</v>
      </c>
      <c r="D5" s="3">
        <v>21.559277999999999</v>
      </c>
      <c r="E5" s="3">
        <v>-157.87190200000001</v>
      </c>
      <c r="F5" s="3" t="s">
        <v>197</v>
      </c>
      <c r="G5" s="14">
        <v>0</v>
      </c>
      <c r="H5" s="14">
        <v>4.1666666666666664E-2</v>
      </c>
      <c r="I5" s="3">
        <v>7</v>
      </c>
      <c r="J5" s="3">
        <v>9</v>
      </c>
      <c r="K5" s="3" t="s">
        <v>198</v>
      </c>
      <c r="L5" s="3">
        <v>10</v>
      </c>
      <c r="M5" s="3">
        <v>31</v>
      </c>
      <c r="N5" s="3" t="s">
        <v>206</v>
      </c>
      <c r="P5" s="3">
        <v>31</v>
      </c>
      <c r="R5" s="3">
        <v>85</v>
      </c>
      <c r="AD5" s="3">
        <v>14</v>
      </c>
      <c r="AF5" s="3">
        <v>37</v>
      </c>
      <c r="AK5" s="3">
        <v>4</v>
      </c>
      <c r="DH5" s="3">
        <v>4</v>
      </c>
      <c r="DI5" s="3">
        <v>1</v>
      </c>
      <c r="ED5" s="3">
        <v>21</v>
      </c>
      <c r="FC5" s="3">
        <v>2</v>
      </c>
      <c r="FT5" s="3">
        <v>1</v>
      </c>
      <c r="GE5" s="3">
        <v>15</v>
      </c>
      <c r="GF5" s="3">
        <v>5</v>
      </c>
      <c r="GH5" s="3">
        <f t="shared" si="0"/>
        <v>11</v>
      </c>
      <c r="GI5" s="3">
        <f t="shared" si="1"/>
        <v>9</v>
      </c>
      <c r="GJ5" s="3">
        <f t="shared" si="2"/>
        <v>6</v>
      </c>
      <c r="GK5" s="3">
        <f t="shared" si="3"/>
        <v>189</v>
      </c>
      <c r="GL5" s="3">
        <f t="shared" si="4"/>
        <v>775</v>
      </c>
      <c r="GM5" s="3">
        <f t="shared" si="5"/>
        <v>586</v>
      </c>
    </row>
    <row r="6" spans="1:217" ht="15.75" customHeight="1" x14ac:dyDescent="0.15">
      <c r="A6" s="13">
        <v>38401</v>
      </c>
      <c r="B6" s="3" t="s">
        <v>201</v>
      </c>
      <c r="C6" s="16">
        <f t="shared" si="6"/>
        <v>5</v>
      </c>
      <c r="D6" s="3">
        <v>21.25544</v>
      </c>
      <c r="E6" s="3">
        <v>-157.810303</v>
      </c>
      <c r="F6" s="3" t="s">
        <v>197</v>
      </c>
      <c r="G6" s="14">
        <v>0</v>
      </c>
      <c r="H6" s="14">
        <v>4.1666666666666664E-2</v>
      </c>
      <c r="I6" s="3">
        <v>6</v>
      </c>
      <c r="J6" s="3">
        <v>9</v>
      </c>
      <c r="K6" s="3" t="s">
        <v>198</v>
      </c>
      <c r="L6" s="3">
        <v>10</v>
      </c>
      <c r="M6" s="3">
        <v>56</v>
      </c>
      <c r="N6" s="3"/>
      <c r="P6" s="3">
        <v>56</v>
      </c>
      <c r="R6" s="3">
        <v>6</v>
      </c>
      <c r="AF6" s="3">
        <v>3</v>
      </c>
      <c r="BQ6" s="3">
        <v>3</v>
      </c>
      <c r="BW6" s="3">
        <v>15</v>
      </c>
      <c r="CB6" s="3">
        <v>3</v>
      </c>
      <c r="CV6" s="3">
        <v>1</v>
      </c>
      <c r="DM6" s="3">
        <v>132</v>
      </c>
      <c r="DP6" s="3">
        <v>1</v>
      </c>
      <c r="DW6" s="3">
        <v>1</v>
      </c>
      <c r="ED6" s="3">
        <v>6</v>
      </c>
      <c r="EJ6" s="3">
        <v>332</v>
      </c>
      <c r="FB6" s="3">
        <v>99</v>
      </c>
      <c r="FC6" s="3">
        <v>1</v>
      </c>
      <c r="FS6" s="3">
        <v>208</v>
      </c>
      <c r="GF6" s="3">
        <v>12</v>
      </c>
      <c r="GH6" s="3">
        <f t="shared" si="0"/>
        <v>15</v>
      </c>
      <c r="GI6" s="3">
        <f t="shared" si="1"/>
        <v>11</v>
      </c>
      <c r="GJ6" s="3">
        <f t="shared" si="2"/>
        <v>8</v>
      </c>
      <c r="GK6" s="3">
        <f t="shared" si="3"/>
        <v>823</v>
      </c>
      <c r="GL6" s="3">
        <f t="shared" si="4"/>
        <v>1400</v>
      </c>
      <c r="GM6" s="3">
        <f t="shared" si="5"/>
        <v>577</v>
      </c>
    </row>
    <row r="7" spans="1:217" ht="15.75" customHeight="1" x14ac:dyDescent="0.15">
      <c r="A7" s="13">
        <v>38416</v>
      </c>
      <c r="B7" s="3" t="s">
        <v>196</v>
      </c>
      <c r="C7" s="16">
        <f t="shared" si="6"/>
        <v>6</v>
      </c>
      <c r="D7" s="3">
        <v>21.559277999999999</v>
      </c>
      <c r="E7" s="3">
        <v>-157.87190200000001</v>
      </c>
      <c r="F7" s="3" t="s">
        <v>197</v>
      </c>
      <c r="G7" s="14">
        <v>0</v>
      </c>
      <c r="H7" s="14">
        <v>4.1666666666666664E-2</v>
      </c>
      <c r="I7" s="3">
        <v>7</v>
      </c>
      <c r="J7" s="3">
        <v>9</v>
      </c>
      <c r="K7" s="3" t="s">
        <v>198</v>
      </c>
      <c r="L7" s="3">
        <v>10</v>
      </c>
      <c r="M7" s="3">
        <v>29</v>
      </c>
      <c r="N7" s="3" t="s">
        <v>214</v>
      </c>
      <c r="P7" s="3">
        <v>29</v>
      </c>
      <c r="R7" s="3">
        <v>57</v>
      </c>
      <c r="AD7" s="3">
        <v>15</v>
      </c>
      <c r="AF7" s="3">
        <v>28</v>
      </c>
      <c r="AK7" s="3">
        <v>1</v>
      </c>
      <c r="DH7" s="3">
        <v>2</v>
      </c>
      <c r="DP7" s="3">
        <v>1</v>
      </c>
      <c r="ED7" s="3">
        <v>14</v>
      </c>
      <c r="EJ7" s="3">
        <v>10</v>
      </c>
      <c r="FC7" s="3">
        <v>1</v>
      </c>
      <c r="GF7" s="3">
        <v>8</v>
      </c>
      <c r="GH7" s="3">
        <f t="shared" si="0"/>
        <v>10</v>
      </c>
      <c r="GI7" s="3">
        <f t="shared" si="1"/>
        <v>7</v>
      </c>
      <c r="GJ7" s="3">
        <f t="shared" si="2"/>
        <v>6</v>
      </c>
      <c r="GK7" s="3">
        <f t="shared" si="3"/>
        <v>137</v>
      </c>
      <c r="GL7" s="3">
        <f t="shared" si="4"/>
        <v>725</v>
      </c>
      <c r="GM7" s="3">
        <f t="shared" si="5"/>
        <v>588</v>
      </c>
    </row>
    <row r="8" spans="1:217" ht="15.75" customHeight="1" x14ac:dyDescent="0.15">
      <c r="A8" s="17">
        <v>38416</v>
      </c>
      <c r="B8" s="15" t="s">
        <v>201</v>
      </c>
      <c r="C8" s="16">
        <f t="shared" si="6"/>
        <v>7</v>
      </c>
      <c r="D8" s="15">
        <v>21.25544</v>
      </c>
      <c r="E8" s="15">
        <v>-157.810303</v>
      </c>
      <c r="F8" s="15" t="s">
        <v>197</v>
      </c>
      <c r="G8" s="18">
        <v>0</v>
      </c>
      <c r="H8" s="18">
        <v>4.1666666666666664E-2</v>
      </c>
      <c r="I8" s="15">
        <v>7</v>
      </c>
      <c r="J8" s="15">
        <v>9</v>
      </c>
      <c r="K8" s="15" t="s">
        <v>198</v>
      </c>
      <c r="L8" s="15">
        <v>10</v>
      </c>
      <c r="M8" s="15">
        <v>56</v>
      </c>
      <c r="N8" s="15" t="s">
        <v>215</v>
      </c>
      <c r="O8" s="15"/>
      <c r="P8" s="15">
        <v>56</v>
      </c>
      <c r="Q8" s="15"/>
      <c r="R8" s="15">
        <v>23</v>
      </c>
      <c r="S8" s="15"/>
      <c r="T8" s="15"/>
      <c r="U8" s="15"/>
      <c r="V8" s="15"/>
      <c r="W8" s="15"/>
      <c r="X8" s="15"/>
      <c r="Y8" s="15"/>
      <c r="Z8" s="15"/>
      <c r="AA8" s="15"/>
      <c r="AB8" s="15"/>
      <c r="AC8" s="15"/>
      <c r="AD8" s="15"/>
      <c r="AE8" s="15"/>
      <c r="AF8" s="15">
        <v>1</v>
      </c>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v>3</v>
      </c>
      <c r="BR8" s="15"/>
      <c r="BS8" s="15"/>
      <c r="BT8" s="15"/>
      <c r="BU8" s="15"/>
      <c r="BV8" s="15"/>
      <c r="BW8" s="15">
        <v>8</v>
      </c>
      <c r="BX8" s="15"/>
      <c r="BY8" s="15"/>
      <c r="BZ8" s="15">
        <v>6</v>
      </c>
      <c r="CA8" s="15"/>
      <c r="CB8" s="15">
        <v>4</v>
      </c>
      <c r="CC8" s="15"/>
      <c r="CD8" s="15">
        <v>1</v>
      </c>
      <c r="CE8" s="15"/>
      <c r="CF8" s="15"/>
      <c r="CG8" s="15"/>
      <c r="CH8" s="15"/>
      <c r="CI8" s="15"/>
      <c r="CJ8" s="15"/>
      <c r="CK8" s="15"/>
      <c r="CL8" s="15"/>
      <c r="CM8" s="15"/>
      <c r="CN8" s="15"/>
      <c r="CO8" s="15"/>
      <c r="CP8" s="15"/>
      <c r="CQ8" s="15"/>
      <c r="CR8" s="15"/>
      <c r="CS8" s="15">
        <v>3</v>
      </c>
      <c r="CT8" s="15"/>
      <c r="CU8" s="15"/>
      <c r="CV8" s="15">
        <v>1</v>
      </c>
      <c r="CW8" s="15"/>
      <c r="CX8" s="15"/>
      <c r="CY8" s="15"/>
      <c r="CZ8" s="15"/>
      <c r="DA8" s="15"/>
      <c r="DB8" s="15"/>
      <c r="DC8" s="15"/>
      <c r="DD8" s="15"/>
      <c r="DE8" s="15"/>
      <c r="DF8" s="15"/>
      <c r="DG8" s="15"/>
      <c r="DH8" s="15"/>
      <c r="DI8" s="15"/>
      <c r="DJ8" s="15"/>
      <c r="DK8" s="15"/>
      <c r="DL8" s="15"/>
      <c r="DM8" s="15">
        <v>122</v>
      </c>
      <c r="DN8" s="15"/>
      <c r="DO8" s="15"/>
      <c r="DP8" s="15">
        <v>1</v>
      </c>
      <c r="DQ8" s="15"/>
      <c r="DR8" s="15"/>
      <c r="DS8" s="15"/>
      <c r="DT8" s="15"/>
      <c r="DU8" s="15"/>
      <c r="DV8" s="15"/>
      <c r="DW8" s="15"/>
      <c r="DX8" s="15"/>
      <c r="DY8" s="15"/>
      <c r="DZ8" s="15"/>
      <c r="EA8" s="15"/>
      <c r="EB8" s="15"/>
      <c r="EC8" s="15"/>
      <c r="ED8" s="15">
        <v>1</v>
      </c>
      <c r="EE8" s="15"/>
      <c r="EF8" s="15"/>
      <c r="EG8" s="15"/>
      <c r="EH8" s="15"/>
      <c r="EI8" s="15"/>
      <c r="EJ8" s="15">
        <v>301</v>
      </c>
      <c r="EK8" s="15"/>
      <c r="EL8" s="15"/>
      <c r="EM8" s="15"/>
      <c r="EN8" s="15"/>
      <c r="EO8" s="15"/>
      <c r="EP8" s="15"/>
      <c r="EQ8" s="15"/>
      <c r="ER8" s="15"/>
      <c r="ES8" s="15"/>
      <c r="ET8" s="15"/>
      <c r="EU8" s="15"/>
      <c r="EV8" s="15"/>
      <c r="EW8" s="15"/>
      <c r="EX8" s="15"/>
      <c r="EY8" s="15"/>
      <c r="EZ8" s="15"/>
      <c r="FA8" s="15"/>
      <c r="FB8" s="15">
        <v>130</v>
      </c>
      <c r="FC8" s="15"/>
      <c r="FD8" s="15"/>
      <c r="FE8" s="15"/>
      <c r="FF8" s="15"/>
      <c r="FG8" s="15"/>
      <c r="FH8" s="15"/>
      <c r="FI8" s="15"/>
      <c r="FJ8" s="15"/>
      <c r="FK8" s="15"/>
      <c r="FL8" s="15"/>
      <c r="FM8" s="15"/>
      <c r="FN8" s="15"/>
      <c r="FO8" s="15"/>
      <c r="FP8" s="15"/>
      <c r="FQ8" s="15"/>
      <c r="FR8" s="15">
        <v>1</v>
      </c>
      <c r="FS8" s="15">
        <v>91</v>
      </c>
      <c r="FT8" s="15"/>
      <c r="FU8" s="15"/>
      <c r="FV8" s="15"/>
      <c r="FW8" s="15"/>
      <c r="FX8" s="15"/>
      <c r="FY8" s="15"/>
      <c r="FZ8" s="15"/>
      <c r="GA8" s="15"/>
      <c r="GB8" s="15"/>
      <c r="GC8" s="15"/>
      <c r="GD8" s="15"/>
      <c r="GE8" s="15"/>
      <c r="GF8" s="15">
        <v>257</v>
      </c>
      <c r="GG8" s="15"/>
      <c r="GH8" s="3">
        <f t="shared" si="0"/>
        <v>17</v>
      </c>
      <c r="GI8" s="3">
        <f t="shared" si="1"/>
        <v>11</v>
      </c>
      <c r="GJ8" s="3">
        <f t="shared" si="2"/>
        <v>8</v>
      </c>
      <c r="GK8" s="3">
        <f t="shared" si="3"/>
        <v>954</v>
      </c>
      <c r="GL8" s="3">
        <f t="shared" si="4"/>
        <v>1400</v>
      </c>
      <c r="GM8" s="3">
        <f t="shared" si="5"/>
        <v>446</v>
      </c>
    </row>
    <row r="9" spans="1:217" ht="15.75" customHeight="1" x14ac:dyDescent="0.15">
      <c r="A9" s="13">
        <v>38440</v>
      </c>
      <c r="B9" s="3" t="s">
        <v>216</v>
      </c>
      <c r="C9" s="16">
        <f t="shared" si="6"/>
        <v>8</v>
      </c>
      <c r="D9" s="3">
        <v>21.3002</v>
      </c>
      <c r="E9" s="3">
        <v>-157.882599</v>
      </c>
      <c r="F9" s="3" t="s">
        <v>197</v>
      </c>
      <c r="G9" s="14">
        <v>0</v>
      </c>
      <c r="H9" s="14">
        <v>4.1666666666666664E-2</v>
      </c>
      <c r="I9" s="3">
        <v>4</v>
      </c>
      <c r="J9" s="3">
        <v>22</v>
      </c>
      <c r="K9" s="3" t="s">
        <v>217</v>
      </c>
      <c r="L9" s="3">
        <v>10</v>
      </c>
      <c r="M9" s="3">
        <v>26</v>
      </c>
      <c r="N9" s="3" t="s">
        <v>218</v>
      </c>
      <c r="P9" s="3">
        <v>26</v>
      </c>
      <c r="BZ9" s="3">
        <v>6</v>
      </c>
      <c r="EJ9" s="3">
        <v>181</v>
      </c>
      <c r="FB9" s="3">
        <v>3</v>
      </c>
      <c r="FM9" s="3">
        <v>4</v>
      </c>
      <c r="FS9" s="3">
        <v>2</v>
      </c>
      <c r="GF9" s="3">
        <v>5</v>
      </c>
      <c r="GH9" s="3">
        <f t="shared" si="0"/>
        <v>6</v>
      </c>
      <c r="GI9" s="3">
        <f t="shared" si="1"/>
        <v>6</v>
      </c>
      <c r="GJ9" s="3">
        <f t="shared" si="2"/>
        <v>3</v>
      </c>
      <c r="GK9" s="3">
        <f t="shared" si="3"/>
        <v>201</v>
      </c>
      <c r="GL9" s="3">
        <f t="shared" si="4"/>
        <v>650</v>
      </c>
      <c r="GM9" s="3">
        <f t="shared" si="5"/>
        <v>449</v>
      </c>
    </row>
    <row r="10" spans="1:217" ht="15.75" customHeight="1" x14ac:dyDescent="0.15">
      <c r="A10" s="13">
        <v>38441</v>
      </c>
      <c r="B10" s="3" t="s">
        <v>219</v>
      </c>
      <c r="C10" s="16">
        <f t="shared" si="6"/>
        <v>9</v>
      </c>
      <c r="D10" s="3">
        <v>21.295798999999999</v>
      </c>
      <c r="E10" s="3">
        <v>-158.10369900000001</v>
      </c>
      <c r="F10" s="3" t="s">
        <v>197</v>
      </c>
      <c r="G10" s="14">
        <v>0</v>
      </c>
      <c r="H10" s="14">
        <v>4.1666666666666664E-2</v>
      </c>
      <c r="I10" s="3">
        <v>5</v>
      </c>
      <c r="J10" s="3">
        <v>20</v>
      </c>
      <c r="K10" s="3" t="s">
        <v>217</v>
      </c>
      <c r="L10" s="3">
        <v>10</v>
      </c>
      <c r="M10" s="3">
        <v>30</v>
      </c>
      <c r="N10" s="3" t="s">
        <v>220</v>
      </c>
      <c r="P10" s="3">
        <v>30</v>
      </c>
      <c r="R10" s="3">
        <v>57</v>
      </c>
      <c r="AI10" s="3">
        <v>5</v>
      </c>
      <c r="AM10" s="3">
        <v>3</v>
      </c>
      <c r="BE10" s="3">
        <v>1</v>
      </c>
      <c r="BM10" s="3">
        <v>1</v>
      </c>
      <c r="BQ10" s="3">
        <v>18</v>
      </c>
      <c r="BW10" s="3">
        <v>14</v>
      </c>
      <c r="BZ10" s="3">
        <v>18</v>
      </c>
      <c r="CC10" s="3">
        <v>1</v>
      </c>
      <c r="DM10" s="3">
        <v>71</v>
      </c>
      <c r="DQ10" s="3">
        <v>1</v>
      </c>
      <c r="DZ10" s="3">
        <v>8</v>
      </c>
      <c r="ED10" s="3">
        <v>1</v>
      </c>
      <c r="EJ10" s="3">
        <v>171</v>
      </c>
      <c r="FB10" s="3">
        <v>24</v>
      </c>
      <c r="FC10" s="3">
        <v>2</v>
      </c>
      <c r="FS10" s="3">
        <v>48</v>
      </c>
      <c r="GF10" s="3">
        <v>9</v>
      </c>
      <c r="GH10" s="3">
        <f t="shared" si="0"/>
        <v>18</v>
      </c>
      <c r="GI10" s="3">
        <f t="shared" si="1"/>
        <v>13</v>
      </c>
      <c r="GJ10" s="3">
        <f t="shared" si="2"/>
        <v>11</v>
      </c>
      <c r="GK10" s="3">
        <f t="shared" si="3"/>
        <v>453</v>
      </c>
      <c r="GL10" s="3">
        <f t="shared" si="4"/>
        <v>750</v>
      </c>
      <c r="GM10" s="3">
        <f t="shared" si="5"/>
        <v>297</v>
      </c>
    </row>
    <row r="11" spans="1:217" ht="15.75" customHeight="1" x14ac:dyDescent="0.15">
      <c r="A11" s="13">
        <v>38464</v>
      </c>
      <c r="B11" s="3" t="s">
        <v>201</v>
      </c>
      <c r="C11" s="16">
        <f t="shared" si="6"/>
        <v>10</v>
      </c>
      <c r="D11" s="3">
        <v>21.25544</v>
      </c>
      <c r="E11" s="3">
        <v>-157.810303</v>
      </c>
      <c r="F11" s="3" t="s">
        <v>197</v>
      </c>
      <c r="G11" s="14">
        <v>0</v>
      </c>
      <c r="H11" s="14">
        <v>4.1666666666666664E-2</v>
      </c>
      <c r="I11" s="3">
        <v>5</v>
      </c>
      <c r="J11" s="3">
        <v>9</v>
      </c>
      <c r="K11" s="3" t="s">
        <v>198</v>
      </c>
      <c r="L11" s="3">
        <v>10</v>
      </c>
      <c r="M11" s="3">
        <v>45</v>
      </c>
      <c r="N11" s="3" t="s">
        <v>221</v>
      </c>
      <c r="P11" s="3">
        <v>45</v>
      </c>
      <c r="R11" s="3">
        <v>5</v>
      </c>
      <c r="AF11" s="3">
        <v>1</v>
      </c>
      <c r="BQ11" s="3">
        <v>1</v>
      </c>
      <c r="BW11" s="3">
        <v>11</v>
      </c>
      <c r="BZ11" s="3">
        <v>9</v>
      </c>
      <c r="CB11" s="3">
        <v>5</v>
      </c>
      <c r="CJ11" s="3">
        <v>6</v>
      </c>
      <c r="CS11" s="3">
        <v>2</v>
      </c>
      <c r="DM11" s="3">
        <v>35</v>
      </c>
      <c r="DP11" s="3">
        <v>1</v>
      </c>
      <c r="DS11" s="3">
        <v>9</v>
      </c>
      <c r="DT11" s="3">
        <v>7</v>
      </c>
      <c r="DU11" s="3">
        <v>1</v>
      </c>
      <c r="EC11" s="3">
        <v>1</v>
      </c>
      <c r="EJ11" s="3">
        <v>151</v>
      </c>
      <c r="FB11" s="3">
        <v>50</v>
      </c>
      <c r="FS11" s="3">
        <v>425</v>
      </c>
      <c r="GF11" s="3">
        <v>117</v>
      </c>
      <c r="GH11" s="3">
        <f t="shared" si="0"/>
        <v>18</v>
      </c>
      <c r="GI11" s="3">
        <f t="shared" si="1"/>
        <v>13</v>
      </c>
      <c r="GJ11" s="3">
        <f t="shared" si="2"/>
        <v>12</v>
      </c>
      <c r="GK11" s="3">
        <f t="shared" si="3"/>
        <v>837</v>
      </c>
      <c r="GL11" s="3">
        <f t="shared" si="4"/>
        <v>1125</v>
      </c>
      <c r="GM11" s="3">
        <f t="shared" si="5"/>
        <v>288</v>
      </c>
    </row>
    <row r="12" spans="1:217" ht="15.75" customHeight="1" x14ac:dyDescent="0.15">
      <c r="A12" s="13">
        <v>38469</v>
      </c>
      <c r="B12" s="3" t="s">
        <v>219</v>
      </c>
      <c r="C12" s="16">
        <f t="shared" si="6"/>
        <v>11</v>
      </c>
      <c r="D12" s="3">
        <v>21.295798999999999</v>
      </c>
      <c r="E12" s="3">
        <v>-158.10369900000001</v>
      </c>
      <c r="F12" s="3" t="s">
        <v>197</v>
      </c>
      <c r="G12" s="14">
        <v>0</v>
      </c>
      <c r="H12" s="14">
        <v>4.1666666666666664E-2</v>
      </c>
      <c r="I12" s="3">
        <v>4</v>
      </c>
      <c r="J12" s="3">
        <v>20</v>
      </c>
      <c r="K12" s="3" t="s">
        <v>217</v>
      </c>
      <c r="L12" s="3">
        <v>10</v>
      </c>
      <c r="M12" s="3">
        <v>29</v>
      </c>
      <c r="N12" s="3" t="s">
        <v>222</v>
      </c>
      <c r="P12" s="3">
        <v>29</v>
      </c>
      <c r="R12" s="3">
        <v>112</v>
      </c>
      <c r="AQ12" s="3">
        <v>1</v>
      </c>
      <c r="BQ12" s="3">
        <v>31</v>
      </c>
      <c r="BW12" s="3">
        <v>1</v>
      </c>
      <c r="BZ12" s="3">
        <v>17</v>
      </c>
      <c r="DH12" s="3">
        <v>2</v>
      </c>
      <c r="DM12" s="3">
        <v>9</v>
      </c>
      <c r="DZ12" s="3">
        <v>1</v>
      </c>
      <c r="ED12" s="3">
        <v>2</v>
      </c>
      <c r="EJ12" s="3">
        <v>111</v>
      </c>
      <c r="FB12" s="3">
        <v>10</v>
      </c>
      <c r="FS12" s="3">
        <v>44</v>
      </c>
      <c r="GF12" s="3">
        <v>9</v>
      </c>
      <c r="GH12" s="3">
        <f t="shared" si="0"/>
        <v>13</v>
      </c>
      <c r="GI12" s="3">
        <f t="shared" si="1"/>
        <v>10</v>
      </c>
      <c r="GJ12" s="3">
        <f t="shared" si="2"/>
        <v>8</v>
      </c>
      <c r="GK12" s="3">
        <f t="shared" si="3"/>
        <v>350</v>
      </c>
      <c r="GL12" s="3">
        <f t="shared" si="4"/>
        <v>725</v>
      </c>
      <c r="GM12" s="3">
        <f t="shared" si="5"/>
        <v>375</v>
      </c>
    </row>
    <row r="13" spans="1:217" ht="15.75" customHeight="1" x14ac:dyDescent="0.15">
      <c r="A13" s="13">
        <v>38471</v>
      </c>
      <c r="B13" s="3" t="s">
        <v>216</v>
      </c>
      <c r="C13" s="16">
        <f t="shared" si="6"/>
        <v>12</v>
      </c>
      <c r="D13" s="3">
        <v>21.3002</v>
      </c>
      <c r="E13" s="3">
        <v>-157.882599</v>
      </c>
      <c r="F13" s="3" t="s">
        <v>197</v>
      </c>
      <c r="G13" s="14">
        <v>0</v>
      </c>
      <c r="H13" s="14">
        <v>4.1666666666666664E-2</v>
      </c>
      <c r="I13" s="3">
        <v>6</v>
      </c>
      <c r="J13" s="3">
        <v>22</v>
      </c>
      <c r="K13" s="3" t="s">
        <v>217</v>
      </c>
      <c r="L13" s="3">
        <v>10</v>
      </c>
      <c r="M13" s="3">
        <v>36</v>
      </c>
      <c r="N13" s="3" t="s">
        <v>223</v>
      </c>
      <c r="P13" s="3">
        <v>36</v>
      </c>
      <c r="R13" s="3">
        <v>13</v>
      </c>
      <c r="AC13" s="3">
        <v>10</v>
      </c>
      <c r="BM13" s="3">
        <v>8</v>
      </c>
      <c r="CC13" s="3">
        <v>2</v>
      </c>
      <c r="CV13" s="3">
        <v>2</v>
      </c>
      <c r="DS13" s="3">
        <v>4</v>
      </c>
      <c r="DZ13" s="3">
        <v>1</v>
      </c>
      <c r="EC13" s="3">
        <v>1</v>
      </c>
      <c r="EJ13" s="3">
        <v>106</v>
      </c>
      <c r="FC13" s="3">
        <v>1</v>
      </c>
      <c r="FE13" s="3">
        <v>1</v>
      </c>
      <c r="FJ13" s="3">
        <v>1</v>
      </c>
      <c r="FS13" s="3">
        <v>204</v>
      </c>
      <c r="GF13" s="3">
        <v>26</v>
      </c>
      <c r="GH13" s="3">
        <f t="shared" si="0"/>
        <v>14</v>
      </c>
      <c r="GI13" s="3">
        <f t="shared" si="1"/>
        <v>9</v>
      </c>
      <c r="GJ13" s="3">
        <f t="shared" si="2"/>
        <v>6</v>
      </c>
      <c r="GK13" s="3">
        <f t="shared" si="3"/>
        <v>380</v>
      </c>
      <c r="GL13" s="3">
        <f t="shared" si="4"/>
        <v>900</v>
      </c>
      <c r="GM13" s="3">
        <f t="shared" si="5"/>
        <v>520</v>
      </c>
    </row>
    <row r="14" spans="1:217" ht="15.75" customHeight="1" x14ac:dyDescent="0.15">
      <c r="A14" s="13">
        <v>38473</v>
      </c>
      <c r="B14" s="3" t="s">
        <v>201</v>
      </c>
      <c r="C14" s="16">
        <f t="shared" si="6"/>
        <v>13</v>
      </c>
      <c r="D14" s="3">
        <v>21.25544</v>
      </c>
      <c r="E14" s="3">
        <v>-157.810303</v>
      </c>
      <c r="F14" s="3" t="s">
        <v>197</v>
      </c>
      <c r="G14" s="14">
        <v>0</v>
      </c>
      <c r="H14" s="14">
        <v>4.1666666666666664E-2</v>
      </c>
      <c r="I14" s="3">
        <v>3</v>
      </c>
      <c r="J14" s="3">
        <v>9</v>
      </c>
      <c r="K14" s="3" t="s">
        <v>198</v>
      </c>
      <c r="L14" s="3">
        <v>10</v>
      </c>
      <c r="M14" s="3">
        <v>27</v>
      </c>
      <c r="P14" s="3">
        <v>27</v>
      </c>
      <c r="R14" s="3">
        <v>12</v>
      </c>
      <c r="BB14" s="3">
        <v>6</v>
      </c>
      <c r="BQ14" s="3">
        <v>9</v>
      </c>
      <c r="BZ14" s="3">
        <v>26</v>
      </c>
      <c r="DM14" s="3">
        <v>19</v>
      </c>
      <c r="DS14" s="3">
        <v>15</v>
      </c>
      <c r="EJ14" s="3">
        <v>168</v>
      </c>
      <c r="FB14" s="3">
        <v>67</v>
      </c>
      <c r="FS14" s="3">
        <v>122</v>
      </c>
      <c r="GF14" s="3">
        <v>36</v>
      </c>
      <c r="GH14" s="3">
        <f t="shared" si="0"/>
        <v>10</v>
      </c>
      <c r="GI14" s="3">
        <f t="shared" si="1"/>
        <v>10</v>
      </c>
      <c r="GJ14" s="3">
        <f t="shared" si="2"/>
        <v>10</v>
      </c>
      <c r="GK14" s="3">
        <f t="shared" si="3"/>
        <v>480</v>
      </c>
      <c r="GL14" s="3">
        <f t="shared" si="4"/>
        <v>675</v>
      </c>
      <c r="GM14" s="3">
        <f t="shared" si="5"/>
        <v>195</v>
      </c>
    </row>
    <row r="15" spans="1:217" ht="15.75" customHeight="1" x14ac:dyDescent="0.15">
      <c r="A15" s="13">
        <v>38473</v>
      </c>
      <c r="B15" s="3" t="s">
        <v>219</v>
      </c>
      <c r="C15" s="16">
        <f t="shared" si="6"/>
        <v>14</v>
      </c>
      <c r="D15" s="3">
        <v>21.295798999999999</v>
      </c>
      <c r="E15" s="3">
        <v>-158.10369900000001</v>
      </c>
      <c r="F15" s="3" t="s">
        <v>197</v>
      </c>
      <c r="G15" s="14">
        <v>0</v>
      </c>
      <c r="H15" s="14">
        <v>4.1666666666666664E-2</v>
      </c>
      <c r="I15" s="3">
        <v>6</v>
      </c>
      <c r="J15" s="3">
        <v>20</v>
      </c>
      <c r="K15" s="3" t="s">
        <v>217</v>
      </c>
      <c r="L15" s="3">
        <v>10</v>
      </c>
      <c r="M15" s="3">
        <v>34</v>
      </c>
      <c r="N15" s="3" t="s">
        <v>224</v>
      </c>
      <c r="P15" s="3">
        <v>34</v>
      </c>
      <c r="R15" s="3">
        <v>134</v>
      </c>
      <c r="BQ15" s="3">
        <v>10</v>
      </c>
      <c r="BW15" s="3">
        <v>22</v>
      </c>
      <c r="BZ15" s="3">
        <v>2</v>
      </c>
      <c r="CS15" s="3">
        <v>2</v>
      </c>
      <c r="DM15" s="3">
        <v>15</v>
      </c>
      <c r="DZ15" s="3">
        <v>1</v>
      </c>
      <c r="ED15" s="3">
        <v>1</v>
      </c>
      <c r="EJ15" s="3">
        <v>147</v>
      </c>
      <c r="FB15" s="3">
        <v>53</v>
      </c>
      <c r="FC15" s="3">
        <v>20</v>
      </c>
      <c r="FS15" s="3">
        <v>35</v>
      </c>
      <c r="GF15" s="3">
        <v>1</v>
      </c>
      <c r="GH15" s="3">
        <f t="shared" si="0"/>
        <v>13</v>
      </c>
      <c r="GI15" s="3">
        <f t="shared" si="1"/>
        <v>10</v>
      </c>
      <c r="GJ15" s="3">
        <f t="shared" si="2"/>
        <v>8</v>
      </c>
      <c r="GK15" s="3">
        <f t="shared" si="3"/>
        <v>443</v>
      </c>
      <c r="GL15" s="3">
        <f t="shared" si="4"/>
        <v>850</v>
      </c>
      <c r="GM15" s="3">
        <f t="shared" si="5"/>
        <v>407</v>
      </c>
    </row>
    <row r="16" spans="1:217" ht="15.75" customHeight="1" x14ac:dyDescent="0.15">
      <c r="A16" s="13">
        <v>38478</v>
      </c>
      <c r="B16" s="3" t="s">
        <v>216</v>
      </c>
      <c r="C16" s="16">
        <f t="shared" si="6"/>
        <v>15</v>
      </c>
      <c r="D16" s="3">
        <v>21.3002</v>
      </c>
      <c r="E16" s="3">
        <v>-157.882599</v>
      </c>
      <c r="F16" s="3" t="s">
        <v>197</v>
      </c>
      <c r="G16" s="14">
        <v>0</v>
      </c>
      <c r="H16" s="14">
        <v>4.1666666666666664E-2</v>
      </c>
      <c r="I16" s="3">
        <v>4</v>
      </c>
      <c r="J16" s="3">
        <v>22</v>
      </c>
      <c r="K16" s="3" t="s">
        <v>217</v>
      </c>
      <c r="L16" s="3">
        <v>10</v>
      </c>
      <c r="M16" s="3">
        <v>38</v>
      </c>
      <c r="N16" s="3" t="s">
        <v>225</v>
      </c>
      <c r="P16" s="3">
        <v>38</v>
      </c>
      <c r="R16" s="3">
        <v>30</v>
      </c>
      <c r="BZ16" s="3">
        <v>1</v>
      </c>
      <c r="CV16" s="3">
        <v>2</v>
      </c>
      <c r="DS16" s="3">
        <v>1</v>
      </c>
      <c r="EJ16" s="3">
        <v>45</v>
      </c>
      <c r="FS16" s="3">
        <v>223</v>
      </c>
      <c r="GF16" s="3">
        <v>52</v>
      </c>
      <c r="GH16" s="3">
        <f t="shared" si="0"/>
        <v>7</v>
      </c>
      <c r="GI16" s="3">
        <f t="shared" si="1"/>
        <v>5</v>
      </c>
      <c r="GJ16" s="3">
        <f t="shared" si="2"/>
        <v>4</v>
      </c>
      <c r="GK16" s="3">
        <f t="shared" si="3"/>
        <v>354</v>
      </c>
      <c r="GL16" s="3">
        <f t="shared" si="4"/>
        <v>950</v>
      </c>
      <c r="GM16" s="3">
        <f t="shared" si="5"/>
        <v>596</v>
      </c>
    </row>
    <row r="17" spans="1:195" ht="15.75" customHeight="1" x14ac:dyDescent="0.15">
      <c r="A17" s="13">
        <v>38479</v>
      </c>
      <c r="B17" s="3" t="s">
        <v>226</v>
      </c>
      <c r="C17" s="16">
        <f t="shared" si="6"/>
        <v>16</v>
      </c>
      <c r="D17" s="3">
        <v>21.706499000000001</v>
      </c>
      <c r="E17" s="3">
        <v>-157.99850499999999</v>
      </c>
      <c r="F17" s="3" t="s">
        <v>197</v>
      </c>
      <c r="G17" s="14">
        <v>0</v>
      </c>
      <c r="H17" s="14">
        <v>4.1666666666666664E-2</v>
      </c>
      <c r="I17" s="3">
        <v>3</v>
      </c>
      <c r="J17" s="3">
        <v>27</v>
      </c>
      <c r="K17" s="3" t="s">
        <v>227</v>
      </c>
      <c r="L17" s="3">
        <v>10</v>
      </c>
      <c r="M17" s="3">
        <v>22</v>
      </c>
      <c r="N17" s="3" t="s">
        <v>228</v>
      </c>
      <c r="P17" s="3">
        <v>22</v>
      </c>
      <c r="AC17" s="3">
        <v>3</v>
      </c>
      <c r="BH17" s="3">
        <v>4</v>
      </c>
      <c r="BW17" s="3">
        <v>12</v>
      </c>
      <c r="BZ17" s="3">
        <v>5</v>
      </c>
      <c r="CC17" s="3">
        <v>13</v>
      </c>
      <c r="CS17" s="3">
        <v>1</v>
      </c>
      <c r="DC17" s="3">
        <v>4</v>
      </c>
      <c r="DM17" s="3">
        <v>116</v>
      </c>
      <c r="DV17" s="3">
        <v>62</v>
      </c>
      <c r="EJ17" s="3">
        <v>93</v>
      </c>
      <c r="FB17" s="3">
        <v>29</v>
      </c>
      <c r="FR17" s="3">
        <v>14</v>
      </c>
      <c r="FS17" s="3">
        <v>118</v>
      </c>
      <c r="FX17" s="3"/>
      <c r="FY17" s="3">
        <v>14</v>
      </c>
      <c r="GF17" s="3">
        <v>16</v>
      </c>
      <c r="GH17" s="3">
        <f t="shared" si="0"/>
        <v>15</v>
      </c>
      <c r="GI17" s="3">
        <f t="shared" si="1"/>
        <v>14</v>
      </c>
      <c r="GJ17" s="3">
        <f t="shared" si="2"/>
        <v>11</v>
      </c>
      <c r="GK17" s="3">
        <f t="shared" si="3"/>
        <v>504</v>
      </c>
      <c r="GL17" s="3">
        <f t="shared" si="4"/>
        <v>550</v>
      </c>
      <c r="GM17" s="3">
        <f t="shared" si="5"/>
        <v>46</v>
      </c>
    </row>
    <row r="18" spans="1:195" ht="15.75" customHeight="1" x14ac:dyDescent="0.15">
      <c r="A18" s="13">
        <v>38493</v>
      </c>
      <c r="B18" s="3" t="s">
        <v>226</v>
      </c>
      <c r="C18" s="16">
        <f t="shared" si="6"/>
        <v>17</v>
      </c>
      <c r="D18" s="3">
        <v>21.706499000000001</v>
      </c>
      <c r="E18" s="3">
        <v>-157.99850499999999</v>
      </c>
      <c r="F18" s="3" t="s">
        <v>197</v>
      </c>
      <c r="G18" s="14">
        <v>0</v>
      </c>
      <c r="H18" s="14">
        <v>4.1666666666666664E-2</v>
      </c>
      <c r="I18" s="3">
        <v>2</v>
      </c>
      <c r="J18" s="3">
        <v>27</v>
      </c>
      <c r="K18" s="3" t="s">
        <v>227</v>
      </c>
      <c r="L18" s="3">
        <v>10</v>
      </c>
      <c r="M18" s="3">
        <v>11</v>
      </c>
      <c r="N18" s="3" t="s">
        <v>229</v>
      </c>
      <c r="P18" s="3">
        <v>11</v>
      </c>
      <c r="BH18" s="3">
        <v>1</v>
      </c>
      <c r="BW18" s="3">
        <v>3</v>
      </c>
      <c r="BZ18" s="3">
        <v>1</v>
      </c>
      <c r="DV18" s="3">
        <v>32</v>
      </c>
      <c r="ED18" s="3">
        <v>1</v>
      </c>
      <c r="EJ18" s="3">
        <v>55</v>
      </c>
      <c r="FB18" s="3">
        <v>13</v>
      </c>
      <c r="FR18" s="3">
        <v>1</v>
      </c>
      <c r="FS18" s="3">
        <v>103</v>
      </c>
      <c r="GF18" s="3">
        <v>4</v>
      </c>
      <c r="GH18" s="3">
        <f t="shared" si="0"/>
        <v>10</v>
      </c>
      <c r="GI18" s="3">
        <f t="shared" si="1"/>
        <v>6</v>
      </c>
      <c r="GJ18" s="3">
        <f t="shared" si="2"/>
        <v>4</v>
      </c>
      <c r="GK18" s="3">
        <f t="shared" si="3"/>
        <v>214</v>
      </c>
      <c r="GL18" s="3">
        <f t="shared" si="4"/>
        <v>275</v>
      </c>
      <c r="GM18" s="3">
        <f t="shared" si="5"/>
        <v>61</v>
      </c>
    </row>
    <row r="19" spans="1:195" ht="15.75" customHeight="1" x14ac:dyDescent="0.15">
      <c r="A19" s="13">
        <v>38496</v>
      </c>
      <c r="B19" s="3" t="s">
        <v>230</v>
      </c>
      <c r="C19" s="16">
        <f t="shared" si="6"/>
        <v>18</v>
      </c>
      <c r="D19" s="3">
        <v>20.753699999999998</v>
      </c>
      <c r="E19" s="3">
        <v>-156.46090699999999</v>
      </c>
      <c r="F19" s="3" t="s">
        <v>197</v>
      </c>
      <c r="G19" s="14">
        <v>0</v>
      </c>
      <c r="H19" s="14">
        <v>4.1666666666666664E-2</v>
      </c>
      <c r="I19" s="3">
        <v>5</v>
      </c>
      <c r="J19" s="3">
        <v>15</v>
      </c>
      <c r="K19" s="3" t="s">
        <v>217</v>
      </c>
      <c r="L19" s="3">
        <v>8</v>
      </c>
      <c r="M19" s="3">
        <v>36</v>
      </c>
      <c r="N19" s="3" t="s">
        <v>231</v>
      </c>
      <c r="P19" s="3">
        <v>36</v>
      </c>
      <c r="R19" s="3">
        <v>12</v>
      </c>
      <c r="BH19" s="3">
        <v>8</v>
      </c>
      <c r="BM19" s="3">
        <v>67</v>
      </c>
      <c r="DF19" s="3">
        <v>60</v>
      </c>
      <c r="DM19" s="3">
        <v>15</v>
      </c>
      <c r="EI19" s="3">
        <v>1</v>
      </c>
      <c r="EJ19" s="3">
        <v>8</v>
      </c>
      <c r="FB19" s="3">
        <v>31</v>
      </c>
      <c r="FS19" s="3">
        <v>23</v>
      </c>
      <c r="FT19" s="3">
        <v>59</v>
      </c>
      <c r="FV19" s="3">
        <v>1</v>
      </c>
      <c r="GF19" s="3">
        <v>2</v>
      </c>
      <c r="GH19" s="3">
        <f t="shared" si="0"/>
        <v>12</v>
      </c>
      <c r="GI19" s="3">
        <f t="shared" si="1"/>
        <v>10</v>
      </c>
      <c r="GJ19" s="3">
        <f t="shared" si="2"/>
        <v>9</v>
      </c>
      <c r="GK19" s="3">
        <f t="shared" si="3"/>
        <v>287</v>
      </c>
      <c r="GL19" s="3">
        <f t="shared" si="4"/>
        <v>900</v>
      </c>
      <c r="GM19" s="3">
        <f t="shared" si="5"/>
        <v>613</v>
      </c>
    </row>
    <row r="20" spans="1:195" ht="15.75" customHeight="1" x14ac:dyDescent="0.15">
      <c r="A20" s="13">
        <v>38507</v>
      </c>
      <c r="B20" s="3" t="s">
        <v>226</v>
      </c>
      <c r="C20" s="16">
        <f t="shared" si="6"/>
        <v>19</v>
      </c>
      <c r="D20" s="3">
        <v>21.706499000000001</v>
      </c>
      <c r="E20" s="3">
        <v>-157.99850499999999</v>
      </c>
      <c r="F20" s="3" t="s">
        <v>197</v>
      </c>
      <c r="G20" s="14">
        <v>0</v>
      </c>
      <c r="H20" s="14">
        <v>4.1666666666666664E-2</v>
      </c>
      <c r="I20" s="3">
        <v>3</v>
      </c>
      <c r="J20" s="3">
        <v>27</v>
      </c>
      <c r="K20" s="3" t="s">
        <v>227</v>
      </c>
      <c r="L20" s="3">
        <v>10</v>
      </c>
      <c r="M20" s="3">
        <v>20</v>
      </c>
      <c r="N20" s="3" t="s">
        <v>232</v>
      </c>
      <c r="P20" s="3">
        <v>20</v>
      </c>
      <c r="R20" s="3">
        <v>7</v>
      </c>
      <c r="S20" s="3">
        <v>1</v>
      </c>
      <c r="BB20" s="3">
        <v>11</v>
      </c>
      <c r="BH20" s="3">
        <v>1</v>
      </c>
      <c r="BM20" s="3">
        <v>3</v>
      </c>
      <c r="BW20" s="3">
        <v>7</v>
      </c>
      <c r="BZ20" s="3">
        <v>10</v>
      </c>
      <c r="CC20" s="3">
        <v>7</v>
      </c>
      <c r="CD20" s="3">
        <v>4</v>
      </c>
      <c r="CS20" s="3">
        <v>1</v>
      </c>
      <c r="CW20" s="3">
        <v>7</v>
      </c>
      <c r="DC20" s="3">
        <v>1</v>
      </c>
      <c r="DM20" s="3">
        <v>46</v>
      </c>
      <c r="DV20" s="3">
        <v>53</v>
      </c>
      <c r="EJ20" s="3">
        <v>33</v>
      </c>
      <c r="FB20" s="3">
        <v>7</v>
      </c>
      <c r="FR20" s="3">
        <v>8</v>
      </c>
      <c r="FS20" s="3">
        <v>146</v>
      </c>
      <c r="GF20" s="3">
        <v>53</v>
      </c>
      <c r="GH20" s="3">
        <f t="shared" si="0"/>
        <v>19</v>
      </c>
      <c r="GI20" s="3">
        <f t="shared" si="1"/>
        <v>15</v>
      </c>
      <c r="GJ20" s="3">
        <f t="shared" si="2"/>
        <v>13</v>
      </c>
      <c r="GK20" s="3">
        <f t="shared" si="3"/>
        <v>406</v>
      </c>
      <c r="GL20" s="3">
        <f t="shared" si="4"/>
        <v>500</v>
      </c>
      <c r="GM20" s="3">
        <f t="shared" si="5"/>
        <v>94</v>
      </c>
    </row>
    <row r="21" spans="1:195" ht="15.75" customHeight="1" x14ac:dyDescent="0.15">
      <c r="A21" s="13">
        <v>38824</v>
      </c>
      <c r="B21" s="3" t="s">
        <v>233</v>
      </c>
      <c r="C21" s="16">
        <f t="shared" si="6"/>
        <v>20</v>
      </c>
      <c r="D21" s="3">
        <v>21.066799</v>
      </c>
      <c r="E21" s="3">
        <v>-156.804993</v>
      </c>
      <c r="F21" s="3" t="s">
        <v>197</v>
      </c>
      <c r="G21" s="14">
        <v>0</v>
      </c>
      <c r="H21" s="14">
        <v>4.1666666666666664E-2</v>
      </c>
      <c r="I21" s="3">
        <v>3</v>
      </c>
      <c r="J21" s="3">
        <v>27</v>
      </c>
      <c r="K21" s="3" t="s">
        <v>227</v>
      </c>
      <c r="L21" s="3">
        <v>10</v>
      </c>
      <c r="M21" s="3">
        <v>29</v>
      </c>
      <c r="N21" s="3" t="s">
        <v>234</v>
      </c>
      <c r="P21" s="3">
        <v>29</v>
      </c>
      <c r="R21" s="3">
        <v>97</v>
      </c>
      <c r="BB21" s="3">
        <v>102</v>
      </c>
      <c r="BM21" s="3">
        <v>4</v>
      </c>
      <c r="BY21" s="3">
        <v>3</v>
      </c>
      <c r="CG21" s="3">
        <v>1</v>
      </c>
      <c r="CO21" s="3">
        <v>1</v>
      </c>
      <c r="DD21" s="3">
        <v>5</v>
      </c>
      <c r="DM21" s="3">
        <v>18</v>
      </c>
      <c r="DS21" s="3">
        <v>129</v>
      </c>
      <c r="EJ21" s="3">
        <v>1</v>
      </c>
      <c r="FB21" s="3">
        <v>17</v>
      </c>
      <c r="FR21" s="3">
        <v>2</v>
      </c>
      <c r="GH21" s="3">
        <f t="shared" si="0"/>
        <v>12</v>
      </c>
      <c r="GI21" s="3">
        <f t="shared" si="1"/>
        <v>9</v>
      </c>
      <c r="GJ21" s="3">
        <f t="shared" si="2"/>
        <v>6</v>
      </c>
      <c r="GK21" s="3">
        <f t="shared" si="3"/>
        <v>380</v>
      </c>
      <c r="GL21" s="3">
        <f t="shared" si="4"/>
        <v>725</v>
      </c>
      <c r="GM21" s="3">
        <f t="shared" si="5"/>
        <v>345</v>
      </c>
    </row>
    <row r="22" spans="1:195" ht="15.75" customHeight="1" x14ac:dyDescent="0.15">
      <c r="A22" s="13">
        <v>38824</v>
      </c>
      <c r="B22" s="3" t="s">
        <v>201</v>
      </c>
      <c r="C22" s="16">
        <f t="shared" si="6"/>
        <v>21</v>
      </c>
      <c r="D22" s="3">
        <v>21.25544</v>
      </c>
      <c r="E22" s="3">
        <v>-157.810303</v>
      </c>
      <c r="F22" s="3" t="s">
        <v>197</v>
      </c>
      <c r="G22" s="14">
        <v>0</v>
      </c>
      <c r="H22" s="14">
        <v>4.1666666666666664E-2</v>
      </c>
      <c r="I22" s="3">
        <v>6</v>
      </c>
      <c r="J22" s="3">
        <v>11</v>
      </c>
      <c r="K22" s="3" t="s">
        <v>198</v>
      </c>
      <c r="L22" s="3">
        <v>12</v>
      </c>
      <c r="M22" s="3">
        <v>53</v>
      </c>
      <c r="N22" s="3" t="s">
        <v>235</v>
      </c>
      <c r="P22" s="3">
        <v>53</v>
      </c>
      <c r="R22" s="3">
        <v>4</v>
      </c>
      <c r="AE22" s="3">
        <v>2</v>
      </c>
      <c r="AF22" s="3">
        <v>1</v>
      </c>
      <c r="BH22" s="3">
        <v>2</v>
      </c>
      <c r="BQ22" s="3">
        <v>10</v>
      </c>
      <c r="BW22" s="3">
        <v>7</v>
      </c>
      <c r="BZ22" s="3">
        <v>31</v>
      </c>
      <c r="CS22" s="3">
        <v>22</v>
      </c>
      <c r="DM22" s="3">
        <v>248</v>
      </c>
      <c r="DP22" s="3">
        <v>3</v>
      </c>
      <c r="DZ22" s="3">
        <v>2</v>
      </c>
      <c r="EJ22" s="3">
        <v>188</v>
      </c>
      <c r="FB22" s="3">
        <v>193</v>
      </c>
      <c r="FC22" s="3">
        <v>6</v>
      </c>
      <c r="FR22" s="3">
        <v>3</v>
      </c>
      <c r="FS22" s="3">
        <v>86</v>
      </c>
      <c r="FU22" s="3">
        <v>15</v>
      </c>
      <c r="GF22" s="3">
        <v>25</v>
      </c>
      <c r="GH22" s="3">
        <f t="shared" si="0"/>
        <v>18</v>
      </c>
      <c r="GI22" s="3">
        <f t="shared" si="1"/>
        <v>17</v>
      </c>
      <c r="GJ22" s="3">
        <f t="shared" si="2"/>
        <v>11</v>
      </c>
      <c r="GK22" s="3">
        <f t="shared" si="3"/>
        <v>848</v>
      </c>
      <c r="GL22" s="3">
        <f t="shared" si="4"/>
        <v>1325</v>
      </c>
      <c r="GM22" s="3">
        <f t="shared" si="5"/>
        <v>477</v>
      </c>
    </row>
    <row r="23" spans="1:195" ht="15.75" customHeight="1" x14ac:dyDescent="0.15">
      <c r="A23" s="13">
        <v>38825</v>
      </c>
      <c r="B23" s="3" t="s">
        <v>230</v>
      </c>
      <c r="C23" s="16">
        <f t="shared" si="6"/>
        <v>22</v>
      </c>
      <c r="D23" s="3">
        <v>20.753699999999998</v>
      </c>
      <c r="E23" s="3">
        <v>-156.46090699999999</v>
      </c>
      <c r="F23" s="3" t="s">
        <v>197</v>
      </c>
      <c r="G23" s="14">
        <v>0</v>
      </c>
      <c r="H23" s="14">
        <v>4.1666666666666664E-2</v>
      </c>
      <c r="I23" s="3">
        <v>5</v>
      </c>
      <c r="J23" s="3">
        <v>22</v>
      </c>
      <c r="K23" s="3" t="s">
        <v>217</v>
      </c>
      <c r="L23" s="3">
        <v>14</v>
      </c>
      <c r="M23" s="3">
        <v>42</v>
      </c>
      <c r="N23" s="3" t="s">
        <v>236</v>
      </c>
      <c r="P23" s="3">
        <v>42</v>
      </c>
      <c r="R23" s="3">
        <v>31</v>
      </c>
      <c r="BK23" s="3">
        <v>24</v>
      </c>
      <c r="BM23" s="3">
        <v>109</v>
      </c>
      <c r="BX23" s="3">
        <v>1</v>
      </c>
      <c r="DF23" s="3">
        <v>23</v>
      </c>
      <c r="DM23" s="3">
        <v>2</v>
      </c>
      <c r="ED23" s="3">
        <v>2</v>
      </c>
      <c r="EJ23" s="3">
        <v>9</v>
      </c>
      <c r="FB23" s="3">
        <v>14</v>
      </c>
      <c r="FN23" s="3">
        <v>3</v>
      </c>
      <c r="FS23" s="3">
        <v>12</v>
      </c>
      <c r="FT23" s="3">
        <v>57</v>
      </c>
      <c r="FV23" s="3">
        <v>2</v>
      </c>
      <c r="GH23" s="3">
        <f t="shared" si="0"/>
        <v>13</v>
      </c>
      <c r="GI23" s="3">
        <f t="shared" si="1"/>
        <v>12</v>
      </c>
      <c r="GJ23" s="3">
        <f t="shared" si="2"/>
        <v>8</v>
      </c>
      <c r="GK23" s="3">
        <f t="shared" si="3"/>
        <v>289</v>
      </c>
      <c r="GL23" s="3">
        <f t="shared" si="4"/>
        <v>1050</v>
      </c>
      <c r="GM23" s="3">
        <f t="shared" si="5"/>
        <v>761</v>
      </c>
    </row>
    <row r="24" spans="1:195" ht="15.75" customHeight="1" x14ac:dyDescent="0.15">
      <c r="A24" s="13">
        <v>38834</v>
      </c>
      <c r="B24" s="3" t="s">
        <v>219</v>
      </c>
      <c r="C24" s="16">
        <f t="shared" si="6"/>
        <v>23</v>
      </c>
      <c r="D24" s="3">
        <v>21.295798999999999</v>
      </c>
      <c r="E24" s="3">
        <v>-158.10369900000001</v>
      </c>
      <c r="F24" s="3" t="s">
        <v>197</v>
      </c>
      <c r="G24" s="14">
        <v>0</v>
      </c>
      <c r="H24" s="14">
        <v>4.1666666666666664E-2</v>
      </c>
      <c r="I24" s="3">
        <v>4</v>
      </c>
      <c r="J24" s="3">
        <v>25</v>
      </c>
      <c r="K24" s="3" t="s">
        <v>237</v>
      </c>
      <c r="L24" s="3">
        <v>5</v>
      </c>
      <c r="M24" s="3">
        <v>16</v>
      </c>
      <c r="N24" s="3" t="s">
        <v>238</v>
      </c>
      <c r="P24" s="3">
        <v>16</v>
      </c>
      <c r="R24" s="3">
        <v>5</v>
      </c>
      <c r="BD24" s="3">
        <v>1</v>
      </c>
      <c r="BM24" s="3">
        <v>1</v>
      </c>
      <c r="BQ24" s="3">
        <v>25</v>
      </c>
      <c r="BU24" s="3">
        <v>8</v>
      </c>
      <c r="BW24" s="3">
        <v>3</v>
      </c>
      <c r="DM24" s="3">
        <v>2</v>
      </c>
      <c r="EC24" s="3">
        <v>1</v>
      </c>
      <c r="ED24" s="3">
        <v>1</v>
      </c>
      <c r="EJ24" s="3">
        <v>134</v>
      </c>
      <c r="FB24" s="3">
        <v>1</v>
      </c>
      <c r="FS24" s="3">
        <v>8</v>
      </c>
      <c r="GH24" s="3">
        <f t="shared" si="0"/>
        <v>12</v>
      </c>
      <c r="GI24" s="3">
        <f t="shared" si="1"/>
        <v>7</v>
      </c>
      <c r="GJ24" s="3">
        <f t="shared" si="2"/>
        <v>5</v>
      </c>
      <c r="GK24" s="3">
        <f t="shared" si="3"/>
        <v>190</v>
      </c>
      <c r="GL24" s="3">
        <f t="shared" si="4"/>
        <v>400</v>
      </c>
      <c r="GM24" s="3">
        <f t="shared" si="5"/>
        <v>210</v>
      </c>
    </row>
    <row r="25" spans="1:195" ht="15.75" customHeight="1" x14ac:dyDescent="0.15">
      <c r="A25" s="13">
        <v>38835</v>
      </c>
      <c r="B25" s="3" t="s">
        <v>216</v>
      </c>
      <c r="C25" s="16">
        <f t="shared" si="6"/>
        <v>24</v>
      </c>
      <c r="D25" s="3">
        <v>21.3002</v>
      </c>
      <c r="E25" s="3">
        <v>-157.882599</v>
      </c>
      <c r="F25" s="3" t="s">
        <v>197</v>
      </c>
      <c r="G25" s="14">
        <v>0</v>
      </c>
      <c r="H25" s="14">
        <v>4.1666666666666664E-2</v>
      </c>
      <c r="I25" s="3">
        <v>3</v>
      </c>
      <c r="J25" s="3">
        <v>25</v>
      </c>
      <c r="K25" s="3" t="s">
        <v>237</v>
      </c>
      <c r="L25" s="3">
        <v>5</v>
      </c>
      <c r="M25" s="3">
        <v>10</v>
      </c>
      <c r="N25" s="3" t="s">
        <v>239</v>
      </c>
      <c r="P25" s="3">
        <v>10</v>
      </c>
      <c r="R25" s="3">
        <v>1</v>
      </c>
      <c r="BE25" s="3">
        <v>1</v>
      </c>
      <c r="BV25" s="3">
        <v>1</v>
      </c>
      <c r="DM25" s="3">
        <v>7</v>
      </c>
      <c r="EJ25" s="3">
        <v>21</v>
      </c>
      <c r="FB25" s="3">
        <v>1</v>
      </c>
      <c r="GF25" s="3">
        <v>2</v>
      </c>
      <c r="GH25" s="3">
        <f t="shared" si="0"/>
        <v>7</v>
      </c>
      <c r="GI25" s="3">
        <f t="shared" si="1"/>
        <v>3</v>
      </c>
      <c r="GJ25" s="3">
        <f t="shared" si="2"/>
        <v>2</v>
      </c>
      <c r="GK25" s="3">
        <f t="shared" si="3"/>
        <v>34</v>
      </c>
      <c r="GL25" s="3">
        <f t="shared" si="4"/>
        <v>250</v>
      </c>
      <c r="GM25" s="3">
        <f t="shared" si="5"/>
        <v>216</v>
      </c>
    </row>
    <row r="26" spans="1:195" ht="15.75" customHeight="1" x14ac:dyDescent="0.15">
      <c r="A26" s="13">
        <v>38838</v>
      </c>
      <c r="B26" s="3" t="s">
        <v>240</v>
      </c>
      <c r="C26" s="16">
        <f t="shared" si="6"/>
        <v>25</v>
      </c>
      <c r="D26" s="3">
        <v>21.105899999999998</v>
      </c>
      <c r="E26" s="3">
        <v>-156.746094</v>
      </c>
      <c r="F26" s="3" t="s">
        <v>197</v>
      </c>
      <c r="G26" s="14">
        <v>0</v>
      </c>
      <c r="H26" s="14">
        <v>4.1666666666666664E-2</v>
      </c>
      <c r="I26" s="3">
        <v>3</v>
      </c>
      <c r="J26" s="3">
        <v>27</v>
      </c>
      <c r="K26" s="3" t="s">
        <v>227</v>
      </c>
      <c r="L26" s="3">
        <v>10</v>
      </c>
      <c r="M26" s="3">
        <v>27</v>
      </c>
      <c r="N26" s="3" t="s">
        <v>241</v>
      </c>
      <c r="P26" s="3">
        <v>27</v>
      </c>
      <c r="AM26" s="3">
        <v>22</v>
      </c>
      <c r="BB26" s="3">
        <v>12</v>
      </c>
      <c r="BM26" s="3">
        <v>9</v>
      </c>
      <c r="CS26" s="3">
        <v>1</v>
      </c>
      <c r="EJ26" s="3">
        <v>40</v>
      </c>
      <c r="FS26" s="3">
        <v>322</v>
      </c>
      <c r="GH26" s="3">
        <f t="shared" si="0"/>
        <v>6</v>
      </c>
      <c r="GI26" s="3">
        <f t="shared" si="1"/>
        <v>5</v>
      </c>
      <c r="GJ26" s="3">
        <f t="shared" si="2"/>
        <v>5</v>
      </c>
      <c r="GK26" s="3">
        <f t="shared" si="3"/>
        <v>406</v>
      </c>
      <c r="GL26" s="3">
        <f t="shared" si="4"/>
        <v>675</v>
      </c>
      <c r="GM26" s="3">
        <f t="shared" si="5"/>
        <v>269</v>
      </c>
    </row>
    <row r="27" spans="1:195" ht="15.75" customHeight="1" x14ac:dyDescent="0.15">
      <c r="A27" s="13">
        <v>38849</v>
      </c>
      <c r="B27" s="3" t="s">
        <v>219</v>
      </c>
      <c r="C27" s="16">
        <f t="shared" si="6"/>
        <v>26</v>
      </c>
      <c r="D27" s="3">
        <v>21.295798999999999</v>
      </c>
      <c r="E27" s="3">
        <v>-158.10369900000001</v>
      </c>
      <c r="F27" s="3" t="s">
        <v>197</v>
      </c>
      <c r="G27" s="14">
        <v>0</v>
      </c>
      <c r="H27" s="14">
        <v>4.1666666666666664E-2</v>
      </c>
      <c r="I27" s="3">
        <v>4</v>
      </c>
      <c r="J27" s="3">
        <v>25</v>
      </c>
      <c r="K27" s="3" t="s">
        <v>237</v>
      </c>
      <c r="L27" s="3">
        <v>5</v>
      </c>
      <c r="M27" s="3">
        <v>14</v>
      </c>
      <c r="N27" s="3" t="s">
        <v>242</v>
      </c>
      <c r="P27" s="3">
        <v>14</v>
      </c>
      <c r="AD27" s="3">
        <v>3</v>
      </c>
      <c r="AM27" s="3">
        <v>6</v>
      </c>
      <c r="BQ27" s="3">
        <v>5</v>
      </c>
      <c r="BW27" s="3">
        <v>13</v>
      </c>
      <c r="DH27" s="3">
        <v>1</v>
      </c>
      <c r="DM27" s="3">
        <v>20</v>
      </c>
      <c r="EC27" s="3">
        <v>1</v>
      </c>
      <c r="EJ27" s="3">
        <v>216</v>
      </c>
      <c r="EV27" s="3">
        <v>1</v>
      </c>
      <c r="FB27" s="3">
        <v>27</v>
      </c>
      <c r="FC27" s="3">
        <v>1</v>
      </c>
      <c r="FM27" s="3">
        <v>8</v>
      </c>
      <c r="FS27" s="3">
        <v>38</v>
      </c>
      <c r="GF27" s="3">
        <v>1</v>
      </c>
      <c r="GH27" s="3">
        <f t="shared" si="0"/>
        <v>14</v>
      </c>
      <c r="GI27" s="3">
        <f t="shared" si="1"/>
        <v>9</v>
      </c>
      <c r="GJ27" s="3">
        <f t="shared" si="2"/>
        <v>8</v>
      </c>
      <c r="GK27" s="3">
        <f t="shared" si="3"/>
        <v>341</v>
      </c>
      <c r="GL27" s="3">
        <f t="shared" si="4"/>
        <v>350</v>
      </c>
      <c r="GM27" s="3">
        <f t="shared" si="5"/>
        <v>9</v>
      </c>
    </row>
    <row r="28" spans="1:195" ht="15.75" customHeight="1" x14ac:dyDescent="0.15">
      <c r="A28" s="13">
        <v>38852</v>
      </c>
      <c r="B28" s="3" t="s">
        <v>216</v>
      </c>
      <c r="C28" s="16">
        <f t="shared" si="6"/>
        <v>27</v>
      </c>
      <c r="D28" s="3">
        <v>21.3002</v>
      </c>
      <c r="E28" s="3">
        <v>-157.882599</v>
      </c>
      <c r="F28" s="3" t="s">
        <v>197</v>
      </c>
      <c r="G28" s="14">
        <v>0</v>
      </c>
      <c r="H28" s="14">
        <v>4.1666666666666664E-2</v>
      </c>
      <c r="I28" s="3">
        <v>7</v>
      </c>
      <c r="J28" s="3">
        <v>25</v>
      </c>
      <c r="K28" s="3" t="s">
        <v>237</v>
      </c>
      <c r="L28" s="3">
        <v>5</v>
      </c>
      <c r="M28" s="3">
        <v>23</v>
      </c>
      <c r="N28" s="3" t="s">
        <v>243</v>
      </c>
      <c r="P28" s="3">
        <v>23</v>
      </c>
      <c r="R28" s="3">
        <v>4</v>
      </c>
      <c r="AI28" s="3">
        <v>3</v>
      </c>
      <c r="BD28" s="3">
        <v>1</v>
      </c>
      <c r="BQ28" s="3">
        <v>11</v>
      </c>
      <c r="BW28" s="3">
        <v>1</v>
      </c>
      <c r="CD28" s="3">
        <v>2</v>
      </c>
      <c r="DM28" s="3">
        <v>3</v>
      </c>
      <c r="DO28" s="3">
        <v>2</v>
      </c>
      <c r="DS28" s="3">
        <v>6</v>
      </c>
      <c r="EJ28" s="3">
        <v>60</v>
      </c>
      <c r="FB28" s="3">
        <v>11</v>
      </c>
      <c r="FS28" s="3">
        <v>46</v>
      </c>
      <c r="GH28" s="3">
        <f t="shared" si="0"/>
        <v>12</v>
      </c>
      <c r="GI28" s="3">
        <f t="shared" si="1"/>
        <v>10</v>
      </c>
      <c r="GJ28" s="3">
        <f t="shared" si="2"/>
        <v>5</v>
      </c>
      <c r="GK28" s="3">
        <f t="shared" si="3"/>
        <v>150</v>
      </c>
      <c r="GL28" s="3">
        <f t="shared" si="4"/>
        <v>575</v>
      </c>
      <c r="GM28" s="3">
        <f t="shared" si="5"/>
        <v>425</v>
      </c>
    </row>
    <row r="29" spans="1:195" ht="15.75" customHeight="1" x14ac:dyDescent="0.15">
      <c r="A29" s="13">
        <v>38853</v>
      </c>
      <c r="B29" s="3" t="s">
        <v>244</v>
      </c>
      <c r="C29" s="16">
        <f t="shared" si="6"/>
        <v>28</v>
      </c>
      <c r="D29" s="3">
        <v>21.310611999999999</v>
      </c>
      <c r="E29" s="3">
        <v>-158.00441000000001</v>
      </c>
      <c r="F29" s="3" t="s">
        <v>197</v>
      </c>
      <c r="G29" s="14">
        <v>0</v>
      </c>
      <c r="H29" s="14">
        <v>4.1666666666666664E-2</v>
      </c>
      <c r="I29" s="3">
        <v>4</v>
      </c>
      <c r="J29" s="3">
        <v>20</v>
      </c>
      <c r="K29" s="3" t="s">
        <v>245</v>
      </c>
      <c r="L29" s="3">
        <v>5</v>
      </c>
      <c r="M29" s="3">
        <v>4</v>
      </c>
      <c r="N29" s="3">
        <v>4</v>
      </c>
      <c r="P29" s="3">
        <v>4</v>
      </c>
      <c r="R29" s="3">
        <v>12</v>
      </c>
      <c r="AX29" s="3">
        <v>1</v>
      </c>
      <c r="BM29" s="3">
        <v>2</v>
      </c>
      <c r="BQ29" s="3">
        <v>14</v>
      </c>
      <c r="BU29" s="3">
        <v>20</v>
      </c>
      <c r="BX29" s="3">
        <v>27</v>
      </c>
      <c r="CS29" s="3">
        <v>4</v>
      </c>
      <c r="DD29" s="3">
        <v>4</v>
      </c>
      <c r="DM29" s="3">
        <v>14</v>
      </c>
      <c r="DU29" s="3"/>
      <c r="DV29" s="3">
        <v>5</v>
      </c>
      <c r="EJ29" s="3">
        <v>4</v>
      </c>
      <c r="FB29" s="3">
        <v>7</v>
      </c>
      <c r="FR29" s="3">
        <v>6</v>
      </c>
      <c r="FS29" s="3">
        <v>18</v>
      </c>
      <c r="GH29" s="3">
        <f t="shared" si="0"/>
        <v>14</v>
      </c>
      <c r="GI29" s="3">
        <f t="shared" si="1"/>
        <v>13</v>
      </c>
      <c r="GJ29" s="3">
        <f t="shared" si="2"/>
        <v>9</v>
      </c>
      <c r="GK29" s="3">
        <f t="shared" si="3"/>
        <v>138</v>
      </c>
      <c r="GL29" s="3">
        <f t="shared" si="4"/>
        <v>100</v>
      </c>
      <c r="GM29" s="3">
        <f t="shared" si="5"/>
        <v>-38</v>
      </c>
    </row>
    <row r="30" spans="1:195" ht="15.75" customHeight="1" x14ac:dyDescent="0.15">
      <c r="A30" s="13">
        <v>38854</v>
      </c>
      <c r="B30" s="3" t="s">
        <v>246</v>
      </c>
      <c r="C30" s="16">
        <f t="shared" si="6"/>
        <v>29</v>
      </c>
      <c r="D30" s="3">
        <v>21.2882</v>
      </c>
      <c r="E30" s="3">
        <v>-157.66799900000001</v>
      </c>
      <c r="F30" s="3" t="s">
        <v>197</v>
      </c>
      <c r="G30" s="14">
        <v>0</v>
      </c>
      <c r="H30" s="14">
        <v>4.1666666666666664E-2</v>
      </c>
      <c r="I30" s="3">
        <v>3</v>
      </c>
      <c r="J30" s="3">
        <v>20</v>
      </c>
      <c r="K30" s="3" t="s">
        <v>245</v>
      </c>
      <c r="L30" s="3">
        <v>5</v>
      </c>
      <c r="M30" s="3">
        <v>4</v>
      </c>
      <c r="N30" s="3">
        <v>4</v>
      </c>
      <c r="P30" s="3">
        <v>4</v>
      </c>
      <c r="R30" s="3">
        <v>1</v>
      </c>
      <c r="BH30" s="3">
        <v>1</v>
      </c>
      <c r="BK30" s="3">
        <v>2</v>
      </c>
      <c r="BW30" s="3">
        <v>3</v>
      </c>
      <c r="CJ30" s="3">
        <v>6</v>
      </c>
      <c r="CO30" s="3">
        <v>3</v>
      </c>
      <c r="DM30" s="3">
        <v>6</v>
      </c>
      <c r="DO30" s="3">
        <v>3</v>
      </c>
      <c r="DZ30" s="3">
        <v>1</v>
      </c>
      <c r="EJ30" s="3">
        <v>8</v>
      </c>
      <c r="FB30" s="3">
        <v>10</v>
      </c>
      <c r="FR30" s="3">
        <v>1</v>
      </c>
      <c r="FS30" s="3">
        <v>34</v>
      </c>
      <c r="GH30" s="3">
        <f t="shared" si="0"/>
        <v>13</v>
      </c>
      <c r="GI30" s="3">
        <f t="shared" si="1"/>
        <v>9</v>
      </c>
      <c r="GJ30" s="3">
        <f t="shared" si="2"/>
        <v>5</v>
      </c>
      <c r="GK30" s="3">
        <f t="shared" si="3"/>
        <v>79</v>
      </c>
      <c r="GL30" s="3">
        <f t="shared" si="4"/>
        <v>100</v>
      </c>
      <c r="GM30" s="3">
        <f t="shared" si="5"/>
        <v>21</v>
      </c>
    </row>
    <row r="31" spans="1:195" ht="15.75" customHeight="1" x14ac:dyDescent="0.15">
      <c r="A31" s="13">
        <v>39177</v>
      </c>
      <c r="B31" s="3" t="s">
        <v>247</v>
      </c>
      <c r="C31" s="16">
        <f t="shared" si="6"/>
        <v>30</v>
      </c>
      <c r="D31" s="3">
        <v>19.488199000000002</v>
      </c>
      <c r="E31" s="3">
        <v>-154.81930500000001</v>
      </c>
      <c r="F31" s="3" t="s">
        <v>197</v>
      </c>
      <c r="G31" s="14">
        <v>0</v>
      </c>
      <c r="H31" s="14">
        <v>4.1666666666666664E-2</v>
      </c>
      <c r="I31" s="3">
        <v>4</v>
      </c>
      <c r="J31" s="3">
        <v>20</v>
      </c>
      <c r="K31" s="3" t="s">
        <v>245</v>
      </c>
      <c r="L31" s="3">
        <v>5</v>
      </c>
      <c r="M31" s="3">
        <v>13</v>
      </c>
      <c r="N31" s="3" t="s">
        <v>248</v>
      </c>
      <c r="P31" s="3">
        <v>13</v>
      </c>
      <c r="AM31" s="3">
        <v>10</v>
      </c>
      <c r="CC31" s="3">
        <v>1</v>
      </c>
      <c r="DM31" s="3">
        <v>9</v>
      </c>
      <c r="DX31" s="3">
        <v>94</v>
      </c>
      <c r="FM31" s="3">
        <v>1</v>
      </c>
      <c r="FS31" s="3">
        <v>131</v>
      </c>
      <c r="GF31" s="3">
        <v>1</v>
      </c>
      <c r="GH31" s="3">
        <f t="shared" si="0"/>
        <v>7</v>
      </c>
      <c r="GI31" s="3">
        <f t="shared" si="1"/>
        <v>4</v>
      </c>
      <c r="GJ31" s="3">
        <f t="shared" si="2"/>
        <v>4</v>
      </c>
      <c r="GK31" s="3">
        <f t="shared" si="3"/>
        <v>247</v>
      </c>
      <c r="GL31" s="3">
        <f t="shared" si="4"/>
        <v>325</v>
      </c>
      <c r="GM31" s="3">
        <f t="shared" si="5"/>
        <v>78</v>
      </c>
    </row>
    <row r="32" spans="1:195" ht="15.75" customHeight="1" x14ac:dyDescent="0.15">
      <c r="A32" s="13">
        <v>39190</v>
      </c>
      <c r="B32" s="3" t="s">
        <v>201</v>
      </c>
      <c r="C32" s="16">
        <f t="shared" si="6"/>
        <v>31</v>
      </c>
      <c r="D32" s="3">
        <v>21.25544</v>
      </c>
      <c r="E32" s="3">
        <v>-157.810303</v>
      </c>
      <c r="F32" s="3" t="s">
        <v>197</v>
      </c>
      <c r="G32" s="14">
        <v>0</v>
      </c>
      <c r="H32" s="14">
        <v>4.1666666666666664E-2</v>
      </c>
      <c r="I32" s="3">
        <v>7</v>
      </c>
      <c r="J32" s="3">
        <v>11</v>
      </c>
      <c r="K32" s="3" t="s">
        <v>198</v>
      </c>
      <c r="L32" s="3">
        <v>12</v>
      </c>
      <c r="M32" s="3">
        <v>74</v>
      </c>
      <c r="N32" s="3" t="s">
        <v>249</v>
      </c>
      <c r="P32" s="3">
        <v>74</v>
      </c>
      <c r="R32" s="3">
        <v>175</v>
      </c>
      <c r="Y32" s="3">
        <v>1</v>
      </c>
      <c r="AF32" s="3">
        <v>1</v>
      </c>
      <c r="AM32" s="3">
        <v>9</v>
      </c>
      <c r="AZ32" s="3">
        <v>25</v>
      </c>
      <c r="BB32" s="3">
        <v>18</v>
      </c>
      <c r="BF32" s="3">
        <v>1</v>
      </c>
      <c r="BM32" s="3">
        <v>16</v>
      </c>
      <c r="BQ32" s="3">
        <v>58</v>
      </c>
      <c r="BT32" s="3">
        <v>7</v>
      </c>
      <c r="BU32" s="3">
        <v>3</v>
      </c>
      <c r="BW32" s="3">
        <v>4</v>
      </c>
      <c r="BX32" s="3">
        <v>10</v>
      </c>
      <c r="BY32" s="3">
        <v>1</v>
      </c>
      <c r="CB32" s="3">
        <v>9</v>
      </c>
      <c r="CJ32" s="3">
        <v>4</v>
      </c>
      <c r="CO32" s="3">
        <v>38</v>
      </c>
      <c r="CS32" s="3">
        <v>6</v>
      </c>
      <c r="CV32" s="3">
        <v>2</v>
      </c>
      <c r="DD32" s="3">
        <v>1</v>
      </c>
      <c r="DF32" s="3">
        <v>33</v>
      </c>
      <c r="DL32" s="3">
        <v>71</v>
      </c>
      <c r="DM32" s="3">
        <v>140</v>
      </c>
      <c r="DP32" s="3">
        <v>3</v>
      </c>
      <c r="DS32" s="3">
        <v>72</v>
      </c>
      <c r="DU32" s="3"/>
      <c r="DV32" s="3">
        <v>5</v>
      </c>
      <c r="ED32" s="3">
        <v>4</v>
      </c>
      <c r="EJ32" s="3">
        <v>220</v>
      </c>
      <c r="EW32" s="3">
        <v>2</v>
      </c>
      <c r="FB32" s="3">
        <v>221</v>
      </c>
      <c r="FC32" s="3">
        <v>36</v>
      </c>
      <c r="FI32" s="3">
        <v>1</v>
      </c>
      <c r="FR32" s="3">
        <v>2</v>
      </c>
      <c r="FS32" s="3">
        <v>142</v>
      </c>
      <c r="FX32" s="3"/>
      <c r="FY32" s="3">
        <v>20</v>
      </c>
      <c r="GE32" s="3">
        <v>11</v>
      </c>
      <c r="GF32" s="3">
        <v>21</v>
      </c>
      <c r="GH32" s="3">
        <f t="shared" si="0"/>
        <v>37</v>
      </c>
      <c r="GI32" s="3">
        <f t="shared" si="1"/>
        <v>31</v>
      </c>
      <c r="GJ32" s="3">
        <f t="shared" si="2"/>
        <v>23</v>
      </c>
      <c r="GK32" s="3">
        <f t="shared" si="3"/>
        <v>1393</v>
      </c>
      <c r="GL32" s="3">
        <f t="shared" si="4"/>
        <v>1850</v>
      </c>
      <c r="GM32" s="3">
        <f t="shared" si="5"/>
        <v>457</v>
      </c>
    </row>
    <row r="33" spans="1:195" ht="15.75" customHeight="1" x14ac:dyDescent="0.15">
      <c r="A33" s="13">
        <v>39191</v>
      </c>
      <c r="B33" s="3" t="s">
        <v>250</v>
      </c>
      <c r="C33" s="16">
        <f t="shared" si="6"/>
        <v>32</v>
      </c>
      <c r="D33" s="3">
        <v>21.410399999999999</v>
      </c>
      <c r="E33" s="3">
        <v>-158.17770400000001</v>
      </c>
      <c r="F33" s="3" t="s">
        <v>197</v>
      </c>
      <c r="G33" s="14">
        <v>0</v>
      </c>
      <c r="H33" s="14">
        <v>4.1666666666666664E-2</v>
      </c>
      <c r="I33" s="3">
        <v>10</v>
      </c>
      <c r="J33" s="3">
        <v>20</v>
      </c>
      <c r="K33" s="3" t="s">
        <v>245</v>
      </c>
      <c r="L33" s="3">
        <v>6</v>
      </c>
      <c r="M33" s="3">
        <v>15</v>
      </c>
      <c r="N33" s="3" t="s">
        <v>251</v>
      </c>
      <c r="P33" s="3">
        <v>15</v>
      </c>
      <c r="R33" s="3">
        <v>82</v>
      </c>
      <c r="S33" s="3">
        <v>4</v>
      </c>
      <c r="AJ33" s="3"/>
      <c r="AK33" s="3">
        <v>5</v>
      </c>
      <c r="BG33" s="3">
        <v>9</v>
      </c>
      <c r="BI33" s="3">
        <v>2</v>
      </c>
      <c r="BK33" s="3">
        <v>9</v>
      </c>
      <c r="BY33" s="3">
        <v>56</v>
      </c>
      <c r="BZ33" s="3">
        <v>33</v>
      </c>
      <c r="CC33" s="3">
        <v>7</v>
      </c>
      <c r="CD33" s="3">
        <v>1</v>
      </c>
      <c r="DH33" s="3">
        <v>1</v>
      </c>
      <c r="DL33" s="3">
        <v>9</v>
      </c>
      <c r="DM33" s="3">
        <v>32</v>
      </c>
      <c r="EJ33" s="3">
        <v>11</v>
      </c>
      <c r="EW33" s="3">
        <v>15</v>
      </c>
      <c r="FC33" s="3">
        <v>2</v>
      </c>
      <c r="FE33" s="3">
        <v>24</v>
      </c>
      <c r="FR33" s="3">
        <v>16</v>
      </c>
      <c r="FS33" s="3">
        <v>44</v>
      </c>
      <c r="FT33" s="3">
        <v>41</v>
      </c>
      <c r="GE33" s="3">
        <v>3</v>
      </c>
      <c r="GF33" s="3">
        <v>52</v>
      </c>
      <c r="GH33" s="3">
        <f t="shared" si="0"/>
        <v>22</v>
      </c>
      <c r="GI33" s="3">
        <f t="shared" si="1"/>
        <v>20</v>
      </c>
      <c r="GJ33" s="3">
        <f t="shared" si="2"/>
        <v>16</v>
      </c>
      <c r="GK33" s="3">
        <f t="shared" si="3"/>
        <v>458</v>
      </c>
      <c r="GL33" s="3">
        <f t="shared" si="4"/>
        <v>375</v>
      </c>
      <c r="GM33" s="3">
        <f t="shared" si="5"/>
        <v>-83</v>
      </c>
    </row>
    <row r="34" spans="1:195" ht="15.75" customHeight="1" x14ac:dyDescent="0.15">
      <c r="A34" s="13">
        <v>39191</v>
      </c>
      <c r="B34" s="3" t="s">
        <v>201</v>
      </c>
      <c r="C34" s="16">
        <f t="shared" si="6"/>
        <v>33</v>
      </c>
      <c r="D34" s="3">
        <v>21.25544</v>
      </c>
      <c r="E34" s="3">
        <v>-157.810303</v>
      </c>
      <c r="F34" s="3" t="s">
        <v>197</v>
      </c>
      <c r="G34" s="14">
        <v>0</v>
      </c>
      <c r="H34" s="14">
        <v>4.1666666666666664E-2</v>
      </c>
      <c r="I34" s="3">
        <v>7</v>
      </c>
      <c r="J34" s="3">
        <v>11</v>
      </c>
      <c r="K34" s="3" t="s">
        <v>198</v>
      </c>
      <c r="L34" s="3">
        <v>12</v>
      </c>
      <c r="M34" s="3">
        <v>66</v>
      </c>
      <c r="N34" s="3" t="s">
        <v>252</v>
      </c>
      <c r="P34" s="3">
        <v>66</v>
      </c>
      <c r="R34" s="3">
        <v>11</v>
      </c>
      <c r="X34" s="3">
        <v>3</v>
      </c>
      <c r="Z34" s="3">
        <v>5</v>
      </c>
      <c r="AE34" s="3">
        <v>10</v>
      </c>
      <c r="AF34" s="3">
        <v>2</v>
      </c>
      <c r="AI34" s="3">
        <v>2</v>
      </c>
      <c r="AJ34" s="3">
        <v>1</v>
      </c>
      <c r="AM34" s="3">
        <v>2</v>
      </c>
      <c r="BB34" s="3">
        <v>21</v>
      </c>
      <c r="BM34" s="3">
        <v>1</v>
      </c>
      <c r="BQ34" s="3">
        <v>80</v>
      </c>
      <c r="BT34" s="3">
        <v>32</v>
      </c>
      <c r="BU34" s="3">
        <v>12</v>
      </c>
      <c r="BW34" s="3">
        <v>5</v>
      </c>
      <c r="BX34" s="3">
        <v>70</v>
      </c>
      <c r="BY34" s="3">
        <v>52</v>
      </c>
      <c r="CB34" s="3">
        <v>14</v>
      </c>
      <c r="CJ34" s="3">
        <v>5</v>
      </c>
      <c r="CO34" s="3">
        <v>24</v>
      </c>
      <c r="CS34" s="3">
        <v>7</v>
      </c>
      <c r="CV34" s="3">
        <v>5</v>
      </c>
      <c r="DF34" s="3">
        <v>18</v>
      </c>
      <c r="DH34" s="3">
        <v>2</v>
      </c>
      <c r="DL34" s="3">
        <v>40</v>
      </c>
      <c r="DM34" s="3">
        <v>207</v>
      </c>
      <c r="DO34" s="3">
        <v>3</v>
      </c>
      <c r="DP34" s="3">
        <v>4</v>
      </c>
      <c r="DS34" s="3">
        <v>40</v>
      </c>
      <c r="DU34" s="3"/>
      <c r="DV34" s="3">
        <v>44</v>
      </c>
      <c r="DZ34" s="3">
        <v>1</v>
      </c>
      <c r="EB34" s="3">
        <v>1</v>
      </c>
      <c r="EC34" s="3">
        <v>1</v>
      </c>
      <c r="ED34" s="3">
        <v>2</v>
      </c>
      <c r="EJ34" s="3">
        <v>168</v>
      </c>
      <c r="EN34" s="3">
        <v>1</v>
      </c>
      <c r="EW34" s="3">
        <v>13</v>
      </c>
      <c r="FB34" s="3">
        <v>101</v>
      </c>
      <c r="FC34" s="3">
        <v>10</v>
      </c>
      <c r="FE34" s="3">
        <v>1</v>
      </c>
      <c r="FF34" s="3">
        <v>3</v>
      </c>
      <c r="FH34" s="3">
        <v>1</v>
      </c>
      <c r="FM34" s="3">
        <v>1</v>
      </c>
      <c r="FR34" s="3">
        <v>43</v>
      </c>
      <c r="FS34" s="3">
        <v>134</v>
      </c>
      <c r="GE34" s="3">
        <v>5</v>
      </c>
      <c r="GF34" s="3">
        <v>41</v>
      </c>
      <c r="GH34" s="3">
        <f t="shared" si="0"/>
        <v>46</v>
      </c>
      <c r="GI34" s="3">
        <f t="shared" si="1"/>
        <v>37</v>
      </c>
      <c r="GJ34" s="3">
        <f t="shared" si="2"/>
        <v>28</v>
      </c>
      <c r="GK34" s="3">
        <f t="shared" si="3"/>
        <v>1249</v>
      </c>
      <c r="GL34" s="3">
        <f t="shared" si="4"/>
        <v>1650</v>
      </c>
      <c r="GM34" s="3">
        <f t="shared" si="5"/>
        <v>401</v>
      </c>
    </row>
    <row r="35" spans="1:195" ht="15.75" customHeight="1" x14ac:dyDescent="0.15">
      <c r="A35" s="13">
        <v>39192</v>
      </c>
      <c r="B35" s="3" t="s">
        <v>230</v>
      </c>
      <c r="C35" s="16">
        <f t="shared" si="6"/>
        <v>34</v>
      </c>
      <c r="D35" s="3">
        <v>20.753699999999998</v>
      </c>
      <c r="E35" s="3">
        <v>-156.46090699999999</v>
      </c>
      <c r="F35" s="3" t="s">
        <v>197</v>
      </c>
      <c r="G35" s="14">
        <v>0</v>
      </c>
      <c r="H35" s="14">
        <v>4.1666666666666664E-2</v>
      </c>
      <c r="I35" s="3">
        <v>4</v>
      </c>
      <c r="J35" s="3">
        <v>9</v>
      </c>
      <c r="K35" s="3" t="s">
        <v>198</v>
      </c>
      <c r="L35" s="3">
        <v>10</v>
      </c>
      <c r="M35" s="3">
        <v>36</v>
      </c>
      <c r="N35" s="3" t="s">
        <v>253</v>
      </c>
      <c r="P35" s="3">
        <v>36</v>
      </c>
      <c r="R35" s="3">
        <v>14</v>
      </c>
      <c r="Z35" s="3">
        <v>2</v>
      </c>
      <c r="AD35" s="3">
        <v>5</v>
      </c>
      <c r="AM35" s="3">
        <v>9</v>
      </c>
      <c r="AN35" s="3">
        <v>2</v>
      </c>
      <c r="AO35" s="3"/>
      <c r="AP35" s="3">
        <v>5</v>
      </c>
      <c r="BH35" s="3">
        <v>1</v>
      </c>
      <c r="BK35" s="3">
        <v>12</v>
      </c>
      <c r="BM35" s="3">
        <v>18</v>
      </c>
      <c r="BX35" s="3">
        <v>1</v>
      </c>
      <c r="BY35" s="3">
        <v>3</v>
      </c>
      <c r="CC35" s="3">
        <v>1</v>
      </c>
      <c r="DF35" s="3">
        <v>1</v>
      </c>
      <c r="DH35" s="3">
        <v>2</v>
      </c>
      <c r="DM35" s="3">
        <v>1</v>
      </c>
      <c r="DS35" s="3">
        <v>27</v>
      </c>
      <c r="DW35" s="3">
        <v>3</v>
      </c>
      <c r="EJ35" s="3">
        <v>1</v>
      </c>
      <c r="FB35" s="3">
        <v>5</v>
      </c>
      <c r="FH35" s="3">
        <v>3</v>
      </c>
      <c r="FS35" s="3">
        <v>59</v>
      </c>
      <c r="FT35" s="3">
        <v>27</v>
      </c>
      <c r="GH35" s="3">
        <f t="shared" si="0"/>
        <v>22</v>
      </c>
      <c r="GI35" s="3">
        <f t="shared" si="1"/>
        <v>16</v>
      </c>
      <c r="GJ35" s="3">
        <f t="shared" si="2"/>
        <v>10</v>
      </c>
      <c r="GK35" s="3">
        <f t="shared" si="3"/>
        <v>202</v>
      </c>
      <c r="GL35" s="3">
        <f t="shared" si="4"/>
        <v>900</v>
      </c>
      <c r="GM35" s="3">
        <f t="shared" si="5"/>
        <v>698</v>
      </c>
    </row>
    <row r="36" spans="1:195" ht="15.75" customHeight="1" x14ac:dyDescent="0.15">
      <c r="A36" s="13">
        <v>39192</v>
      </c>
      <c r="B36" s="3" t="s">
        <v>246</v>
      </c>
      <c r="C36" s="16">
        <f t="shared" si="6"/>
        <v>35</v>
      </c>
      <c r="D36" s="3">
        <v>21.2882</v>
      </c>
      <c r="E36" s="3">
        <v>-157.66799900000001</v>
      </c>
      <c r="F36" s="3" t="s">
        <v>197</v>
      </c>
      <c r="G36" s="14">
        <v>0</v>
      </c>
      <c r="H36" s="14">
        <v>4.1666666666666664E-2</v>
      </c>
      <c r="I36" s="3">
        <v>3</v>
      </c>
      <c r="J36" s="3">
        <v>20</v>
      </c>
      <c r="K36" s="3" t="s">
        <v>245</v>
      </c>
      <c r="L36" s="3">
        <v>7</v>
      </c>
      <c r="M36" s="3">
        <v>15</v>
      </c>
      <c r="N36" s="3" t="s">
        <v>254</v>
      </c>
      <c r="P36" s="3">
        <v>15</v>
      </c>
      <c r="R36" s="3">
        <v>4</v>
      </c>
      <c r="AB36" s="3">
        <v>7</v>
      </c>
      <c r="AM36" s="3">
        <v>10</v>
      </c>
      <c r="BB36" s="3">
        <v>12</v>
      </c>
      <c r="BF36" s="3">
        <v>1</v>
      </c>
      <c r="BH36" s="3">
        <v>1</v>
      </c>
      <c r="BK36" s="3">
        <v>3</v>
      </c>
      <c r="BM36" s="3">
        <v>10</v>
      </c>
      <c r="BY36" s="3">
        <v>2</v>
      </c>
      <c r="CJ36" s="3">
        <v>4</v>
      </c>
      <c r="DM36" s="3">
        <v>3</v>
      </c>
      <c r="DS36" s="3">
        <v>1</v>
      </c>
      <c r="EJ36" s="3">
        <v>2</v>
      </c>
      <c r="EV36" s="3">
        <v>7</v>
      </c>
      <c r="EW36" s="3">
        <v>12</v>
      </c>
      <c r="FM36" s="3">
        <v>5</v>
      </c>
      <c r="FS36" s="3">
        <v>115</v>
      </c>
      <c r="GH36" s="3">
        <f t="shared" si="0"/>
        <v>17</v>
      </c>
      <c r="GI36" s="3">
        <f t="shared" si="1"/>
        <v>14</v>
      </c>
      <c r="GJ36" s="3">
        <f t="shared" si="2"/>
        <v>8</v>
      </c>
      <c r="GK36" s="3">
        <f t="shared" si="3"/>
        <v>199</v>
      </c>
      <c r="GL36" s="3">
        <f t="shared" si="4"/>
        <v>375</v>
      </c>
      <c r="GM36" s="3">
        <f t="shared" si="5"/>
        <v>176</v>
      </c>
    </row>
    <row r="37" spans="1:195" ht="15.75" customHeight="1" x14ac:dyDescent="0.15">
      <c r="A37" s="13">
        <v>39203</v>
      </c>
      <c r="B37" s="3" t="s">
        <v>230</v>
      </c>
      <c r="C37" s="16">
        <f t="shared" si="6"/>
        <v>36</v>
      </c>
      <c r="D37" s="3">
        <v>20.753699999999998</v>
      </c>
      <c r="E37" s="3">
        <v>-156.46090699999999</v>
      </c>
      <c r="F37" s="3" t="s">
        <v>197</v>
      </c>
      <c r="G37" s="14">
        <v>0</v>
      </c>
      <c r="H37" s="14">
        <v>4.1666666666666664E-2</v>
      </c>
      <c r="I37" s="3">
        <v>5</v>
      </c>
      <c r="J37" s="3">
        <v>18</v>
      </c>
      <c r="K37" s="3" t="s">
        <v>217</v>
      </c>
      <c r="L37" s="3">
        <v>10</v>
      </c>
      <c r="M37" s="3">
        <v>43</v>
      </c>
      <c r="N37" s="3" t="s">
        <v>255</v>
      </c>
      <c r="P37" s="3">
        <v>43</v>
      </c>
      <c r="R37" s="3">
        <v>18</v>
      </c>
      <c r="AX37" s="3">
        <v>1</v>
      </c>
      <c r="BB37" s="3">
        <v>1</v>
      </c>
      <c r="BH37" s="3">
        <v>1</v>
      </c>
      <c r="BM37" s="3">
        <v>73</v>
      </c>
      <c r="BX37" s="3">
        <v>1</v>
      </c>
      <c r="BZ37" s="3">
        <v>1</v>
      </c>
      <c r="CC37" s="3">
        <v>1</v>
      </c>
      <c r="CJ37" s="3">
        <v>1</v>
      </c>
      <c r="CU37" s="3">
        <v>1</v>
      </c>
      <c r="DF37" s="3">
        <v>17</v>
      </c>
      <c r="DM37" s="3">
        <v>1</v>
      </c>
      <c r="DW37" s="3">
        <v>1</v>
      </c>
      <c r="EJ37" s="3">
        <v>9</v>
      </c>
      <c r="FB37" s="3">
        <v>38</v>
      </c>
      <c r="FF37" s="3">
        <v>1</v>
      </c>
      <c r="FS37" s="3">
        <v>44</v>
      </c>
      <c r="FT37" s="3">
        <v>10</v>
      </c>
      <c r="FV37" s="3">
        <v>2</v>
      </c>
      <c r="GE37" s="3">
        <v>5</v>
      </c>
      <c r="GF37" s="3">
        <v>3</v>
      </c>
      <c r="GH37" s="3">
        <f t="shared" si="0"/>
        <v>21</v>
      </c>
      <c r="GI37" s="3">
        <f t="shared" si="1"/>
        <v>10</v>
      </c>
      <c r="GJ37" s="3">
        <f t="shared" si="2"/>
        <v>8</v>
      </c>
      <c r="GK37" s="3">
        <f t="shared" si="3"/>
        <v>230</v>
      </c>
      <c r="GL37" s="3">
        <f t="shared" si="4"/>
        <v>1075</v>
      </c>
      <c r="GM37" s="3">
        <f t="shared" si="5"/>
        <v>845</v>
      </c>
    </row>
    <row r="38" spans="1:195" ht="15.75" customHeight="1" x14ac:dyDescent="0.15">
      <c r="A38" s="13">
        <v>39203</v>
      </c>
      <c r="B38" s="3" t="s">
        <v>216</v>
      </c>
      <c r="C38" s="16">
        <f t="shared" si="6"/>
        <v>37</v>
      </c>
      <c r="D38" s="3">
        <v>21.3002</v>
      </c>
      <c r="E38" s="3">
        <v>-157.882599</v>
      </c>
      <c r="F38" s="3" t="s">
        <v>197</v>
      </c>
      <c r="G38" s="14">
        <v>0</v>
      </c>
      <c r="H38" s="14">
        <v>4.1666666666666664E-2</v>
      </c>
      <c r="I38" s="3">
        <v>4</v>
      </c>
      <c r="J38" s="3">
        <v>30</v>
      </c>
      <c r="K38" s="3" t="s">
        <v>227</v>
      </c>
      <c r="L38" s="3">
        <v>10</v>
      </c>
      <c r="M38" s="3">
        <v>36</v>
      </c>
      <c r="N38" s="3" t="s">
        <v>256</v>
      </c>
      <c r="P38" s="3">
        <v>36</v>
      </c>
      <c r="R38" s="3">
        <v>26</v>
      </c>
      <c r="AC38" s="3">
        <v>1</v>
      </c>
      <c r="AM38" s="3">
        <v>6</v>
      </c>
      <c r="BB38" s="3">
        <v>4</v>
      </c>
      <c r="BC38" s="3">
        <v>1</v>
      </c>
      <c r="BH38" s="3">
        <v>1</v>
      </c>
      <c r="BM38" s="3">
        <v>5</v>
      </c>
      <c r="CC38" s="3">
        <v>1</v>
      </c>
      <c r="CD38" s="3">
        <v>2</v>
      </c>
      <c r="CW38" s="3">
        <v>1</v>
      </c>
      <c r="DS38" s="3">
        <v>7</v>
      </c>
      <c r="DZ38" s="3">
        <v>1</v>
      </c>
      <c r="EJ38" s="3">
        <v>42</v>
      </c>
      <c r="FM38" s="3">
        <v>12</v>
      </c>
      <c r="FS38" s="3">
        <v>163</v>
      </c>
      <c r="GF38" s="3">
        <v>9</v>
      </c>
      <c r="GH38" s="3">
        <f t="shared" si="0"/>
        <v>16</v>
      </c>
      <c r="GI38" s="3">
        <f t="shared" si="1"/>
        <v>10</v>
      </c>
      <c r="GJ38" s="3">
        <f t="shared" si="2"/>
        <v>8</v>
      </c>
      <c r="GK38" s="3">
        <f t="shared" si="3"/>
        <v>282</v>
      </c>
      <c r="GL38" s="3">
        <f t="shared" si="4"/>
        <v>900</v>
      </c>
      <c r="GM38" s="3">
        <f t="shared" si="5"/>
        <v>618</v>
      </c>
    </row>
    <row r="39" spans="1:195" ht="15.75" customHeight="1" x14ac:dyDescent="0.15">
      <c r="A39" s="13">
        <v>39204</v>
      </c>
      <c r="B39" s="3" t="s">
        <v>219</v>
      </c>
      <c r="C39" s="16">
        <f t="shared" si="6"/>
        <v>38</v>
      </c>
      <c r="D39" s="3">
        <v>21.295798999999999</v>
      </c>
      <c r="E39" s="3">
        <v>-158.10369900000001</v>
      </c>
      <c r="F39" s="3" t="s">
        <v>197</v>
      </c>
      <c r="G39" s="14">
        <v>0</v>
      </c>
      <c r="H39" s="14">
        <v>4.1666666666666664E-2</v>
      </c>
      <c r="I39" s="3">
        <v>5</v>
      </c>
      <c r="J39" s="3">
        <v>30</v>
      </c>
      <c r="K39" s="3" t="s">
        <v>237</v>
      </c>
      <c r="L39" s="3">
        <v>7</v>
      </c>
      <c r="M39" s="3">
        <v>22</v>
      </c>
      <c r="N39" s="3" t="s">
        <v>257</v>
      </c>
      <c r="P39" s="3">
        <v>22</v>
      </c>
      <c r="R39" s="3">
        <v>21</v>
      </c>
      <c r="AF39" s="3">
        <v>1</v>
      </c>
      <c r="AM39" s="3">
        <v>1</v>
      </c>
      <c r="BB39" s="3">
        <v>5</v>
      </c>
      <c r="BD39" s="3">
        <v>2</v>
      </c>
      <c r="BM39" s="3">
        <v>13</v>
      </c>
      <c r="BW39" s="3">
        <v>6</v>
      </c>
      <c r="BX39" s="3">
        <v>2</v>
      </c>
      <c r="CO39" s="3">
        <v>2</v>
      </c>
      <c r="CS39" s="3">
        <v>1</v>
      </c>
      <c r="DM39" s="3">
        <v>4</v>
      </c>
      <c r="DS39" s="3">
        <v>1</v>
      </c>
      <c r="DZ39" s="3">
        <v>2</v>
      </c>
      <c r="EC39" s="3">
        <v>1</v>
      </c>
      <c r="ED39" s="3">
        <v>1</v>
      </c>
      <c r="EJ39" s="3">
        <v>69</v>
      </c>
      <c r="FB39" s="3">
        <v>11</v>
      </c>
      <c r="FC39" s="3">
        <v>5</v>
      </c>
      <c r="FE39" s="3">
        <v>1</v>
      </c>
      <c r="FH39" s="3">
        <v>7</v>
      </c>
      <c r="FS39" s="3">
        <v>159</v>
      </c>
      <c r="GF39" s="3">
        <v>18</v>
      </c>
      <c r="GH39" s="3">
        <f t="shared" si="0"/>
        <v>22</v>
      </c>
      <c r="GI39" s="3">
        <f t="shared" si="1"/>
        <v>15</v>
      </c>
      <c r="GJ39" s="3">
        <f t="shared" si="2"/>
        <v>10</v>
      </c>
      <c r="GK39" s="3">
        <f t="shared" si="3"/>
        <v>333</v>
      </c>
      <c r="GL39" s="3">
        <f t="shared" si="4"/>
        <v>550</v>
      </c>
      <c r="GM39" s="3">
        <f t="shared" si="5"/>
        <v>217</v>
      </c>
    </row>
    <row r="40" spans="1:195" ht="15.75" customHeight="1" x14ac:dyDescent="0.15">
      <c r="A40" s="13">
        <v>39206</v>
      </c>
      <c r="B40" s="3" t="s">
        <v>216</v>
      </c>
      <c r="C40" s="16">
        <f t="shared" si="6"/>
        <v>39</v>
      </c>
      <c r="D40" s="3">
        <v>21.3002</v>
      </c>
      <c r="E40" s="3">
        <v>-157.882599</v>
      </c>
      <c r="F40" s="3" t="s">
        <v>197</v>
      </c>
      <c r="G40" s="14">
        <v>0</v>
      </c>
      <c r="H40" s="14">
        <v>4.1666666666666664E-2</v>
      </c>
      <c r="I40" s="3">
        <v>4</v>
      </c>
      <c r="J40" s="3">
        <v>30</v>
      </c>
      <c r="K40" s="3" t="s">
        <v>237</v>
      </c>
      <c r="L40" s="3">
        <v>7</v>
      </c>
      <c r="M40" s="3">
        <v>20</v>
      </c>
      <c r="N40" s="3" t="s">
        <v>258</v>
      </c>
      <c r="P40" s="3">
        <v>20</v>
      </c>
      <c r="R40" s="3">
        <v>5</v>
      </c>
      <c r="AE40" s="3">
        <v>2</v>
      </c>
      <c r="AM40" s="3">
        <v>5</v>
      </c>
      <c r="AN40" s="3">
        <v>2</v>
      </c>
      <c r="BD40" s="3">
        <v>3</v>
      </c>
      <c r="BH40" s="3">
        <v>1</v>
      </c>
      <c r="BM40" s="3">
        <v>20</v>
      </c>
      <c r="BW40" s="3">
        <v>4</v>
      </c>
      <c r="CW40" s="3">
        <v>1</v>
      </c>
      <c r="DQ40" s="3">
        <v>4</v>
      </c>
      <c r="DS40" s="3">
        <v>56</v>
      </c>
      <c r="EJ40" s="3">
        <v>17</v>
      </c>
      <c r="FF40" s="3">
        <v>1</v>
      </c>
      <c r="FJ40" s="3">
        <v>1</v>
      </c>
      <c r="FM40" s="3">
        <v>2</v>
      </c>
      <c r="FS40" s="3">
        <v>58</v>
      </c>
      <c r="GH40" s="3">
        <f t="shared" si="0"/>
        <v>16</v>
      </c>
      <c r="GI40" s="3">
        <f t="shared" si="1"/>
        <v>12</v>
      </c>
      <c r="GJ40" s="3">
        <f t="shared" si="2"/>
        <v>6</v>
      </c>
      <c r="GK40" s="3">
        <f t="shared" si="3"/>
        <v>182</v>
      </c>
      <c r="GL40" s="3">
        <f t="shared" si="4"/>
        <v>500</v>
      </c>
      <c r="GM40" s="3">
        <f t="shared" si="5"/>
        <v>318</v>
      </c>
    </row>
    <row r="41" spans="1:195" ht="15.75" customHeight="1" x14ac:dyDescent="0.15">
      <c r="A41" s="13">
        <v>39217</v>
      </c>
      <c r="B41" s="3" t="s">
        <v>259</v>
      </c>
      <c r="C41" s="16">
        <f t="shared" si="6"/>
        <v>40</v>
      </c>
      <c r="D41" s="3">
        <v>19.737894000000001</v>
      </c>
      <c r="E41" s="3">
        <v>-155.03405799999999</v>
      </c>
      <c r="F41" s="3" t="s">
        <v>197</v>
      </c>
      <c r="G41" s="14">
        <v>0</v>
      </c>
      <c r="H41" s="14">
        <v>4.1666666666666664E-2</v>
      </c>
      <c r="I41" s="3">
        <v>6</v>
      </c>
      <c r="J41" s="3">
        <v>18</v>
      </c>
      <c r="K41" s="3" t="s">
        <v>227</v>
      </c>
      <c r="L41" s="3">
        <v>7</v>
      </c>
      <c r="M41" s="3">
        <v>22</v>
      </c>
      <c r="N41" s="3" t="s">
        <v>260</v>
      </c>
      <c r="P41" s="3">
        <v>22</v>
      </c>
      <c r="AK41" s="3">
        <v>6</v>
      </c>
      <c r="BU41" s="3">
        <v>3</v>
      </c>
      <c r="BX41" s="3">
        <v>1</v>
      </c>
      <c r="CC41" s="3">
        <v>1</v>
      </c>
      <c r="CO41" s="3">
        <v>46</v>
      </c>
      <c r="DH41" s="3">
        <v>4</v>
      </c>
      <c r="ED41" s="3">
        <v>2</v>
      </c>
      <c r="EJ41" s="3">
        <v>108</v>
      </c>
      <c r="FS41" s="3">
        <v>8</v>
      </c>
      <c r="GE41" s="3">
        <v>3</v>
      </c>
      <c r="GF41" s="3">
        <v>11</v>
      </c>
      <c r="GH41" s="3">
        <f t="shared" si="0"/>
        <v>11</v>
      </c>
      <c r="GI41" s="3">
        <f t="shared" si="1"/>
        <v>9</v>
      </c>
      <c r="GJ41" s="3">
        <f t="shared" si="2"/>
        <v>5</v>
      </c>
      <c r="GK41" s="3">
        <f t="shared" si="3"/>
        <v>193</v>
      </c>
      <c r="GL41" s="3">
        <f t="shared" si="4"/>
        <v>550</v>
      </c>
      <c r="GM41" s="3">
        <f t="shared" si="5"/>
        <v>357</v>
      </c>
    </row>
    <row r="42" spans="1:195" ht="15.75" customHeight="1" x14ac:dyDescent="0.15">
      <c r="A42" s="13">
        <v>39218</v>
      </c>
      <c r="B42" s="3" t="s">
        <v>216</v>
      </c>
      <c r="C42" s="16">
        <f t="shared" si="6"/>
        <v>41</v>
      </c>
      <c r="D42" s="3">
        <v>21.3002</v>
      </c>
      <c r="E42" s="3">
        <v>-157.882599</v>
      </c>
      <c r="F42" s="3" t="s">
        <v>197</v>
      </c>
      <c r="G42" s="14">
        <v>0</v>
      </c>
      <c r="H42" s="14">
        <v>4.1666666666666664E-2</v>
      </c>
      <c r="I42" s="3">
        <v>5</v>
      </c>
      <c r="J42" s="3">
        <v>30</v>
      </c>
      <c r="K42" s="3" t="s">
        <v>237</v>
      </c>
      <c r="L42" s="3">
        <v>7</v>
      </c>
      <c r="M42" s="3">
        <v>15</v>
      </c>
      <c r="N42" s="3" t="s">
        <v>261</v>
      </c>
      <c r="P42" s="3">
        <v>15</v>
      </c>
      <c r="R42" s="3">
        <v>6</v>
      </c>
      <c r="BD42" s="3">
        <v>2</v>
      </c>
      <c r="BK42" s="3">
        <v>1</v>
      </c>
      <c r="BW42" s="3">
        <v>1</v>
      </c>
      <c r="DQ42" s="3">
        <v>1</v>
      </c>
      <c r="DS42" s="3">
        <v>16</v>
      </c>
      <c r="EJ42" s="3">
        <v>30</v>
      </c>
      <c r="FN42" s="3">
        <v>1</v>
      </c>
      <c r="FS42" s="3">
        <v>96</v>
      </c>
      <c r="GE42" s="3">
        <v>1</v>
      </c>
      <c r="GH42" s="3">
        <f t="shared" si="0"/>
        <v>10</v>
      </c>
      <c r="GI42" s="3">
        <f t="shared" si="1"/>
        <v>5</v>
      </c>
      <c r="GJ42" s="3">
        <f t="shared" si="2"/>
        <v>4</v>
      </c>
      <c r="GK42" s="3">
        <f t="shared" si="3"/>
        <v>155</v>
      </c>
      <c r="GL42" s="3">
        <f t="shared" si="4"/>
        <v>375</v>
      </c>
      <c r="GM42" s="3">
        <f t="shared" si="5"/>
        <v>220</v>
      </c>
    </row>
    <row r="43" spans="1:195" ht="15.75" customHeight="1" x14ac:dyDescent="0.15">
      <c r="A43" s="13">
        <v>39219</v>
      </c>
      <c r="B43" s="3" t="s">
        <v>247</v>
      </c>
      <c r="C43" s="16">
        <f t="shared" si="6"/>
        <v>42</v>
      </c>
      <c r="D43" s="3">
        <v>19.488199000000002</v>
      </c>
      <c r="E43" s="3">
        <v>-154.81930500000001</v>
      </c>
      <c r="F43" s="3" t="s">
        <v>197</v>
      </c>
      <c r="G43" s="14">
        <v>0</v>
      </c>
      <c r="H43" s="14">
        <v>4.1666666666666664E-2</v>
      </c>
      <c r="I43" s="3">
        <v>5</v>
      </c>
      <c r="J43" s="3">
        <v>20</v>
      </c>
      <c r="K43" s="3" t="s">
        <v>217</v>
      </c>
      <c r="L43" s="3">
        <v>10</v>
      </c>
      <c r="M43" s="3">
        <v>49</v>
      </c>
      <c r="N43" s="3" t="s">
        <v>262</v>
      </c>
      <c r="P43" s="3">
        <v>49</v>
      </c>
      <c r="AM43" s="3">
        <v>27</v>
      </c>
      <c r="BK43" s="3">
        <v>55</v>
      </c>
      <c r="BM43" s="3">
        <v>135</v>
      </c>
      <c r="BX43" s="3">
        <v>27</v>
      </c>
      <c r="CC43" s="3">
        <v>13</v>
      </c>
      <c r="CD43" s="3">
        <v>1</v>
      </c>
      <c r="DL43" s="3">
        <v>8</v>
      </c>
      <c r="DM43" s="3">
        <v>18</v>
      </c>
      <c r="DO43" s="3">
        <v>1</v>
      </c>
      <c r="DQ43" s="3">
        <v>26</v>
      </c>
      <c r="DS43" s="3">
        <v>9</v>
      </c>
      <c r="DX43" s="3">
        <v>23</v>
      </c>
      <c r="EI43" s="3">
        <v>1</v>
      </c>
      <c r="EJ43" s="3">
        <v>16</v>
      </c>
      <c r="EP43" s="3">
        <v>5</v>
      </c>
      <c r="ER43" s="3">
        <v>108</v>
      </c>
      <c r="FG43" s="3">
        <v>1</v>
      </c>
      <c r="FM43" s="3">
        <v>50</v>
      </c>
      <c r="FS43" s="3">
        <v>597</v>
      </c>
      <c r="FV43" s="3">
        <v>2</v>
      </c>
      <c r="FX43" s="3"/>
      <c r="FY43" s="3">
        <v>2</v>
      </c>
      <c r="GE43" s="3">
        <v>3</v>
      </c>
      <c r="GF43" s="3">
        <v>1</v>
      </c>
      <c r="GH43" s="3">
        <f t="shared" si="0"/>
        <v>23</v>
      </c>
      <c r="GI43" s="3">
        <f t="shared" si="1"/>
        <v>18</v>
      </c>
      <c r="GJ43" s="3">
        <f t="shared" si="2"/>
        <v>15</v>
      </c>
      <c r="GK43" s="3">
        <f t="shared" si="3"/>
        <v>1129</v>
      </c>
      <c r="GL43" s="3">
        <f t="shared" si="4"/>
        <v>1225</v>
      </c>
      <c r="GM43" s="3">
        <f t="shared" si="5"/>
        <v>96</v>
      </c>
    </row>
    <row r="44" spans="1:195" ht="15.75" customHeight="1" x14ac:dyDescent="0.15">
      <c r="A44" s="13">
        <v>39220</v>
      </c>
      <c r="B44" s="3" t="s">
        <v>219</v>
      </c>
      <c r="C44" s="16">
        <f t="shared" si="6"/>
        <v>43</v>
      </c>
      <c r="D44" s="3">
        <v>21.295798999999999</v>
      </c>
      <c r="E44" s="3">
        <v>-158.10369900000001</v>
      </c>
      <c r="F44" s="3" t="s">
        <v>197</v>
      </c>
      <c r="G44" s="14">
        <v>0</v>
      </c>
      <c r="H44" s="14">
        <v>4.1666666666666664E-2</v>
      </c>
      <c r="I44" s="3">
        <v>5</v>
      </c>
      <c r="J44" s="3">
        <v>30</v>
      </c>
      <c r="K44" s="3" t="s">
        <v>237</v>
      </c>
      <c r="L44" s="3">
        <v>7</v>
      </c>
      <c r="M44" s="3">
        <v>28</v>
      </c>
      <c r="N44" s="3" t="s">
        <v>263</v>
      </c>
      <c r="P44" s="3">
        <v>28</v>
      </c>
      <c r="R44" s="3">
        <v>24</v>
      </c>
      <c r="AM44" s="3">
        <v>1</v>
      </c>
      <c r="BB44" s="3">
        <v>5</v>
      </c>
      <c r="BM44" s="3">
        <v>19</v>
      </c>
      <c r="BT44" s="3">
        <v>2</v>
      </c>
      <c r="BW44" s="3">
        <v>13</v>
      </c>
      <c r="BX44" s="3">
        <v>4</v>
      </c>
      <c r="CC44" s="3">
        <v>1</v>
      </c>
      <c r="DD44" s="3">
        <v>1</v>
      </c>
      <c r="DE44" s="3">
        <v>3</v>
      </c>
      <c r="DH44" s="3">
        <v>2</v>
      </c>
      <c r="DL44" s="3">
        <v>4</v>
      </c>
      <c r="DM44" s="3">
        <v>28</v>
      </c>
      <c r="DS44" s="3">
        <v>6</v>
      </c>
      <c r="DU44" s="3"/>
      <c r="DV44" s="3">
        <v>3</v>
      </c>
      <c r="EC44" s="3">
        <v>6</v>
      </c>
      <c r="EJ44" s="3">
        <v>196</v>
      </c>
      <c r="EW44" s="3">
        <v>1</v>
      </c>
      <c r="FB44" s="3">
        <v>28</v>
      </c>
      <c r="FC44" s="3">
        <v>1</v>
      </c>
      <c r="FH44" s="3">
        <v>1</v>
      </c>
      <c r="FM44" s="3">
        <v>2</v>
      </c>
      <c r="FS44" s="3">
        <v>189</v>
      </c>
      <c r="GE44" s="3">
        <v>1</v>
      </c>
      <c r="GF44" s="3">
        <v>3</v>
      </c>
      <c r="GH44" s="3">
        <f t="shared" si="0"/>
        <v>25</v>
      </c>
      <c r="GI44" s="3">
        <f t="shared" si="1"/>
        <v>18</v>
      </c>
      <c r="GJ44" s="3">
        <f t="shared" si="2"/>
        <v>10</v>
      </c>
      <c r="GK44" s="3">
        <f t="shared" si="3"/>
        <v>544</v>
      </c>
      <c r="GL44" s="3">
        <f t="shared" si="4"/>
        <v>700</v>
      </c>
      <c r="GM44" s="3">
        <f t="shared" si="5"/>
        <v>156</v>
      </c>
    </row>
    <row r="45" spans="1:195" ht="15.75" customHeight="1" x14ac:dyDescent="0.15">
      <c r="A45" s="13">
        <v>39501</v>
      </c>
      <c r="B45" s="3" t="s">
        <v>250</v>
      </c>
      <c r="C45" s="16">
        <f t="shared" si="6"/>
        <v>44</v>
      </c>
      <c r="D45" s="3">
        <v>21.410399999999999</v>
      </c>
      <c r="E45" s="3">
        <v>-158.17770400000001</v>
      </c>
      <c r="F45" s="3" t="s">
        <v>197</v>
      </c>
      <c r="G45" s="14">
        <v>0</v>
      </c>
      <c r="H45" s="14">
        <v>4.1666666666666664E-2</v>
      </c>
      <c r="I45" s="3">
        <v>4</v>
      </c>
      <c r="J45" s="3">
        <v>21</v>
      </c>
      <c r="K45" s="3" t="s">
        <v>217</v>
      </c>
      <c r="L45" s="3">
        <v>11</v>
      </c>
      <c r="M45" s="3">
        <v>41</v>
      </c>
      <c r="N45" s="3" t="s">
        <v>264</v>
      </c>
      <c r="P45" s="3">
        <v>41</v>
      </c>
      <c r="R45" s="3">
        <v>272</v>
      </c>
      <c r="Y45" s="3"/>
      <c r="Z45" s="3">
        <v>1</v>
      </c>
      <c r="AM45" s="3">
        <v>3</v>
      </c>
      <c r="AR45" s="3">
        <v>1</v>
      </c>
      <c r="AX45" s="3">
        <v>19</v>
      </c>
      <c r="BH45" s="3">
        <v>2</v>
      </c>
      <c r="BM45" s="3">
        <v>24</v>
      </c>
      <c r="BQ45" s="3">
        <v>77</v>
      </c>
      <c r="BV45" s="3">
        <v>11</v>
      </c>
      <c r="BZ45" s="3">
        <v>75</v>
      </c>
      <c r="CC45" s="3">
        <v>37</v>
      </c>
      <c r="CD45" s="3">
        <v>28</v>
      </c>
      <c r="CJ45" s="3">
        <v>2</v>
      </c>
      <c r="CK45" s="3">
        <v>24</v>
      </c>
      <c r="DD45" s="3">
        <v>14</v>
      </c>
      <c r="DF45" s="3">
        <v>2</v>
      </c>
      <c r="DM45" s="3">
        <v>16</v>
      </c>
      <c r="DS45" s="3">
        <v>18</v>
      </c>
      <c r="EJ45" s="3">
        <v>1</v>
      </c>
      <c r="EV45" s="3">
        <v>75</v>
      </c>
      <c r="FM45" s="3">
        <v>1</v>
      </c>
      <c r="FS45" s="3">
        <v>136</v>
      </c>
      <c r="FT45" s="3">
        <v>31</v>
      </c>
      <c r="GH45" s="3">
        <f t="shared" si="0"/>
        <v>23</v>
      </c>
      <c r="GI45" s="3">
        <f t="shared" si="1"/>
        <v>19</v>
      </c>
      <c r="GJ45" s="3">
        <f t="shared" si="2"/>
        <v>15</v>
      </c>
      <c r="GK45" s="3">
        <f t="shared" si="3"/>
        <v>870</v>
      </c>
      <c r="GL45" s="3">
        <f t="shared" si="4"/>
        <v>1025</v>
      </c>
      <c r="GM45" s="3">
        <f t="shared" si="5"/>
        <v>155</v>
      </c>
    </row>
    <row r="46" spans="1:195" ht="15.75" customHeight="1" x14ac:dyDescent="0.15">
      <c r="A46" s="13">
        <v>42420</v>
      </c>
      <c r="B46" s="3" t="s">
        <v>216</v>
      </c>
      <c r="C46" s="16">
        <f t="shared" si="6"/>
        <v>45</v>
      </c>
      <c r="D46" s="3">
        <v>21.3002</v>
      </c>
      <c r="E46" s="3">
        <v>-157.882599</v>
      </c>
      <c r="F46" s="3" t="s">
        <v>197</v>
      </c>
      <c r="G46" s="14">
        <v>0.36388888888888887</v>
      </c>
      <c r="H46" s="14">
        <v>0.43055555555555558</v>
      </c>
      <c r="I46" s="3">
        <v>7</v>
      </c>
      <c r="J46" s="3">
        <v>25</v>
      </c>
      <c r="K46" s="3" t="s">
        <v>198</v>
      </c>
      <c r="L46" s="3">
        <v>13</v>
      </c>
      <c r="M46" s="3">
        <v>75</v>
      </c>
      <c r="N46" s="3" t="s">
        <v>265</v>
      </c>
      <c r="P46" s="3">
        <v>75</v>
      </c>
      <c r="R46" s="3">
        <v>1</v>
      </c>
      <c r="S46" s="3">
        <v>1</v>
      </c>
      <c r="AB46" s="3">
        <v>341</v>
      </c>
      <c r="AC46" s="3">
        <v>7</v>
      </c>
      <c r="AE46" s="3">
        <v>1</v>
      </c>
      <c r="AG46" s="3">
        <v>13</v>
      </c>
      <c r="AH46" s="3">
        <v>3</v>
      </c>
      <c r="AI46" s="3">
        <v>8</v>
      </c>
      <c r="AM46" s="3">
        <v>171</v>
      </c>
      <c r="AX46" s="3">
        <v>1</v>
      </c>
      <c r="BE46" s="3">
        <v>9</v>
      </c>
      <c r="BK46" s="3">
        <v>1</v>
      </c>
      <c r="BM46" s="3">
        <v>113</v>
      </c>
      <c r="BN46" s="3">
        <v>35</v>
      </c>
      <c r="BQ46" s="3">
        <v>10</v>
      </c>
      <c r="BV46" s="3">
        <v>11</v>
      </c>
      <c r="BZ46" s="3">
        <v>1</v>
      </c>
      <c r="CC46" s="3">
        <v>3</v>
      </c>
      <c r="CV46" s="3">
        <v>1</v>
      </c>
      <c r="CW46" s="3">
        <v>1</v>
      </c>
      <c r="CX46" s="3">
        <v>1</v>
      </c>
      <c r="DG46" s="3">
        <v>3</v>
      </c>
      <c r="DN46" s="3">
        <v>9</v>
      </c>
      <c r="DO46" s="3">
        <v>1</v>
      </c>
      <c r="DQ46" s="3">
        <v>66</v>
      </c>
      <c r="EC46" s="3">
        <v>15</v>
      </c>
      <c r="EJ46" s="3">
        <v>32</v>
      </c>
      <c r="FF46" s="3">
        <v>1</v>
      </c>
      <c r="FJ46" s="3"/>
      <c r="FK46" s="3"/>
      <c r="FL46" s="3">
        <v>1</v>
      </c>
      <c r="FQ46" s="3">
        <v>7</v>
      </c>
      <c r="FS46" s="3">
        <v>495</v>
      </c>
      <c r="FU46" s="3">
        <v>8</v>
      </c>
      <c r="GH46" s="3">
        <f t="shared" si="0"/>
        <v>32</v>
      </c>
      <c r="GI46" s="3">
        <f t="shared" si="1"/>
        <v>20</v>
      </c>
      <c r="GJ46" s="3">
        <f t="shared" si="2"/>
        <v>17</v>
      </c>
      <c r="GK46" s="3">
        <f t="shared" si="3"/>
        <v>1371</v>
      </c>
      <c r="GL46" s="3">
        <f t="shared" si="4"/>
        <v>1875</v>
      </c>
      <c r="GM46" s="3">
        <f t="shared" si="5"/>
        <v>504</v>
      </c>
    </row>
    <row r="47" spans="1:195" ht="15.75" customHeight="1" x14ac:dyDescent="0.15">
      <c r="A47" s="13">
        <v>42427</v>
      </c>
      <c r="B47" s="3" t="s">
        <v>266</v>
      </c>
      <c r="C47" s="16">
        <f t="shared" si="6"/>
        <v>46</v>
      </c>
      <c r="D47" s="3">
        <v>22.060683999999998</v>
      </c>
      <c r="E47" s="3">
        <v>-159.318512</v>
      </c>
      <c r="F47" s="3" t="s">
        <v>197</v>
      </c>
      <c r="G47" s="14">
        <v>0.4826388888888889</v>
      </c>
      <c r="H47" s="14">
        <v>0.54166666666666663</v>
      </c>
      <c r="I47" s="3">
        <v>3</v>
      </c>
      <c r="J47" s="3">
        <v>16</v>
      </c>
      <c r="K47" s="3" t="s">
        <v>198</v>
      </c>
      <c r="L47" s="3">
        <v>15</v>
      </c>
      <c r="M47" s="3">
        <v>40</v>
      </c>
      <c r="N47" s="3" t="s">
        <v>267</v>
      </c>
      <c r="P47" s="3">
        <v>40</v>
      </c>
      <c r="R47" s="3">
        <v>6</v>
      </c>
      <c r="T47" s="3">
        <v>1</v>
      </c>
      <c r="W47" s="3"/>
      <c r="X47" s="3">
        <v>1</v>
      </c>
      <c r="AB47" s="3">
        <v>10</v>
      </c>
      <c r="AC47" s="3">
        <v>6</v>
      </c>
      <c r="AD47" s="3">
        <v>1</v>
      </c>
      <c r="AG47" s="3">
        <v>2</v>
      </c>
      <c r="AI47" s="3">
        <v>2</v>
      </c>
      <c r="AM47" s="3">
        <v>26</v>
      </c>
      <c r="AX47" s="3">
        <v>8</v>
      </c>
      <c r="BB47" s="3">
        <v>24</v>
      </c>
      <c r="BN47" s="3">
        <v>449</v>
      </c>
      <c r="BV47" s="3">
        <v>7</v>
      </c>
      <c r="DG47" s="3">
        <v>7</v>
      </c>
      <c r="DM47" s="3">
        <v>3</v>
      </c>
      <c r="DO47" s="3">
        <v>4</v>
      </c>
      <c r="DU47" s="3"/>
      <c r="DV47" s="3">
        <v>5</v>
      </c>
      <c r="EJ47" s="3">
        <v>77</v>
      </c>
      <c r="EN47" s="3">
        <v>4</v>
      </c>
      <c r="FB47" s="3">
        <v>21</v>
      </c>
      <c r="FI47" s="3">
        <v>8</v>
      </c>
      <c r="FR47" s="3">
        <v>35</v>
      </c>
      <c r="FS47" s="3">
        <v>12</v>
      </c>
      <c r="FX47" s="3"/>
      <c r="FY47" s="3">
        <v>15</v>
      </c>
      <c r="GH47" s="3">
        <f t="shared" si="0"/>
        <v>24</v>
      </c>
      <c r="GI47" s="3">
        <f t="shared" si="1"/>
        <v>21</v>
      </c>
      <c r="GJ47" s="3">
        <f t="shared" si="2"/>
        <v>16</v>
      </c>
      <c r="GK47" s="3">
        <f t="shared" si="3"/>
        <v>734</v>
      </c>
      <c r="GL47" s="3">
        <f t="shared" si="4"/>
        <v>1000</v>
      </c>
      <c r="GM47" s="3">
        <f t="shared" si="5"/>
        <v>266</v>
      </c>
    </row>
    <row r="48" spans="1:195" ht="15.75" customHeight="1" x14ac:dyDescent="0.15">
      <c r="A48" s="13">
        <v>42428</v>
      </c>
      <c r="B48" s="3" t="s">
        <v>266</v>
      </c>
      <c r="C48" s="16">
        <f t="shared" si="6"/>
        <v>47</v>
      </c>
      <c r="D48" s="3">
        <v>22.060683999999998</v>
      </c>
      <c r="E48" s="3">
        <v>-159.318512</v>
      </c>
      <c r="F48" s="3" t="s">
        <v>197</v>
      </c>
      <c r="G48" s="14">
        <v>0.48958333333333331</v>
      </c>
      <c r="H48" s="14">
        <v>0.5625</v>
      </c>
      <c r="I48" s="3">
        <v>3</v>
      </c>
      <c r="J48" s="3">
        <v>21</v>
      </c>
      <c r="K48" s="3" t="s">
        <v>198</v>
      </c>
      <c r="L48" s="3">
        <v>15</v>
      </c>
      <c r="M48" s="3">
        <v>43</v>
      </c>
      <c r="N48" s="3" t="s">
        <v>268</v>
      </c>
      <c r="P48" s="3">
        <v>43</v>
      </c>
      <c r="R48" s="3">
        <v>4</v>
      </c>
      <c r="T48" s="3">
        <v>26</v>
      </c>
      <c r="AB48" s="3">
        <v>6</v>
      </c>
      <c r="AD48" s="3">
        <v>4</v>
      </c>
      <c r="AM48" s="3">
        <v>30</v>
      </c>
      <c r="AX48" s="3">
        <v>1</v>
      </c>
      <c r="AZ48" s="3">
        <v>2</v>
      </c>
      <c r="BB48" s="3">
        <v>30</v>
      </c>
      <c r="BM48" s="3">
        <v>19</v>
      </c>
      <c r="BN48" s="3">
        <v>503</v>
      </c>
      <c r="BO48" s="3"/>
      <c r="BP48" s="3">
        <v>1</v>
      </c>
      <c r="BQ48" s="3">
        <v>1</v>
      </c>
      <c r="BV48" s="3">
        <v>5</v>
      </c>
      <c r="BZ48" s="3">
        <v>3</v>
      </c>
      <c r="CK48" s="3">
        <v>4</v>
      </c>
      <c r="DG48" s="3">
        <v>3</v>
      </c>
      <c r="DM48" s="3">
        <v>6</v>
      </c>
      <c r="DU48" s="3"/>
      <c r="DV48" s="3">
        <v>40</v>
      </c>
      <c r="EJ48" s="3">
        <v>43</v>
      </c>
      <c r="FB48" s="3">
        <v>6</v>
      </c>
      <c r="FC48" s="3">
        <v>1</v>
      </c>
      <c r="FI48" s="3">
        <v>19</v>
      </c>
      <c r="FR48" s="3">
        <v>6</v>
      </c>
      <c r="FS48" s="3">
        <v>26</v>
      </c>
      <c r="GH48" s="3">
        <f t="shared" si="0"/>
        <v>24</v>
      </c>
      <c r="GI48" s="3">
        <f t="shared" si="1"/>
        <v>20</v>
      </c>
      <c r="GJ48" s="3">
        <f t="shared" si="2"/>
        <v>14</v>
      </c>
      <c r="GK48" s="3">
        <f t="shared" si="3"/>
        <v>789</v>
      </c>
      <c r="GL48" s="3">
        <f t="shared" si="4"/>
        <v>1075</v>
      </c>
      <c r="GM48" s="3">
        <f t="shared" si="5"/>
        <v>286</v>
      </c>
    </row>
    <row r="49" spans="1:217" ht="15.75" customHeight="1" x14ac:dyDescent="0.15">
      <c r="A49" s="19">
        <v>42428</v>
      </c>
      <c r="B49" s="20" t="s">
        <v>201</v>
      </c>
      <c r="D49" s="20">
        <v>21.25544</v>
      </c>
      <c r="E49" s="20">
        <v>-157.810303</v>
      </c>
      <c r="F49" s="20" t="s">
        <v>197</v>
      </c>
      <c r="G49" s="21"/>
      <c r="H49" s="21"/>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c r="DA49" s="20"/>
      <c r="DB49" s="20"/>
      <c r="DC49" s="20"/>
      <c r="DD49" s="20"/>
      <c r="DE49" s="20"/>
      <c r="DF49" s="20"/>
      <c r="DG49" s="20"/>
      <c r="DH49" s="20"/>
      <c r="DI49" s="20"/>
      <c r="DJ49" s="20"/>
      <c r="DK49" s="20"/>
      <c r="DL49" s="20"/>
      <c r="DM49" s="20"/>
      <c r="DN49" s="20"/>
      <c r="DO49" s="20"/>
      <c r="DP49" s="20"/>
      <c r="DQ49" s="20"/>
      <c r="DR49" s="20"/>
      <c r="DS49" s="20"/>
      <c r="DT49" s="20"/>
      <c r="DU49" s="20"/>
      <c r="DV49" s="20"/>
      <c r="DW49" s="20"/>
      <c r="DX49" s="20"/>
      <c r="DY49" s="20"/>
      <c r="DZ49" s="20"/>
      <c r="EA49" s="20"/>
      <c r="EB49" s="20"/>
      <c r="EC49" s="20"/>
      <c r="ED49" s="20"/>
      <c r="EE49" s="20"/>
      <c r="EF49" s="20"/>
      <c r="EG49" s="20"/>
      <c r="EH49" s="20"/>
      <c r="EI49" s="20"/>
      <c r="EJ49" s="20"/>
      <c r="EK49" s="20"/>
      <c r="EL49" s="20"/>
      <c r="EM49" s="20"/>
      <c r="EN49" s="20"/>
      <c r="EO49" s="20"/>
      <c r="EP49" s="20"/>
      <c r="EQ49" s="20"/>
      <c r="ER49" s="20"/>
      <c r="ES49" s="20"/>
      <c r="ET49" s="20"/>
      <c r="EU49" s="20"/>
      <c r="EV49" s="20"/>
      <c r="EW49" s="20"/>
      <c r="EX49" s="20"/>
      <c r="EY49" s="20"/>
      <c r="EZ49" s="20"/>
      <c r="FA49" s="20"/>
      <c r="FB49" s="20"/>
      <c r="FC49" s="20"/>
      <c r="FD49" s="20"/>
      <c r="FE49" s="20"/>
      <c r="FF49" s="20"/>
      <c r="FG49" s="20"/>
      <c r="FH49" s="20"/>
      <c r="FI49" s="20"/>
      <c r="FJ49" s="20"/>
      <c r="FK49" s="20"/>
      <c r="FL49" s="20"/>
      <c r="FM49" s="20"/>
      <c r="FN49" s="20"/>
      <c r="FO49" s="20"/>
      <c r="FP49" s="20"/>
      <c r="FQ49" s="20"/>
      <c r="FR49" s="20"/>
      <c r="FS49" s="20"/>
      <c r="FT49" s="20"/>
      <c r="FU49" s="20"/>
      <c r="FV49" s="20"/>
      <c r="FW49" s="20"/>
      <c r="FX49" s="20"/>
      <c r="FY49" s="20"/>
      <c r="FZ49" s="20"/>
      <c r="GA49" s="20"/>
      <c r="GB49" s="20"/>
      <c r="GC49" s="20"/>
      <c r="GD49" s="20"/>
      <c r="GE49" s="20"/>
      <c r="GF49" s="20"/>
      <c r="GG49" s="20"/>
      <c r="GH49" s="20"/>
      <c r="GI49" s="20"/>
      <c r="GJ49" s="20"/>
      <c r="GK49" s="20"/>
      <c r="GL49" s="20"/>
      <c r="GM49" s="20"/>
      <c r="GN49" s="20"/>
      <c r="GO49" s="20"/>
      <c r="GP49" s="20"/>
      <c r="GQ49" s="20"/>
      <c r="GR49" s="20"/>
      <c r="GS49" s="20"/>
      <c r="GT49" s="20"/>
      <c r="GU49" s="20"/>
      <c r="GV49" s="20"/>
      <c r="GW49" s="20"/>
      <c r="GX49" s="20"/>
      <c r="GY49" s="20"/>
      <c r="GZ49" s="20"/>
      <c r="HA49" s="20"/>
      <c r="HB49" s="20"/>
      <c r="HC49" s="20"/>
      <c r="HD49" s="20"/>
      <c r="HE49" s="20"/>
      <c r="HF49" s="20"/>
      <c r="HG49" s="20"/>
      <c r="HH49" s="20"/>
      <c r="HI49" s="20"/>
    </row>
    <row r="50" spans="1:217" ht="15.75" customHeight="1" x14ac:dyDescent="0.15">
      <c r="A50" s="90">
        <v>42435</v>
      </c>
      <c r="B50" s="20" t="s">
        <v>216</v>
      </c>
      <c r="D50" s="20">
        <v>21.3002</v>
      </c>
      <c r="E50" s="20">
        <v>-157.882599</v>
      </c>
      <c r="F50" s="20" t="s">
        <v>197</v>
      </c>
      <c r="G50" s="21"/>
      <c r="H50" s="21"/>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c r="DV50" s="20"/>
      <c r="DW50" s="20"/>
      <c r="DX50" s="20"/>
      <c r="DY50" s="20"/>
      <c r="DZ50" s="20"/>
      <c r="EA50" s="20"/>
      <c r="EB50" s="20"/>
      <c r="EC50" s="20"/>
      <c r="ED50" s="20"/>
      <c r="EE50" s="20"/>
      <c r="EF50" s="20"/>
      <c r="EG50" s="20"/>
      <c r="EH50" s="20"/>
      <c r="EI50" s="20"/>
      <c r="EJ50" s="20"/>
      <c r="EK50" s="20"/>
      <c r="EL50" s="20"/>
      <c r="EM50" s="20"/>
      <c r="EN50" s="20"/>
      <c r="EO50" s="20"/>
      <c r="EP50" s="20"/>
      <c r="EQ50" s="20"/>
      <c r="ER50" s="20"/>
      <c r="ES50" s="20"/>
      <c r="ET50" s="20"/>
      <c r="EU50" s="20"/>
      <c r="EV50" s="20"/>
      <c r="EW50" s="20"/>
      <c r="EX50" s="20"/>
      <c r="EY50" s="20"/>
      <c r="EZ50" s="20"/>
      <c r="FA50" s="20"/>
      <c r="FB50" s="20"/>
      <c r="FC50" s="20"/>
      <c r="FD50" s="20"/>
      <c r="FE50" s="20"/>
      <c r="FF50" s="20"/>
      <c r="FG50" s="20"/>
      <c r="FH50" s="20"/>
      <c r="FI50" s="20"/>
      <c r="FJ50" s="20"/>
      <c r="FK50" s="20"/>
      <c r="FL50" s="20"/>
      <c r="FM50" s="20"/>
      <c r="FN50" s="20"/>
      <c r="FO50" s="20"/>
      <c r="FP50" s="20"/>
      <c r="FQ50" s="20"/>
      <c r="FR50" s="20"/>
      <c r="FS50" s="20"/>
      <c r="FT50" s="20"/>
      <c r="FU50" s="20"/>
      <c r="FV50" s="20"/>
      <c r="FW50" s="20"/>
      <c r="FX50" s="20"/>
      <c r="FY50" s="20"/>
      <c r="FZ50" s="20"/>
      <c r="GA50" s="20"/>
      <c r="GB50" s="20"/>
      <c r="GC50" s="20"/>
      <c r="GD50" s="20"/>
      <c r="GE50" s="20"/>
      <c r="GF50" s="20"/>
      <c r="GG50" s="20"/>
      <c r="GH50" s="20"/>
      <c r="GI50" s="20"/>
      <c r="GJ50" s="20"/>
      <c r="GK50" s="20"/>
      <c r="GL50" s="20"/>
      <c r="GM50" s="20"/>
      <c r="GN50" s="20"/>
      <c r="GO50" s="20"/>
      <c r="GP50" s="20"/>
      <c r="GQ50" s="20"/>
      <c r="GR50" s="20"/>
      <c r="GS50" s="20"/>
      <c r="GT50" s="20"/>
      <c r="GU50" s="20"/>
      <c r="GV50" s="20"/>
      <c r="GW50" s="20"/>
      <c r="GX50" s="20"/>
      <c r="GY50" s="20"/>
      <c r="GZ50" s="20"/>
      <c r="HA50" s="20"/>
      <c r="HB50" s="20"/>
      <c r="HC50" s="20"/>
      <c r="HD50" s="20"/>
      <c r="HE50" s="20"/>
      <c r="HF50" s="20"/>
      <c r="HG50" s="20"/>
      <c r="HH50" s="20"/>
      <c r="HI50" s="20"/>
    </row>
    <row r="51" spans="1:217" ht="15.75" customHeight="1" x14ac:dyDescent="0.15">
      <c r="A51" s="24">
        <v>42437</v>
      </c>
      <c r="B51" s="25" t="s">
        <v>219</v>
      </c>
      <c r="C51" s="16">
        <v>48</v>
      </c>
      <c r="D51" s="25">
        <v>21.295798999999999</v>
      </c>
      <c r="E51" s="25">
        <v>-158.10369900000001</v>
      </c>
      <c r="F51" s="25" t="s">
        <v>269</v>
      </c>
      <c r="G51" s="26">
        <v>0.4201388888888889</v>
      </c>
      <c r="H51" s="26">
        <v>0.47222222222222221</v>
      </c>
      <c r="I51" s="25">
        <v>7</v>
      </c>
      <c r="J51" s="25">
        <v>20</v>
      </c>
      <c r="K51" s="25" t="s">
        <v>198</v>
      </c>
      <c r="L51" s="25">
        <v>8</v>
      </c>
      <c r="M51" s="25">
        <v>44</v>
      </c>
      <c r="N51" s="25" t="s">
        <v>270</v>
      </c>
      <c r="O51" s="25"/>
      <c r="P51" s="25"/>
      <c r="Q51" s="25"/>
      <c r="R51" s="25">
        <v>61</v>
      </c>
      <c r="S51" s="25"/>
      <c r="T51" s="25"/>
      <c r="U51" s="25"/>
      <c r="V51" s="25"/>
      <c r="W51" s="25">
        <v>1</v>
      </c>
      <c r="X51" s="25"/>
      <c r="Y51" s="25"/>
      <c r="Z51" s="25"/>
      <c r="AA51" s="25"/>
      <c r="AB51" s="25"/>
      <c r="AC51" s="25">
        <v>2</v>
      </c>
      <c r="AD51" s="25"/>
      <c r="AE51" s="25"/>
      <c r="AF51" s="25"/>
      <c r="AG51" s="25"/>
      <c r="AH51" s="25"/>
      <c r="AI51" s="25"/>
      <c r="AJ51" s="25"/>
      <c r="AK51" s="25"/>
      <c r="AL51" s="25"/>
      <c r="AM51" s="25">
        <v>27</v>
      </c>
      <c r="AN51" s="25"/>
      <c r="AO51" s="25"/>
      <c r="AP51" s="25"/>
      <c r="AQ51" s="25"/>
      <c r="AR51" s="25"/>
      <c r="AS51" s="25"/>
      <c r="AT51" s="25"/>
      <c r="AU51" s="25"/>
      <c r="AV51" s="25"/>
      <c r="AW51" s="25"/>
      <c r="AX51" s="25"/>
      <c r="AY51" s="25"/>
      <c r="AZ51" s="25"/>
      <c r="BA51" s="25"/>
      <c r="BB51" s="25"/>
      <c r="BC51" s="25"/>
      <c r="BD51" s="25"/>
      <c r="BE51" s="25">
        <v>17</v>
      </c>
      <c r="BF51" s="25"/>
      <c r="BG51" s="25"/>
      <c r="BH51" s="25"/>
      <c r="BI51" s="25"/>
      <c r="BJ51" s="25"/>
      <c r="BK51" s="25">
        <v>79</v>
      </c>
      <c r="BL51" s="25"/>
      <c r="BM51" s="25">
        <v>12</v>
      </c>
      <c r="BN51" s="25"/>
      <c r="BO51" s="25"/>
      <c r="BP51" s="25"/>
      <c r="BQ51" s="25"/>
      <c r="BR51" s="25"/>
      <c r="BS51" s="25"/>
      <c r="BT51" s="25"/>
      <c r="BU51" s="25"/>
      <c r="BV51" s="25">
        <v>2</v>
      </c>
      <c r="BW51" s="25"/>
      <c r="BX51" s="25"/>
      <c r="BY51" s="25"/>
      <c r="BZ51" s="25">
        <v>17</v>
      </c>
      <c r="CA51" s="25"/>
      <c r="CB51" s="25"/>
      <c r="CC51" s="25"/>
      <c r="CD51" s="25"/>
      <c r="CE51" s="25"/>
      <c r="CF51" s="25"/>
      <c r="CG51" s="25"/>
      <c r="CH51" s="25"/>
      <c r="CI51" s="25"/>
      <c r="CJ51" s="25"/>
      <c r="CK51" s="25"/>
      <c r="CL51" s="25"/>
      <c r="CM51" s="25"/>
      <c r="CN51" s="25"/>
      <c r="CO51" s="25">
        <v>2</v>
      </c>
      <c r="CP51" s="25"/>
      <c r="CQ51" s="25"/>
      <c r="CR51" s="25"/>
      <c r="CS51" s="25"/>
      <c r="CT51" s="25"/>
      <c r="CU51" s="25"/>
      <c r="CV51" s="25"/>
      <c r="CW51" s="25"/>
      <c r="CX51" s="25"/>
      <c r="CY51" s="25"/>
      <c r="CZ51" s="25"/>
      <c r="DA51" s="25"/>
      <c r="DB51" s="25"/>
      <c r="DC51" s="25"/>
      <c r="DD51" s="25"/>
      <c r="DE51" s="25"/>
      <c r="DF51" s="25"/>
      <c r="DG51" s="25">
        <v>2</v>
      </c>
      <c r="DH51" s="25"/>
      <c r="DI51" s="25"/>
      <c r="DJ51" s="25"/>
      <c r="DK51" s="25"/>
      <c r="DL51" s="25"/>
      <c r="DM51" s="25">
        <v>25</v>
      </c>
      <c r="DN51" s="25"/>
      <c r="DO51" s="25"/>
      <c r="DP51" s="25"/>
      <c r="DQ51" s="25"/>
      <c r="DR51" s="25"/>
      <c r="DS51" s="25"/>
      <c r="DT51" s="25"/>
      <c r="DU51" s="25"/>
      <c r="DV51" s="25"/>
      <c r="DW51" s="25"/>
      <c r="DX51" s="25"/>
      <c r="DY51" s="25"/>
      <c r="DZ51" s="25">
        <v>2</v>
      </c>
      <c r="EA51" s="25"/>
      <c r="EB51" s="25"/>
      <c r="EC51" s="25"/>
      <c r="ED51" s="25"/>
      <c r="EE51" s="25"/>
      <c r="EF51" s="25"/>
      <c r="EG51" s="25"/>
      <c r="EH51" s="25"/>
      <c r="EI51" s="25"/>
      <c r="EJ51" s="25">
        <v>380</v>
      </c>
      <c r="EK51" s="25"/>
      <c r="EL51" s="25"/>
      <c r="EM51" s="25"/>
      <c r="EN51" s="25"/>
      <c r="EO51" s="25"/>
      <c r="EP51" s="25"/>
      <c r="EQ51" s="25"/>
      <c r="ER51" s="25"/>
      <c r="ES51" s="25"/>
      <c r="ET51" s="25"/>
      <c r="EU51" s="25"/>
      <c r="EV51" s="25"/>
      <c r="EW51" s="25"/>
      <c r="EX51" s="25"/>
      <c r="EY51" s="25"/>
      <c r="EZ51" s="25"/>
      <c r="FA51" s="25"/>
      <c r="FB51" s="25">
        <v>60</v>
      </c>
      <c r="FC51" s="25"/>
      <c r="FD51" s="25"/>
      <c r="FE51" s="25"/>
      <c r="FF51" s="25">
        <v>3</v>
      </c>
      <c r="FG51" s="25"/>
      <c r="FH51" s="25"/>
      <c r="FI51" s="25"/>
      <c r="FJ51" s="25"/>
      <c r="FK51" s="25"/>
      <c r="FL51" s="25"/>
      <c r="FM51" s="25"/>
      <c r="FN51" s="25"/>
      <c r="FO51" s="25"/>
      <c r="FP51" s="25"/>
      <c r="FQ51" s="25"/>
      <c r="FR51" s="25">
        <v>12</v>
      </c>
      <c r="FS51" s="25">
        <v>52</v>
      </c>
      <c r="FT51" s="25">
        <v>4</v>
      </c>
      <c r="FU51" s="25"/>
      <c r="FV51" s="25"/>
      <c r="FW51" s="25"/>
      <c r="FX51" s="25"/>
      <c r="FY51" s="25"/>
      <c r="FZ51" s="25"/>
      <c r="GA51" s="25"/>
      <c r="GB51" s="25"/>
      <c r="GC51" s="25"/>
      <c r="GD51" s="25"/>
      <c r="GE51" s="25"/>
      <c r="GF51" s="25"/>
      <c r="GG51" s="25"/>
      <c r="GH51" s="25">
        <f t="shared" ref="GH51:GH59" si="7">COUNT(R51:GG51)</f>
        <v>19</v>
      </c>
      <c r="GI51" s="25">
        <f t="shared" ref="GI51:GI59" si="8">COUNTIF(R51:GG51,"&gt;=2")</f>
        <v>18</v>
      </c>
      <c r="GJ51" s="25">
        <f t="shared" ref="GJ51:GJ59" si="9">COUNTIF(R51:GG51,"&gt;=5")</f>
        <v>11</v>
      </c>
      <c r="GK51" s="25">
        <f t="shared" ref="GK51:GK59" si="10">SUM(R51:GG51)</f>
        <v>760</v>
      </c>
      <c r="GL51" s="25">
        <f t="shared" ref="GL51:GL59" si="11">25*P51</f>
        <v>0</v>
      </c>
      <c r="GM51" s="25">
        <f t="shared" ref="GM51:GM59" si="12">GL51-GK51</f>
        <v>-760</v>
      </c>
      <c r="GN51" s="25"/>
      <c r="GO51" s="25"/>
      <c r="GP51" s="25"/>
      <c r="GQ51" s="25"/>
      <c r="GR51" s="25"/>
      <c r="GS51" s="25"/>
      <c r="GT51" s="25"/>
      <c r="GU51" s="25"/>
      <c r="GV51" s="25"/>
      <c r="GW51" s="25"/>
      <c r="GX51" s="25"/>
      <c r="GY51" s="25"/>
      <c r="GZ51" s="25"/>
      <c r="HA51" s="25"/>
      <c r="HB51" s="25"/>
      <c r="HC51" s="25"/>
      <c r="HD51" s="25"/>
      <c r="HE51" s="25"/>
      <c r="HF51" s="25"/>
      <c r="HG51" s="25"/>
      <c r="HH51" s="25"/>
      <c r="HI51" s="25"/>
    </row>
    <row r="52" spans="1:217" ht="15.75" customHeight="1" x14ac:dyDescent="0.15">
      <c r="A52" s="13">
        <v>42439</v>
      </c>
      <c r="B52" s="3" t="s">
        <v>216</v>
      </c>
      <c r="C52" s="16">
        <f t="shared" ref="C52:C115" si="13">C51+1</f>
        <v>49</v>
      </c>
      <c r="D52" s="3">
        <v>21.3002</v>
      </c>
      <c r="E52" s="3">
        <v>-157.882599</v>
      </c>
      <c r="F52" s="3" t="s">
        <v>272</v>
      </c>
      <c r="G52" s="14">
        <v>0.43194444444444446</v>
      </c>
      <c r="H52" s="14">
        <v>0.47986111111111113</v>
      </c>
      <c r="I52" s="3">
        <v>7</v>
      </c>
      <c r="J52" s="3">
        <v>21</v>
      </c>
      <c r="K52" s="3" t="s">
        <v>198</v>
      </c>
      <c r="L52" s="3">
        <v>6</v>
      </c>
      <c r="M52" s="3">
        <v>36</v>
      </c>
      <c r="N52" s="3" t="s">
        <v>273</v>
      </c>
      <c r="P52" s="3">
        <v>36</v>
      </c>
      <c r="AJ52" s="3"/>
      <c r="AK52" s="3">
        <v>4</v>
      </c>
      <c r="AL52" s="3">
        <v>4</v>
      </c>
      <c r="AM52" s="3">
        <v>21</v>
      </c>
      <c r="BE52" s="3">
        <v>2</v>
      </c>
      <c r="BM52" s="3">
        <v>1</v>
      </c>
      <c r="BN52" s="3">
        <v>2</v>
      </c>
      <c r="BQ52" s="3">
        <v>11</v>
      </c>
      <c r="BV52" s="3">
        <v>2</v>
      </c>
      <c r="CD52" s="3">
        <v>2</v>
      </c>
      <c r="CK52" s="3">
        <v>6</v>
      </c>
      <c r="CQ52" s="3">
        <v>1</v>
      </c>
      <c r="DG52" s="3">
        <v>2</v>
      </c>
      <c r="DI52" s="3">
        <v>1</v>
      </c>
      <c r="DQ52" s="3">
        <v>2</v>
      </c>
      <c r="EJ52" s="3">
        <v>14</v>
      </c>
      <c r="EU52" s="3">
        <v>3</v>
      </c>
      <c r="FB52" s="3">
        <v>6</v>
      </c>
      <c r="FF52" s="3">
        <v>1</v>
      </c>
      <c r="FJ52" s="3"/>
      <c r="FK52" s="3">
        <v>1</v>
      </c>
      <c r="FL52" s="3">
        <v>1</v>
      </c>
      <c r="FS52" s="3">
        <v>406</v>
      </c>
      <c r="GH52" s="3">
        <f t="shared" si="7"/>
        <v>21</v>
      </c>
      <c r="GI52" s="3">
        <f t="shared" si="8"/>
        <v>15</v>
      </c>
      <c r="GJ52" s="3">
        <f t="shared" si="9"/>
        <v>6</v>
      </c>
      <c r="GK52" s="3">
        <f t="shared" si="10"/>
        <v>493</v>
      </c>
      <c r="GL52" s="3">
        <f t="shared" si="11"/>
        <v>900</v>
      </c>
      <c r="GM52" s="3">
        <f t="shared" si="12"/>
        <v>407</v>
      </c>
    </row>
    <row r="53" spans="1:217" ht="15.75" customHeight="1" x14ac:dyDescent="0.15">
      <c r="A53" s="13">
        <v>42439</v>
      </c>
      <c r="B53" s="3" t="s">
        <v>266</v>
      </c>
      <c r="C53" s="16">
        <f t="shared" si="13"/>
        <v>50</v>
      </c>
      <c r="D53" s="3">
        <v>22.060683999999998</v>
      </c>
      <c r="E53" s="3">
        <v>-159.318512</v>
      </c>
      <c r="F53" s="3" t="s">
        <v>274</v>
      </c>
      <c r="G53" s="14">
        <v>0.375</v>
      </c>
      <c r="H53" s="14">
        <v>0.54166666666666663</v>
      </c>
      <c r="I53" s="3">
        <v>4</v>
      </c>
      <c r="J53" s="3">
        <v>11</v>
      </c>
      <c r="K53" s="3" t="s">
        <v>198</v>
      </c>
      <c r="L53" s="3">
        <v>10</v>
      </c>
      <c r="M53" s="3">
        <v>23</v>
      </c>
      <c r="N53" s="3" t="s">
        <v>275</v>
      </c>
      <c r="P53" s="3">
        <v>23</v>
      </c>
      <c r="R53" s="3">
        <v>2</v>
      </c>
      <c r="AC53" s="3">
        <v>3</v>
      </c>
      <c r="AL53" s="3">
        <v>3</v>
      </c>
      <c r="AM53" s="3">
        <v>8</v>
      </c>
      <c r="AN53" s="3">
        <v>25</v>
      </c>
      <c r="AU53" s="3">
        <v>1</v>
      </c>
      <c r="BE53" s="3">
        <v>3</v>
      </c>
      <c r="BH53" s="3">
        <v>4</v>
      </c>
      <c r="BK53" s="3">
        <v>1</v>
      </c>
      <c r="BM53" s="3">
        <v>3</v>
      </c>
      <c r="BV53" s="3">
        <v>17</v>
      </c>
      <c r="CS53" s="3">
        <v>2</v>
      </c>
      <c r="DG53" s="3">
        <v>12</v>
      </c>
      <c r="DM53" s="3">
        <v>93</v>
      </c>
      <c r="DU53" s="3"/>
      <c r="DV53" s="3">
        <v>1</v>
      </c>
      <c r="EJ53" s="3">
        <v>46</v>
      </c>
      <c r="EX53" s="3">
        <v>1</v>
      </c>
      <c r="FB53" s="3">
        <v>3</v>
      </c>
      <c r="FO53" s="3"/>
      <c r="FP53" s="3">
        <v>1</v>
      </c>
      <c r="FR53" s="3">
        <v>21</v>
      </c>
      <c r="FS53" s="3">
        <v>114</v>
      </c>
      <c r="GH53" s="3">
        <f t="shared" si="7"/>
        <v>21</v>
      </c>
      <c r="GI53" s="3">
        <f t="shared" si="8"/>
        <v>16</v>
      </c>
      <c r="GJ53" s="3">
        <f t="shared" si="9"/>
        <v>8</v>
      </c>
      <c r="GK53" s="3">
        <f t="shared" si="10"/>
        <v>364</v>
      </c>
      <c r="GL53" s="3">
        <f t="shared" si="11"/>
        <v>575</v>
      </c>
      <c r="GM53" s="3">
        <f t="shared" si="12"/>
        <v>211</v>
      </c>
    </row>
    <row r="54" spans="1:217" ht="15.75" customHeight="1" x14ac:dyDescent="0.15">
      <c r="A54" s="13">
        <v>42440</v>
      </c>
      <c r="B54" s="3" t="s">
        <v>246</v>
      </c>
      <c r="C54" s="16">
        <f t="shared" si="13"/>
        <v>51</v>
      </c>
      <c r="D54" s="3">
        <v>21.2882</v>
      </c>
      <c r="E54" s="3">
        <v>-157.66799900000001</v>
      </c>
      <c r="F54" s="3" t="s">
        <v>274</v>
      </c>
      <c r="G54" s="14">
        <v>0.42708333333333331</v>
      </c>
      <c r="H54" s="14">
        <v>0.47916666666666669</v>
      </c>
      <c r="I54" s="3">
        <v>5</v>
      </c>
      <c r="J54" s="3">
        <v>13</v>
      </c>
      <c r="K54" s="3" t="s">
        <v>198</v>
      </c>
      <c r="L54" s="3">
        <v>5</v>
      </c>
      <c r="M54" s="3">
        <v>18</v>
      </c>
      <c r="N54" s="3" t="s">
        <v>276</v>
      </c>
      <c r="P54" s="3">
        <v>18</v>
      </c>
      <c r="AB54" s="3">
        <v>18</v>
      </c>
      <c r="BB54" s="3">
        <v>18</v>
      </c>
      <c r="BM54" s="3">
        <v>32</v>
      </c>
      <c r="BZ54" s="3">
        <v>3</v>
      </c>
      <c r="DM54" s="3">
        <v>15</v>
      </c>
      <c r="EJ54" s="3">
        <v>4</v>
      </c>
      <c r="FR54" s="3">
        <v>1</v>
      </c>
      <c r="FS54" s="3">
        <v>132</v>
      </c>
      <c r="FV54" s="3"/>
      <c r="FW54" s="3">
        <v>33</v>
      </c>
      <c r="GH54" s="3">
        <f t="shared" si="7"/>
        <v>9</v>
      </c>
      <c r="GI54" s="3">
        <f t="shared" si="8"/>
        <v>8</v>
      </c>
      <c r="GJ54" s="3">
        <f t="shared" si="9"/>
        <v>6</v>
      </c>
      <c r="GK54" s="3">
        <f t="shared" si="10"/>
        <v>256</v>
      </c>
      <c r="GL54" s="3">
        <f t="shared" si="11"/>
        <v>450</v>
      </c>
      <c r="GM54" s="3">
        <f t="shared" si="12"/>
        <v>194</v>
      </c>
    </row>
    <row r="55" spans="1:217" ht="15.75" customHeight="1" x14ac:dyDescent="0.15">
      <c r="A55" s="13">
        <v>42443</v>
      </c>
      <c r="B55" s="3" t="s">
        <v>230</v>
      </c>
      <c r="C55" s="16">
        <f t="shared" si="13"/>
        <v>52</v>
      </c>
      <c r="D55" s="3">
        <v>20.753699999999998</v>
      </c>
      <c r="E55" s="3">
        <v>-156.46090699999999</v>
      </c>
      <c r="F55" s="3" t="s">
        <v>197</v>
      </c>
      <c r="G55" s="14">
        <v>0.55208333333333337</v>
      </c>
      <c r="H55" s="14">
        <v>0.625</v>
      </c>
      <c r="I55" s="3">
        <v>3</v>
      </c>
      <c r="J55" s="3">
        <v>15</v>
      </c>
      <c r="K55" s="3" t="s">
        <v>277</v>
      </c>
      <c r="L55" s="3">
        <v>10</v>
      </c>
      <c r="M55" s="3">
        <v>30</v>
      </c>
      <c r="P55" s="3">
        <v>30</v>
      </c>
      <c r="R55" s="3">
        <v>56</v>
      </c>
      <c r="AM55" s="3">
        <v>4</v>
      </c>
      <c r="BM55" s="3">
        <v>49</v>
      </c>
      <c r="BN55" s="3">
        <v>242</v>
      </c>
      <c r="CO55" s="3">
        <v>1</v>
      </c>
      <c r="DM55" s="3">
        <v>4</v>
      </c>
      <c r="EX55" s="3">
        <v>64</v>
      </c>
      <c r="FO55" s="3"/>
      <c r="FP55" s="3">
        <v>2</v>
      </c>
      <c r="FQ55" s="3">
        <v>1</v>
      </c>
      <c r="FS55" s="3">
        <v>132</v>
      </c>
      <c r="FT55" s="3">
        <v>2</v>
      </c>
      <c r="GH55" s="3">
        <f t="shared" si="7"/>
        <v>11</v>
      </c>
      <c r="GI55" s="3">
        <f t="shared" si="8"/>
        <v>9</v>
      </c>
      <c r="GJ55" s="3">
        <f t="shared" si="9"/>
        <v>5</v>
      </c>
      <c r="GK55" s="3">
        <f t="shared" si="10"/>
        <v>557</v>
      </c>
      <c r="GL55" s="3">
        <f t="shared" si="11"/>
        <v>750</v>
      </c>
      <c r="GM55" s="3">
        <f t="shared" si="12"/>
        <v>193</v>
      </c>
    </row>
    <row r="56" spans="1:217" ht="13" x14ac:dyDescent="0.15">
      <c r="A56" s="13">
        <v>42464</v>
      </c>
      <c r="B56" s="3" t="s">
        <v>244</v>
      </c>
      <c r="C56" s="16">
        <f t="shared" si="13"/>
        <v>53</v>
      </c>
      <c r="D56" s="3">
        <v>21.310611999999999</v>
      </c>
      <c r="E56" s="3">
        <v>-158.00441000000001</v>
      </c>
      <c r="F56" s="3" t="s">
        <v>278</v>
      </c>
      <c r="G56" s="14">
        <v>0.375</v>
      </c>
      <c r="H56" s="14">
        <v>0.45833333333333331</v>
      </c>
      <c r="I56" s="3">
        <v>5</v>
      </c>
      <c r="J56" s="3">
        <v>12</v>
      </c>
      <c r="K56" s="3" t="s">
        <v>198</v>
      </c>
      <c r="L56" s="3">
        <v>6</v>
      </c>
      <c r="M56" s="3">
        <v>26</v>
      </c>
      <c r="N56" s="3" t="s">
        <v>279</v>
      </c>
      <c r="P56" s="3">
        <v>26</v>
      </c>
      <c r="R56" s="3">
        <v>61</v>
      </c>
      <c r="T56" s="3">
        <v>1</v>
      </c>
      <c r="BM56" s="3">
        <v>1</v>
      </c>
      <c r="BV56" s="3">
        <v>14</v>
      </c>
      <c r="BZ56" s="3">
        <v>8</v>
      </c>
      <c r="CG56" s="3"/>
      <c r="CH56" s="3">
        <v>1</v>
      </c>
      <c r="CS56" s="3">
        <v>1</v>
      </c>
      <c r="DG56" s="3">
        <v>23</v>
      </c>
      <c r="DM56" s="3">
        <v>35</v>
      </c>
      <c r="DU56" s="3"/>
      <c r="DV56" s="3">
        <v>7</v>
      </c>
      <c r="EJ56" s="3">
        <v>307</v>
      </c>
      <c r="FB56" s="3">
        <v>9</v>
      </c>
      <c r="FS56" s="3">
        <v>1</v>
      </c>
      <c r="GH56" s="3">
        <f t="shared" si="7"/>
        <v>13</v>
      </c>
      <c r="GI56" s="3">
        <f t="shared" si="8"/>
        <v>8</v>
      </c>
      <c r="GJ56" s="3">
        <f t="shared" si="9"/>
        <v>8</v>
      </c>
      <c r="GK56" s="3">
        <f t="shared" si="10"/>
        <v>469</v>
      </c>
      <c r="GL56" s="3">
        <f t="shared" si="11"/>
        <v>650</v>
      </c>
      <c r="GM56" s="3">
        <f t="shared" si="12"/>
        <v>181</v>
      </c>
    </row>
    <row r="57" spans="1:217" ht="13" x14ac:dyDescent="0.15">
      <c r="A57" s="24">
        <v>42465</v>
      </c>
      <c r="B57" s="25" t="s">
        <v>280</v>
      </c>
      <c r="C57" s="16">
        <f t="shared" si="13"/>
        <v>54</v>
      </c>
      <c r="D57" s="25">
        <v>19.638598999999999</v>
      </c>
      <c r="E57" s="25">
        <v>-156.00250199999999</v>
      </c>
      <c r="F57" s="25" t="s">
        <v>274</v>
      </c>
      <c r="G57" s="26">
        <v>0.43055555555555558</v>
      </c>
      <c r="H57" s="26">
        <v>0.47916666666666669</v>
      </c>
      <c r="I57" s="25">
        <v>8</v>
      </c>
      <c r="J57" s="25">
        <v>26</v>
      </c>
      <c r="K57" s="25" t="s">
        <v>217</v>
      </c>
      <c r="L57" s="25">
        <v>12</v>
      </c>
      <c r="M57" s="25">
        <v>81</v>
      </c>
      <c r="N57" s="25" t="s">
        <v>281</v>
      </c>
      <c r="O57" s="25"/>
      <c r="P57" s="25"/>
      <c r="Q57" s="25"/>
      <c r="R57" s="25">
        <v>17</v>
      </c>
      <c r="S57" s="25">
        <v>2</v>
      </c>
      <c r="T57" s="25"/>
      <c r="U57" s="25"/>
      <c r="V57" s="25"/>
      <c r="W57" s="25"/>
      <c r="X57" s="25"/>
      <c r="Y57" s="25"/>
      <c r="Z57" s="25"/>
      <c r="AA57" s="25"/>
      <c r="AB57" s="25"/>
      <c r="AC57" s="25">
        <v>36</v>
      </c>
      <c r="AD57" s="25"/>
      <c r="AE57" s="25"/>
      <c r="AF57" s="25"/>
      <c r="AG57" s="25"/>
      <c r="AH57" s="25"/>
      <c r="AI57" s="25"/>
      <c r="AJ57" s="25"/>
      <c r="AK57" s="25"/>
      <c r="AL57" s="25">
        <v>2</v>
      </c>
      <c r="AM57" s="25"/>
      <c r="AN57" s="25"/>
      <c r="AO57" s="25"/>
      <c r="AP57" s="25"/>
      <c r="AQ57" s="25"/>
      <c r="AR57" s="25"/>
      <c r="AS57" s="25"/>
      <c r="AT57" s="25"/>
      <c r="AU57" s="25"/>
      <c r="AV57" s="25"/>
      <c r="AW57" s="25"/>
      <c r="AX57" s="25"/>
      <c r="AY57" s="25"/>
      <c r="AZ57" s="25"/>
      <c r="BA57" s="25"/>
      <c r="BB57" s="25"/>
      <c r="BC57" s="25"/>
      <c r="BD57" s="25"/>
      <c r="BE57" s="25">
        <v>1</v>
      </c>
      <c r="BF57" s="25"/>
      <c r="BG57" s="25"/>
      <c r="BH57" s="25"/>
      <c r="BI57" s="25"/>
      <c r="BJ57" s="25"/>
      <c r="BK57" s="25">
        <v>31</v>
      </c>
      <c r="BL57" s="25"/>
      <c r="BM57" s="25">
        <v>51</v>
      </c>
      <c r="BN57" s="25"/>
      <c r="BO57" s="25"/>
      <c r="BP57" s="25"/>
      <c r="BQ57" s="25"/>
      <c r="BR57" s="25"/>
      <c r="BS57" s="25"/>
      <c r="BT57" s="25"/>
      <c r="BU57" s="25"/>
      <c r="BV57" s="25"/>
      <c r="BW57" s="25"/>
      <c r="BX57" s="25"/>
      <c r="BY57" s="25"/>
      <c r="BZ57" s="25"/>
      <c r="CA57" s="25"/>
      <c r="CB57" s="25"/>
      <c r="CC57" s="25">
        <v>25</v>
      </c>
      <c r="CD57" s="25">
        <v>10</v>
      </c>
      <c r="CE57" s="25"/>
      <c r="CF57" s="25"/>
      <c r="CG57" s="25"/>
      <c r="CH57" s="25"/>
      <c r="CI57" s="25"/>
      <c r="CJ57" s="25"/>
      <c r="CK57" s="25"/>
      <c r="CL57" s="25"/>
      <c r="CM57" s="25"/>
      <c r="CN57" s="25"/>
      <c r="CO57" s="25"/>
      <c r="CP57" s="25"/>
      <c r="CQ57" s="25"/>
      <c r="CR57" s="25"/>
      <c r="CS57" s="25"/>
      <c r="CT57" s="25"/>
      <c r="CU57" s="25"/>
      <c r="CV57" s="25">
        <v>1</v>
      </c>
      <c r="CW57" s="25"/>
      <c r="CX57" s="25"/>
      <c r="CY57" s="25"/>
      <c r="CZ57" s="25"/>
      <c r="DA57" s="25"/>
      <c r="DB57" s="25"/>
      <c r="DC57" s="25"/>
      <c r="DD57" s="25"/>
      <c r="DE57" s="25"/>
      <c r="DF57" s="25"/>
      <c r="DG57" s="25"/>
      <c r="DH57" s="25">
        <v>4</v>
      </c>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v>3</v>
      </c>
      <c r="FG57" s="25"/>
      <c r="FH57" s="25"/>
      <c r="FI57" s="25"/>
      <c r="FJ57" s="25"/>
      <c r="FK57" s="25"/>
      <c r="FL57" s="25"/>
      <c r="FM57" s="25"/>
      <c r="FN57" s="25"/>
      <c r="FO57" s="25"/>
      <c r="FP57" s="25">
        <v>5</v>
      </c>
      <c r="FQ57" s="25">
        <v>19</v>
      </c>
      <c r="FR57" s="25">
        <v>3</v>
      </c>
      <c r="FS57" s="25">
        <v>840</v>
      </c>
      <c r="FT57" s="25">
        <v>3</v>
      </c>
      <c r="FU57" s="25"/>
      <c r="FV57" s="25"/>
      <c r="FW57" s="25"/>
      <c r="FX57" s="25"/>
      <c r="FY57" s="25"/>
      <c r="FZ57" s="25"/>
      <c r="GA57" s="25"/>
      <c r="GB57" s="25"/>
      <c r="GC57" s="25"/>
      <c r="GD57" s="25"/>
      <c r="GE57" s="25"/>
      <c r="GF57" s="25"/>
      <c r="GG57" s="25"/>
      <c r="GH57" s="25">
        <f t="shared" si="7"/>
        <v>17</v>
      </c>
      <c r="GI57" s="25">
        <f t="shared" si="8"/>
        <v>15</v>
      </c>
      <c r="GJ57" s="25">
        <f t="shared" si="9"/>
        <v>9</v>
      </c>
      <c r="GK57" s="25">
        <f t="shared" si="10"/>
        <v>1053</v>
      </c>
      <c r="GL57" s="25">
        <f t="shared" si="11"/>
        <v>0</v>
      </c>
      <c r="GM57" s="25">
        <f t="shared" si="12"/>
        <v>-1053</v>
      </c>
      <c r="GN57" s="25"/>
      <c r="GO57" s="25"/>
      <c r="GP57" s="25"/>
      <c r="GQ57" s="25"/>
      <c r="GR57" s="25"/>
      <c r="GS57" s="25"/>
      <c r="GT57" s="25"/>
      <c r="GU57" s="25"/>
      <c r="GV57" s="25"/>
      <c r="GW57" s="25"/>
      <c r="GX57" s="25"/>
      <c r="GY57" s="25"/>
      <c r="GZ57" s="25"/>
      <c r="HA57" s="25"/>
      <c r="HB57" s="25"/>
      <c r="HC57" s="25"/>
      <c r="HD57" s="25"/>
      <c r="HE57" s="25"/>
      <c r="HF57" s="25"/>
      <c r="HG57" s="25"/>
      <c r="HH57" s="25"/>
      <c r="HI57" s="25"/>
    </row>
    <row r="58" spans="1:217" ht="13" x14ac:dyDescent="0.15">
      <c r="A58" s="13">
        <v>42465</v>
      </c>
      <c r="B58" s="3" t="s">
        <v>244</v>
      </c>
      <c r="C58" s="16">
        <f t="shared" si="13"/>
        <v>55</v>
      </c>
      <c r="D58" s="3">
        <v>21.310611999999999</v>
      </c>
      <c r="E58" s="3">
        <v>-158.00441000000001</v>
      </c>
      <c r="F58" s="3" t="s">
        <v>274</v>
      </c>
      <c r="G58" s="14">
        <v>0.35416666666666669</v>
      </c>
      <c r="H58" s="14">
        <v>0.41875000000000001</v>
      </c>
      <c r="I58" s="3">
        <v>7</v>
      </c>
      <c r="J58" s="3">
        <v>20</v>
      </c>
      <c r="K58" s="3" t="s">
        <v>198</v>
      </c>
      <c r="L58" s="3">
        <v>10</v>
      </c>
      <c r="M58" s="3">
        <v>51</v>
      </c>
      <c r="N58" s="3" t="s">
        <v>283</v>
      </c>
      <c r="P58" s="3">
        <v>51</v>
      </c>
      <c r="R58" s="3">
        <v>331</v>
      </c>
      <c r="T58" s="3">
        <v>2</v>
      </c>
      <c r="W58" s="3">
        <v>1</v>
      </c>
      <c r="AI58" s="3">
        <v>3</v>
      </c>
      <c r="BE58" s="3">
        <v>101</v>
      </c>
      <c r="BM58" s="3">
        <v>54</v>
      </c>
      <c r="BV58" s="3">
        <v>22</v>
      </c>
      <c r="BZ58" s="3">
        <v>10</v>
      </c>
      <c r="CC58" s="3">
        <v>1</v>
      </c>
      <c r="CG58" s="3"/>
      <c r="CH58" s="3">
        <v>1</v>
      </c>
      <c r="CO58" s="3">
        <v>16</v>
      </c>
      <c r="CS58" s="3">
        <v>1</v>
      </c>
      <c r="DG58" s="3">
        <v>3</v>
      </c>
      <c r="DM58" s="3">
        <v>66</v>
      </c>
      <c r="DO58" s="3">
        <v>1</v>
      </c>
      <c r="DS58" s="3">
        <v>7</v>
      </c>
      <c r="EC58" s="3">
        <v>5</v>
      </c>
      <c r="EJ58" s="3">
        <v>133</v>
      </c>
      <c r="EK58" s="3">
        <v>1</v>
      </c>
      <c r="FB58" s="3">
        <v>16</v>
      </c>
      <c r="FH58" s="3">
        <v>4</v>
      </c>
      <c r="FS58" s="3">
        <v>160</v>
      </c>
      <c r="GH58" s="3">
        <f t="shared" si="7"/>
        <v>22</v>
      </c>
      <c r="GI58" s="3">
        <f t="shared" si="8"/>
        <v>16</v>
      </c>
      <c r="GJ58" s="3">
        <f t="shared" si="9"/>
        <v>12</v>
      </c>
      <c r="GK58" s="3">
        <f t="shared" si="10"/>
        <v>939</v>
      </c>
      <c r="GL58" s="3">
        <f t="shared" si="11"/>
        <v>1275</v>
      </c>
      <c r="GM58" s="3">
        <f t="shared" si="12"/>
        <v>336</v>
      </c>
    </row>
    <row r="59" spans="1:217" ht="13" x14ac:dyDescent="0.15">
      <c r="A59" s="13">
        <v>42465</v>
      </c>
      <c r="B59" s="3" t="s">
        <v>244</v>
      </c>
      <c r="C59" s="16">
        <f t="shared" si="13"/>
        <v>56</v>
      </c>
      <c r="D59" s="3">
        <v>21.310611999999999</v>
      </c>
      <c r="E59" s="3">
        <v>-158.00441000000001</v>
      </c>
      <c r="F59" s="3" t="s">
        <v>278</v>
      </c>
      <c r="G59" s="14">
        <v>0.375</v>
      </c>
      <c r="H59" s="14">
        <v>0.45833333333333331</v>
      </c>
      <c r="I59" s="3">
        <v>5</v>
      </c>
      <c r="J59" s="3">
        <v>12</v>
      </c>
      <c r="K59" s="3" t="s">
        <v>198</v>
      </c>
      <c r="L59" s="3">
        <v>6</v>
      </c>
      <c r="M59" s="3">
        <v>29</v>
      </c>
      <c r="N59" s="3" t="s">
        <v>284</v>
      </c>
      <c r="P59" s="3">
        <v>29</v>
      </c>
      <c r="R59" s="3">
        <v>49</v>
      </c>
      <c r="W59" s="3">
        <v>5</v>
      </c>
      <c r="AB59" s="3">
        <v>3</v>
      </c>
      <c r="AC59" s="3">
        <v>5</v>
      </c>
      <c r="AE59" s="3">
        <v>1</v>
      </c>
      <c r="AI59" s="3">
        <v>7</v>
      </c>
      <c r="BE59" s="3">
        <v>13</v>
      </c>
      <c r="BM59" s="3">
        <v>12</v>
      </c>
      <c r="BV59" s="3">
        <v>60</v>
      </c>
      <c r="BZ59" s="3">
        <v>7</v>
      </c>
      <c r="CG59" s="3"/>
      <c r="CH59" s="3">
        <v>4</v>
      </c>
      <c r="CS59" s="3">
        <v>1</v>
      </c>
      <c r="DG59" s="3">
        <v>10</v>
      </c>
      <c r="DM59" s="3">
        <v>22</v>
      </c>
      <c r="EC59" s="3">
        <v>2</v>
      </c>
      <c r="EJ59" s="3">
        <v>299</v>
      </c>
      <c r="EK59" s="3">
        <v>13</v>
      </c>
      <c r="FB59" s="3">
        <v>5</v>
      </c>
      <c r="FS59" s="3">
        <v>48</v>
      </c>
      <c r="FZ59" s="3">
        <v>10</v>
      </c>
      <c r="GH59" s="3">
        <f t="shared" si="7"/>
        <v>20</v>
      </c>
      <c r="GI59" s="3">
        <f t="shared" si="8"/>
        <v>18</v>
      </c>
      <c r="GJ59" s="3">
        <f t="shared" si="9"/>
        <v>15</v>
      </c>
      <c r="GK59" s="3">
        <f t="shared" si="10"/>
        <v>576</v>
      </c>
      <c r="GL59" s="3">
        <f t="shared" si="11"/>
        <v>725</v>
      </c>
      <c r="GM59" s="3">
        <f t="shared" si="12"/>
        <v>149</v>
      </c>
    </row>
    <row r="60" spans="1:217" ht="13" x14ac:dyDescent="0.15">
      <c r="A60" s="27">
        <v>42465</v>
      </c>
      <c r="B60" s="28" t="s">
        <v>312</v>
      </c>
      <c r="C60" s="16">
        <f t="shared" si="13"/>
        <v>57</v>
      </c>
      <c r="D60" s="28">
        <v>19.851700000000001</v>
      </c>
      <c r="E60" s="28">
        <v>-155.93190000000001</v>
      </c>
      <c r="F60" s="28" t="s">
        <v>313</v>
      </c>
      <c r="G60" s="29">
        <v>0.40625</v>
      </c>
      <c r="H60" s="29">
        <v>0.49305555555555558</v>
      </c>
      <c r="I60" s="28">
        <v>3</v>
      </c>
      <c r="J60" s="28">
        <v>11</v>
      </c>
      <c r="K60" s="28" t="s">
        <v>314</v>
      </c>
      <c r="L60" s="28">
        <v>10</v>
      </c>
      <c r="M60" s="28">
        <v>25</v>
      </c>
      <c r="N60" s="28" t="s">
        <v>315</v>
      </c>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v>15</v>
      </c>
      <c r="BN60" s="28"/>
      <c r="BO60" s="28"/>
      <c r="BP60" s="28"/>
      <c r="BQ60" s="28"/>
      <c r="BR60" s="28"/>
      <c r="BS60" s="28"/>
      <c r="BT60" s="28"/>
      <c r="BU60" s="28"/>
      <c r="BV60" s="28"/>
      <c r="BW60" s="28"/>
      <c r="BX60" s="28"/>
      <c r="BY60" s="28"/>
      <c r="BZ60" s="28"/>
      <c r="CA60" s="28"/>
      <c r="CB60" s="28"/>
      <c r="CC60" s="28">
        <v>2</v>
      </c>
      <c r="CD60" s="28">
        <v>2</v>
      </c>
      <c r="CE60" s="28"/>
      <c r="CF60" s="28"/>
      <c r="CG60" s="28"/>
      <c r="CH60" s="28"/>
      <c r="CI60" s="28"/>
      <c r="CJ60" s="28"/>
      <c r="CK60" s="28"/>
      <c r="CL60" s="28"/>
      <c r="CM60" s="28"/>
      <c r="CN60" s="28"/>
      <c r="CO60" s="28"/>
      <c r="CP60" s="28"/>
      <c r="CQ60" s="28"/>
      <c r="CR60" s="28"/>
      <c r="CS60" s="28"/>
      <c r="CT60" s="28"/>
      <c r="CU60" s="28"/>
      <c r="CV60" s="28"/>
      <c r="CW60" s="28">
        <v>1</v>
      </c>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v>2</v>
      </c>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v>9</v>
      </c>
      <c r="FS60" s="28">
        <v>491</v>
      </c>
      <c r="FT60" s="28">
        <v>4</v>
      </c>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c r="GV60" s="28"/>
      <c r="GW60" s="28"/>
      <c r="GX60" s="28"/>
      <c r="GY60" s="28"/>
      <c r="GZ60" s="28"/>
      <c r="HA60" s="28"/>
      <c r="HB60" s="28"/>
      <c r="HC60" s="28"/>
      <c r="HD60" s="28"/>
      <c r="HE60" s="28"/>
      <c r="HF60" s="28"/>
      <c r="HG60" s="28"/>
      <c r="HH60" s="28"/>
      <c r="HI60" s="28"/>
    </row>
    <row r="61" spans="1:217" ht="13" x14ac:dyDescent="0.15">
      <c r="A61" s="13">
        <v>42467</v>
      </c>
      <c r="B61" s="3" t="s">
        <v>201</v>
      </c>
      <c r="C61" s="16">
        <f t="shared" si="13"/>
        <v>58</v>
      </c>
      <c r="D61" s="3">
        <v>21.25544</v>
      </c>
      <c r="E61" s="3">
        <v>-157.810303</v>
      </c>
      <c r="F61" s="3" t="s">
        <v>274</v>
      </c>
      <c r="G61" s="14">
        <v>0.38194444444444442</v>
      </c>
      <c r="H61" s="14">
        <v>0.46875</v>
      </c>
      <c r="I61" s="3">
        <v>7</v>
      </c>
      <c r="J61" s="3">
        <v>10</v>
      </c>
      <c r="K61" s="3" t="s">
        <v>217</v>
      </c>
      <c r="L61" s="3">
        <v>6</v>
      </c>
      <c r="M61" s="3">
        <v>41</v>
      </c>
      <c r="N61" s="3" t="s">
        <v>285</v>
      </c>
      <c r="P61" s="3">
        <v>41</v>
      </c>
      <c r="R61" s="3">
        <v>6</v>
      </c>
      <c r="AB61" s="3">
        <v>2</v>
      </c>
      <c r="AC61" s="3">
        <v>1</v>
      </c>
      <c r="AM61" s="3">
        <v>21</v>
      </c>
      <c r="BB61" s="3">
        <v>5</v>
      </c>
      <c r="BD61" s="3">
        <v>1</v>
      </c>
      <c r="BE61" s="3">
        <v>2</v>
      </c>
      <c r="BM61" s="3">
        <v>44</v>
      </c>
      <c r="BN61" s="3">
        <v>1</v>
      </c>
      <c r="BQ61" s="3">
        <v>46</v>
      </c>
      <c r="BV61" s="3">
        <v>2</v>
      </c>
      <c r="BW61" s="3">
        <v>4</v>
      </c>
      <c r="BZ61" s="3">
        <v>48</v>
      </c>
      <c r="CN61" s="3">
        <v>1</v>
      </c>
      <c r="DL61" s="3">
        <v>102</v>
      </c>
      <c r="DO61" s="3">
        <v>1</v>
      </c>
      <c r="DS61" s="3">
        <v>12</v>
      </c>
      <c r="DU61" s="3"/>
      <c r="DV61" s="3">
        <v>5</v>
      </c>
      <c r="DZ61" s="3">
        <v>1</v>
      </c>
      <c r="EC61" s="3">
        <v>2</v>
      </c>
      <c r="EJ61" s="3">
        <v>259</v>
      </c>
      <c r="EZ61" s="3">
        <v>4</v>
      </c>
      <c r="FB61" s="3">
        <v>6</v>
      </c>
      <c r="FC61" s="3">
        <v>2</v>
      </c>
      <c r="FF61" s="3">
        <v>11</v>
      </c>
      <c r="FI61" s="3">
        <v>11</v>
      </c>
      <c r="FR61" s="3">
        <v>24</v>
      </c>
      <c r="FS61" s="3">
        <v>129</v>
      </c>
      <c r="FX61" s="3"/>
      <c r="FY61" s="3">
        <v>3</v>
      </c>
      <c r="GF61" s="3">
        <v>4</v>
      </c>
      <c r="GH61" s="3">
        <f t="shared" ref="GH61:GH64" si="14">COUNT(R61:GG61)</f>
        <v>30</v>
      </c>
      <c r="GI61" s="3">
        <f t="shared" ref="GI61:GI64" si="15">COUNTIF(R61:GG61,"&gt;=2")</f>
        <v>24</v>
      </c>
      <c r="GJ61" s="3">
        <f t="shared" ref="GJ61:GJ64" si="16">COUNTIF(R61:GG61,"&gt;=5")</f>
        <v>15</v>
      </c>
      <c r="GK61" s="3">
        <f t="shared" ref="GK61:GK64" si="17">SUM(R61:GG61)</f>
        <v>760</v>
      </c>
      <c r="GL61" s="3">
        <f t="shared" ref="GL61:GL64" si="18">25*P61</f>
        <v>1025</v>
      </c>
      <c r="GM61" s="3">
        <f t="shared" ref="GM61:GM64" si="19">GL61-GK61</f>
        <v>265</v>
      </c>
    </row>
    <row r="62" spans="1:217" ht="13" x14ac:dyDescent="0.15">
      <c r="A62" s="13">
        <v>42467</v>
      </c>
      <c r="B62" s="3" t="s">
        <v>233</v>
      </c>
      <c r="C62" s="16">
        <f t="shared" si="13"/>
        <v>59</v>
      </c>
      <c r="D62" s="23">
        <v>21.066799</v>
      </c>
      <c r="E62" s="23">
        <v>-156.804993</v>
      </c>
      <c r="F62" s="3" t="s">
        <v>286</v>
      </c>
      <c r="G62" s="14">
        <v>0.375</v>
      </c>
      <c r="H62" s="14">
        <v>0.43888888888888888</v>
      </c>
      <c r="I62" s="3">
        <v>4</v>
      </c>
      <c r="J62" s="3">
        <v>17</v>
      </c>
      <c r="K62" s="3" t="s">
        <v>198</v>
      </c>
      <c r="L62" s="3">
        <v>16</v>
      </c>
      <c r="M62" s="3">
        <v>25</v>
      </c>
      <c r="N62" s="3" t="s">
        <v>287</v>
      </c>
      <c r="O62" s="3" t="s">
        <v>288</v>
      </c>
      <c r="P62" s="3">
        <v>25</v>
      </c>
      <c r="R62" s="3">
        <v>11</v>
      </c>
      <c r="U62" s="3">
        <v>39</v>
      </c>
      <c r="W62" s="3">
        <v>11</v>
      </c>
      <c r="BB62" s="3">
        <v>5</v>
      </c>
      <c r="BL62" s="3">
        <v>1</v>
      </c>
      <c r="BM62" s="3">
        <v>26</v>
      </c>
      <c r="BZ62" s="3">
        <v>16</v>
      </c>
      <c r="CD62" s="3">
        <v>1</v>
      </c>
      <c r="CO62" s="3">
        <v>13</v>
      </c>
      <c r="DG62" s="3">
        <v>40</v>
      </c>
      <c r="EJ62" s="3">
        <v>83</v>
      </c>
      <c r="FB62" s="3">
        <v>109</v>
      </c>
      <c r="FX62" s="3"/>
      <c r="FY62" s="3">
        <v>5</v>
      </c>
      <c r="GH62" s="3">
        <f t="shared" si="14"/>
        <v>13</v>
      </c>
      <c r="GI62" s="3">
        <f t="shared" si="15"/>
        <v>11</v>
      </c>
      <c r="GJ62" s="3">
        <f t="shared" si="16"/>
        <v>11</v>
      </c>
      <c r="GK62" s="3">
        <f t="shared" si="17"/>
        <v>360</v>
      </c>
      <c r="GL62" s="3">
        <f t="shared" si="18"/>
        <v>625</v>
      </c>
      <c r="GM62" s="3">
        <f t="shared" si="19"/>
        <v>265</v>
      </c>
    </row>
    <row r="63" spans="1:217" ht="13" x14ac:dyDescent="0.15">
      <c r="A63" s="13">
        <v>42468</v>
      </c>
      <c r="B63" s="3" t="s">
        <v>247</v>
      </c>
      <c r="C63" s="16">
        <f t="shared" si="13"/>
        <v>60</v>
      </c>
      <c r="D63" s="3">
        <v>19.488199000000002</v>
      </c>
      <c r="E63" s="3">
        <v>-154.81930500000001</v>
      </c>
      <c r="F63" s="3" t="s">
        <v>289</v>
      </c>
      <c r="G63" s="14">
        <v>0.3972222222222222</v>
      </c>
      <c r="H63" s="14">
        <v>0.44791666666666669</v>
      </c>
      <c r="I63" s="3">
        <v>5</v>
      </c>
      <c r="J63" s="3">
        <v>21</v>
      </c>
      <c r="K63" s="3" t="s">
        <v>198</v>
      </c>
      <c r="L63" s="3">
        <v>5</v>
      </c>
      <c r="M63" s="3">
        <v>23</v>
      </c>
      <c r="N63" s="3" t="s">
        <v>290</v>
      </c>
      <c r="P63" s="3">
        <v>23</v>
      </c>
      <c r="AM63" s="3">
        <v>315</v>
      </c>
      <c r="BI63" s="3"/>
      <c r="BJ63" s="3">
        <v>1</v>
      </c>
      <c r="BM63" s="3">
        <v>102</v>
      </c>
      <c r="BN63" s="3">
        <v>3</v>
      </c>
      <c r="BQ63" s="3">
        <v>4</v>
      </c>
      <c r="CC63" s="3">
        <v>1</v>
      </c>
      <c r="DS63" s="3">
        <v>27</v>
      </c>
      <c r="FB63" s="3">
        <v>1</v>
      </c>
      <c r="FS63" s="3">
        <v>109</v>
      </c>
      <c r="GH63" s="3">
        <f t="shared" si="14"/>
        <v>9</v>
      </c>
      <c r="GI63" s="3">
        <f t="shared" si="15"/>
        <v>6</v>
      </c>
      <c r="GJ63" s="3">
        <f t="shared" si="16"/>
        <v>4</v>
      </c>
      <c r="GK63" s="3">
        <f t="shared" si="17"/>
        <v>563</v>
      </c>
      <c r="GL63" s="3">
        <f t="shared" si="18"/>
        <v>575</v>
      </c>
      <c r="GM63" s="3">
        <f t="shared" si="19"/>
        <v>12</v>
      </c>
    </row>
    <row r="64" spans="1:217" ht="13" x14ac:dyDescent="0.15">
      <c r="A64" s="13">
        <v>42468</v>
      </c>
      <c r="B64" s="3" t="s">
        <v>291</v>
      </c>
      <c r="C64" s="16">
        <f t="shared" si="13"/>
        <v>61</v>
      </c>
      <c r="D64" s="3">
        <v>19.734331000000001</v>
      </c>
      <c r="E64" s="3">
        <v>-155.01483200000001</v>
      </c>
      <c r="F64" s="3" t="s">
        <v>274</v>
      </c>
      <c r="G64" s="14">
        <v>0.38194444444444442</v>
      </c>
      <c r="H64" s="14">
        <v>0.45833333333333331</v>
      </c>
      <c r="I64" s="3">
        <v>6</v>
      </c>
      <c r="J64" s="3">
        <v>17</v>
      </c>
      <c r="K64" s="3" t="s">
        <v>198</v>
      </c>
      <c r="L64" s="3">
        <v>5</v>
      </c>
      <c r="M64" s="3">
        <v>19</v>
      </c>
      <c r="N64" s="3" t="s">
        <v>292</v>
      </c>
      <c r="P64" s="3">
        <v>19</v>
      </c>
      <c r="R64" s="3">
        <v>1</v>
      </c>
      <c r="AC64" s="3">
        <v>1</v>
      </c>
      <c r="AG64" s="3">
        <v>4</v>
      </c>
      <c r="AM64" s="3">
        <v>20</v>
      </c>
      <c r="AN64" s="3">
        <v>28</v>
      </c>
      <c r="BB64" s="3">
        <v>83</v>
      </c>
      <c r="BK64" s="3">
        <v>13</v>
      </c>
      <c r="BM64" s="3">
        <v>123</v>
      </c>
      <c r="BN64" s="3">
        <v>1</v>
      </c>
      <c r="CC64" s="3">
        <v>1</v>
      </c>
      <c r="CO64" s="3">
        <v>14</v>
      </c>
      <c r="CQ64" s="3">
        <v>10</v>
      </c>
      <c r="DH64" s="3">
        <v>2</v>
      </c>
      <c r="DW64" s="3">
        <v>2</v>
      </c>
      <c r="FB64" s="3">
        <v>2</v>
      </c>
      <c r="FH64" s="3">
        <v>11</v>
      </c>
      <c r="FQ64" s="3">
        <v>2</v>
      </c>
      <c r="FR64" s="3">
        <v>1</v>
      </c>
      <c r="FS64" s="3">
        <v>65</v>
      </c>
      <c r="GH64" s="3">
        <f t="shared" si="14"/>
        <v>19</v>
      </c>
      <c r="GI64" s="3">
        <f t="shared" si="15"/>
        <v>14</v>
      </c>
      <c r="GJ64" s="3">
        <f t="shared" si="16"/>
        <v>9</v>
      </c>
      <c r="GK64" s="3">
        <f t="shared" si="17"/>
        <v>384</v>
      </c>
      <c r="GL64" s="3">
        <f t="shared" si="18"/>
        <v>475</v>
      </c>
      <c r="GM64" s="3">
        <f t="shared" si="19"/>
        <v>91</v>
      </c>
    </row>
    <row r="65" spans="1:217" ht="13" x14ac:dyDescent="0.15">
      <c r="A65" s="19">
        <v>42468</v>
      </c>
      <c r="B65" s="20" t="s">
        <v>196</v>
      </c>
      <c r="C65" s="16">
        <f t="shared" si="13"/>
        <v>62</v>
      </c>
      <c r="D65" s="20">
        <v>21.559277999999999</v>
      </c>
      <c r="E65" s="20">
        <v>-157.87190200000001</v>
      </c>
      <c r="F65" s="20" t="s">
        <v>325</v>
      </c>
      <c r="G65" s="21">
        <v>0.36458333333333331</v>
      </c>
      <c r="H65" s="21">
        <v>0.40625</v>
      </c>
      <c r="I65" s="20">
        <v>5</v>
      </c>
      <c r="J65" s="20">
        <v>9</v>
      </c>
      <c r="K65" s="20" t="s">
        <v>314</v>
      </c>
      <c r="L65" s="20">
        <v>5</v>
      </c>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c r="DB65" s="20"/>
      <c r="DC65" s="20"/>
      <c r="DD65" s="20"/>
      <c r="DE65" s="20"/>
      <c r="DF65" s="20"/>
      <c r="DG65" s="20"/>
      <c r="DH65" s="20"/>
      <c r="DI65" s="20"/>
      <c r="DJ65" s="20"/>
      <c r="DK65" s="20"/>
      <c r="DL65" s="20"/>
      <c r="DM65" s="20"/>
      <c r="DN65" s="20"/>
      <c r="DO65" s="20"/>
      <c r="DP65" s="20"/>
      <c r="DQ65" s="20"/>
      <c r="DR65" s="20"/>
      <c r="DS65" s="20"/>
      <c r="DT65" s="20"/>
      <c r="DU65" s="20"/>
      <c r="DV65" s="20"/>
      <c r="DW65" s="20"/>
      <c r="DX65" s="20"/>
      <c r="DY65" s="20"/>
      <c r="DZ65" s="20"/>
      <c r="EA65" s="20"/>
      <c r="EB65" s="20"/>
      <c r="EC65" s="20"/>
      <c r="ED65" s="20"/>
      <c r="EE65" s="20"/>
      <c r="EF65" s="20"/>
      <c r="EG65" s="20"/>
      <c r="EH65" s="20"/>
      <c r="EI65" s="20"/>
      <c r="EJ65" s="20"/>
      <c r="EK65" s="20"/>
      <c r="EL65" s="20"/>
      <c r="EM65" s="20"/>
      <c r="EN65" s="20"/>
      <c r="EO65" s="20"/>
      <c r="EP65" s="20"/>
      <c r="EQ65" s="20"/>
      <c r="ER65" s="20"/>
      <c r="ES65" s="20"/>
      <c r="ET65" s="20"/>
      <c r="EU65" s="20"/>
      <c r="EV65" s="20"/>
      <c r="EW65" s="20"/>
      <c r="EX65" s="20"/>
      <c r="EY65" s="20"/>
      <c r="EZ65" s="20"/>
      <c r="FA65" s="20"/>
      <c r="FB65" s="20"/>
      <c r="FC65" s="20"/>
      <c r="FD65" s="20"/>
      <c r="FE65" s="20"/>
      <c r="FF65" s="20"/>
      <c r="FG65" s="20"/>
      <c r="FH65" s="20"/>
      <c r="FI65" s="20"/>
      <c r="FJ65" s="20"/>
      <c r="FK65" s="20"/>
      <c r="FL65" s="20"/>
      <c r="FM65" s="20"/>
      <c r="FN65" s="20"/>
      <c r="FO65" s="20"/>
      <c r="FP65" s="20"/>
      <c r="FQ65" s="20"/>
      <c r="FR65" s="20"/>
      <c r="FS65" s="20"/>
      <c r="FT65" s="20"/>
      <c r="FU65" s="20"/>
      <c r="FV65" s="20"/>
      <c r="FW65" s="20"/>
      <c r="FX65" s="20"/>
      <c r="FY65" s="20"/>
      <c r="FZ65" s="20"/>
      <c r="GA65" s="20"/>
      <c r="GB65" s="20"/>
      <c r="GC65" s="20"/>
      <c r="GD65" s="20"/>
      <c r="GE65" s="20"/>
      <c r="GF65" s="20"/>
      <c r="GG65" s="20"/>
      <c r="GH65" s="20"/>
      <c r="GI65" s="20"/>
      <c r="GJ65" s="20"/>
      <c r="GK65" s="20"/>
      <c r="GL65" s="20"/>
      <c r="GM65" s="20"/>
      <c r="GN65" s="20"/>
      <c r="GO65" s="20"/>
      <c r="GP65" s="20"/>
      <c r="GQ65" s="20"/>
      <c r="GR65" s="20"/>
      <c r="GS65" s="20"/>
      <c r="GT65" s="20"/>
      <c r="GU65" s="20"/>
      <c r="GV65" s="20"/>
      <c r="GW65" s="20"/>
      <c r="GX65" s="20"/>
      <c r="GY65" s="20"/>
      <c r="GZ65" s="20"/>
      <c r="HA65" s="20"/>
      <c r="HB65" s="20"/>
      <c r="HC65" s="20"/>
      <c r="HD65" s="20"/>
      <c r="HE65" s="20"/>
      <c r="HF65" s="20"/>
      <c r="HG65" s="20"/>
      <c r="HH65" s="20"/>
      <c r="HI65" s="20"/>
    </row>
    <row r="66" spans="1:217" ht="13" x14ac:dyDescent="0.15">
      <c r="A66" s="13">
        <v>42469</v>
      </c>
      <c r="B66" s="3" t="s">
        <v>293</v>
      </c>
      <c r="C66" s="16">
        <f t="shared" si="13"/>
        <v>63</v>
      </c>
      <c r="D66" s="3">
        <v>19.738602</v>
      </c>
      <c r="E66" s="3">
        <v>-155.03887900000001</v>
      </c>
      <c r="F66" s="3" t="s">
        <v>197</v>
      </c>
      <c r="G66" s="14">
        <v>0.40763888888888888</v>
      </c>
      <c r="H66" s="14">
        <v>0.46527777777777779</v>
      </c>
      <c r="I66" s="3">
        <v>4</v>
      </c>
      <c r="J66" s="3">
        <v>15</v>
      </c>
      <c r="K66" s="3" t="s">
        <v>277</v>
      </c>
      <c r="L66" s="3">
        <v>10</v>
      </c>
      <c r="M66" s="3">
        <v>20</v>
      </c>
      <c r="N66" s="3" t="s">
        <v>294</v>
      </c>
      <c r="O66" s="3" t="s">
        <v>295</v>
      </c>
      <c r="P66" s="3">
        <v>20</v>
      </c>
      <c r="AB66" s="3">
        <v>1</v>
      </c>
      <c r="AI66" s="3">
        <v>6</v>
      </c>
      <c r="AM66" s="3">
        <v>56</v>
      </c>
      <c r="BK66" s="3">
        <v>38</v>
      </c>
      <c r="BM66" s="3">
        <v>21</v>
      </c>
      <c r="BZ66" s="3">
        <v>1</v>
      </c>
      <c r="CD66" s="3">
        <v>2</v>
      </c>
      <c r="CF66" s="3">
        <v>3</v>
      </c>
      <c r="CN66" s="3">
        <v>1</v>
      </c>
      <c r="CO66" s="3">
        <v>52</v>
      </c>
      <c r="DG66" s="3">
        <v>1</v>
      </c>
      <c r="DM66" s="3">
        <v>1</v>
      </c>
      <c r="DU66" s="3"/>
      <c r="DV66" s="3">
        <v>1</v>
      </c>
      <c r="EJ66" s="3">
        <v>14</v>
      </c>
      <c r="FQ66" s="3">
        <v>2</v>
      </c>
      <c r="FS66" s="3">
        <v>219</v>
      </c>
      <c r="GH66" s="3">
        <f t="shared" ref="GH66:GH72" si="20">COUNT(R66:GG66)</f>
        <v>16</v>
      </c>
      <c r="GI66" s="3">
        <f t="shared" ref="GI66:GI72" si="21">COUNTIF(R66:GG66,"&gt;=2")</f>
        <v>10</v>
      </c>
      <c r="GJ66" s="3">
        <f t="shared" ref="GJ66:GJ72" si="22">COUNTIF(R66:GG66,"&gt;=5")</f>
        <v>7</v>
      </c>
      <c r="GK66" s="3">
        <f t="shared" ref="GK66:GK72" si="23">SUM(R66:GG66)</f>
        <v>419</v>
      </c>
      <c r="GL66" s="3">
        <f t="shared" ref="GL66:GL72" si="24">25*P66</f>
        <v>500</v>
      </c>
      <c r="GM66" s="3">
        <f t="shared" ref="GM66:GM72" si="25">GL66-GK66</f>
        <v>81</v>
      </c>
    </row>
    <row r="67" spans="1:217" ht="13" x14ac:dyDescent="0.15">
      <c r="A67" s="13">
        <v>42470</v>
      </c>
      <c r="B67" s="3" t="s">
        <v>293</v>
      </c>
      <c r="C67" s="16">
        <f t="shared" si="13"/>
        <v>64</v>
      </c>
      <c r="D67" s="3">
        <v>19.738602</v>
      </c>
      <c r="E67" s="3">
        <v>-155.03887900000001</v>
      </c>
      <c r="F67" s="3" t="s">
        <v>197</v>
      </c>
      <c r="G67" s="14">
        <v>0.43402777777777779</v>
      </c>
      <c r="H67" s="14">
        <v>0.52777777777777779</v>
      </c>
      <c r="I67" s="3">
        <v>4</v>
      </c>
      <c r="J67" s="3">
        <v>22</v>
      </c>
      <c r="K67" s="3" t="s">
        <v>198</v>
      </c>
      <c r="L67" s="3">
        <v>11</v>
      </c>
      <c r="M67" s="3">
        <v>35</v>
      </c>
      <c r="N67" s="3" t="s">
        <v>296</v>
      </c>
      <c r="P67" s="3">
        <v>35</v>
      </c>
      <c r="R67" s="3">
        <v>24</v>
      </c>
      <c r="T67" s="3">
        <v>9</v>
      </c>
      <c r="AB67" s="3">
        <v>77</v>
      </c>
      <c r="AD67" s="3">
        <v>6</v>
      </c>
      <c r="AH67" s="3">
        <v>15</v>
      </c>
      <c r="AM67" s="3">
        <v>35</v>
      </c>
      <c r="AZ67" s="3">
        <v>6</v>
      </c>
      <c r="BB67" s="3">
        <v>3</v>
      </c>
      <c r="BG67" s="3">
        <v>1</v>
      </c>
      <c r="BI67" s="3"/>
      <c r="BJ67" s="3">
        <v>1</v>
      </c>
      <c r="BK67" s="3">
        <v>5</v>
      </c>
      <c r="BM67" s="3">
        <v>59</v>
      </c>
      <c r="BN67" s="3">
        <v>16</v>
      </c>
      <c r="BZ67" s="3">
        <v>6</v>
      </c>
      <c r="CB67" s="3">
        <v>3</v>
      </c>
      <c r="CC67" s="3">
        <v>5</v>
      </c>
      <c r="CL67" s="3">
        <v>1</v>
      </c>
      <c r="CO67" s="3">
        <v>98</v>
      </c>
      <c r="DG67" s="3">
        <v>6</v>
      </c>
      <c r="DH67" s="3">
        <v>5</v>
      </c>
      <c r="DM67" s="3">
        <v>3</v>
      </c>
      <c r="DQ67" s="3">
        <v>1</v>
      </c>
      <c r="ED67" s="3">
        <v>2</v>
      </c>
      <c r="EJ67" s="3">
        <v>13</v>
      </c>
      <c r="EX67" s="3">
        <v>5</v>
      </c>
      <c r="FB67" s="3">
        <v>9</v>
      </c>
      <c r="FO67" s="3"/>
      <c r="FP67" s="3">
        <v>2</v>
      </c>
      <c r="FQ67" s="3">
        <v>17</v>
      </c>
      <c r="FS67" s="3">
        <v>161</v>
      </c>
      <c r="FT67" s="3">
        <v>7</v>
      </c>
      <c r="GH67" s="3">
        <f t="shared" si="20"/>
        <v>30</v>
      </c>
      <c r="GI67" s="3">
        <f t="shared" si="21"/>
        <v>26</v>
      </c>
      <c r="GJ67" s="3">
        <f t="shared" si="22"/>
        <v>21</v>
      </c>
      <c r="GK67" s="3">
        <f t="shared" si="23"/>
        <v>601</v>
      </c>
      <c r="GL67" s="3">
        <f t="shared" si="24"/>
        <v>875</v>
      </c>
      <c r="GM67" s="3">
        <f t="shared" si="25"/>
        <v>274</v>
      </c>
    </row>
    <row r="68" spans="1:217" ht="13" x14ac:dyDescent="0.15">
      <c r="A68" s="13">
        <v>42471</v>
      </c>
      <c r="B68" s="3" t="s">
        <v>266</v>
      </c>
      <c r="C68" s="16">
        <f t="shared" si="13"/>
        <v>65</v>
      </c>
      <c r="D68" s="3">
        <v>22.060683999999998</v>
      </c>
      <c r="E68" s="3">
        <v>-159.318512</v>
      </c>
      <c r="F68" s="3" t="s">
        <v>297</v>
      </c>
      <c r="G68" s="14">
        <v>0.48958333333333331</v>
      </c>
      <c r="H68" s="14">
        <v>0.54166666666666663</v>
      </c>
      <c r="I68" s="3">
        <v>5</v>
      </c>
      <c r="J68" s="3">
        <v>12</v>
      </c>
      <c r="K68" s="3" t="s">
        <v>198</v>
      </c>
      <c r="L68" s="3">
        <v>5</v>
      </c>
      <c r="M68" s="3">
        <v>24</v>
      </c>
      <c r="N68" s="3" t="s">
        <v>298</v>
      </c>
      <c r="P68" s="3">
        <v>24</v>
      </c>
      <c r="R68" s="3">
        <v>1</v>
      </c>
      <c r="AM68" s="3">
        <v>14</v>
      </c>
      <c r="BB68" s="3">
        <v>13</v>
      </c>
      <c r="BM68" s="3">
        <v>2</v>
      </c>
      <c r="BN68" s="3">
        <v>289</v>
      </c>
      <c r="BZ68" s="3">
        <v>1</v>
      </c>
      <c r="CV68" s="3">
        <v>3</v>
      </c>
      <c r="DU68" s="3"/>
      <c r="DV68" s="3">
        <v>5</v>
      </c>
      <c r="EJ68" s="3">
        <v>26</v>
      </c>
      <c r="FS68" s="3">
        <v>21</v>
      </c>
      <c r="GH68" s="3">
        <f t="shared" si="20"/>
        <v>10</v>
      </c>
      <c r="GI68" s="3">
        <f t="shared" si="21"/>
        <v>8</v>
      </c>
      <c r="GJ68" s="3">
        <f t="shared" si="22"/>
        <v>6</v>
      </c>
      <c r="GK68" s="3">
        <f t="shared" si="23"/>
        <v>375</v>
      </c>
      <c r="GL68" s="3">
        <f t="shared" si="24"/>
        <v>600</v>
      </c>
      <c r="GM68" s="3">
        <f t="shared" si="25"/>
        <v>225</v>
      </c>
    </row>
    <row r="69" spans="1:217" ht="13" x14ac:dyDescent="0.15">
      <c r="A69" s="13">
        <v>42471</v>
      </c>
      <c r="B69" s="3" t="s">
        <v>216</v>
      </c>
      <c r="C69" s="16">
        <f t="shared" si="13"/>
        <v>66</v>
      </c>
      <c r="D69" s="3">
        <v>21.3002</v>
      </c>
      <c r="E69" s="3">
        <v>-157.882599</v>
      </c>
      <c r="F69" s="3" t="s">
        <v>299</v>
      </c>
      <c r="G69" s="14">
        <v>0.52777777777777779</v>
      </c>
      <c r="H69" s="14">
        <v>0.57291666666666663</v>
      </c>
      <c r="I69" s="3">
        <v>4</v>
      </c>
      <c r="J69" s="3">
        <v>26</v>
      </c>
      <c r="K69" s="3" t="s">
        <v>198</v>
      </c>
      <c r="L69" s="3">
        <v>9</v>
      </c>
      <c r="M69" s="3">
        <v>29</v>
      </c>
      <c r="N69" s="3" t="s">
        <v>300</v>
      </c>
      <c r="P69" s="3">
        <v>29</v>
      </c>
      <c r="AC69" s="3">
        <v>10</v>
      </c>
      <c r="AM69" s="3">
        <v>23</v>
      </c>
      <c r="BM69" s="3">
        <v>15</v>
      </c>
      <c r="BN69" s="3">
        <v>38</v>
      </c>
      <c r="BQ69" s="3">
        <v>12</v>
      </c>
      <c r="BV69" s="3">
        <v>6</v>
      </c>
      <c r="BZ69" s="3">
        <v>1</v>
      </c>
      <c r="CC69" s="3">
        <v>3</v>
      </c>
      <c r="FQ69" s="3">
        <v>15</v>
      </c>
      <c r="FS69" s="3">
        <v>364</v>
      </c>
      <c r="GH69" s="3">
        <f t="shared" si="20"/>
        <v>10</v>
      </c>
      <c r="GI69" s="3">
        <f t="shared" si="21"/>
        <v>9</v>
      </c>
      <c r="GJ69" s="3">
        <f t="shared" si="22"/>
        <v>8</v>
      </c>
      <c r="GK69" s="3">
        <f t="shared" si="23"/>
        <v>487</v>
      </c>
      <c r="GL69" s="3">
        <f t="shared" si="24"/>
        <v>725</v>
      </c>
      <c r="GM69" s="3">
        <f t="shared" si="25"/>
        <v>238</v>
      </c>
    </row>
    <row r="70" spans="1:217" ht="13" x14ac:dyDescent="0.15">
      <c r="A70" s="13">
        <v>42471</v>
      </c>
      <c r="B70" s="3" t="s">
        <v>301</v>
      </c>
      <c r="C70" s="16">
        <f t="shared" si="13"/>
        <v>67</v>
      </c>
      <c r="D70" s="3">
        <v>22.065598999999999</v>
      </c>
      <c r="E70" s="3">
        <v>-159.31770299999999</v>
      </c>
      <c r="F70" s="3" t="s">
        <v>302</v>
      </c>
      <c r="G70" s="14">
        <v>0.48958333333333331</v>
      </c>
      <c r="H70" s="14">
        <v>0.54166666666666663</v>
      </c>
      <c r="I70" s="3">
        <v>5</v>
      </c>
      <c r="J70" s="3">
        <v>5</v>
      </c>
      <c r="K70" s="3" t="s">
        <v>198</v>
      </c>
      <c r="L70" s="3">
        <v>5</v>
      </c>
      <c r="M70" s="3">
        <v>25</v>
      </c>
      <c r="P70" s="3">
        <v>25</v>
      </c>
      <c r="R70" s="3">
        <v>5</v>
      </c>
      <c r="AC70" s="3">
        <v>9</v>
      </c>
      <c r="AG70" s="3">
        <v>20</v>
      </c>
      <c r="AM70" s="3">
        <v>68</v>
      </c>
      <c r="AZ70" s="3">
        <v>1</v>
      </c>
      <c r="BB70" s="3">
        <v>2</v>
      </c>
      <c r="BE70" s="3">
        <v>1</v>
      </c>
      <c r="BK70" s="3">
        <v>2</v>
      </c>
      <c r="BM70" s="3">
        <v>22</v>
      </c>
      <c r="BN70" s="3">
        <v>149</v>
      </c>
      <c r="BO70" s="3">
        <v>1</v>
      </c>
      <c r="BV70" s="3">
        <v>10</v>
      </c>
      <c r="BZ70" s="3">
        <v>12</v>
      </c>
      <c r="DM70" s="3">
        <v>21</v>
      </c>
      <c r="DU70" s="3"/>
      <c r="DV70" s="3">
        <v>15</v>
      </c>
      <c r="EJ70" s="3">
        <v>108</v>
      </c>
      <c r="FB70" s="3">
        <v>11</v>
      </c>
      <c r="FO70" s="3"/>
      <c r="FP70" s="3">
        <v>1</v>
      </c>
      <c r="FR70" s="3">
        <v>8</v>
      </c>
      <c r="FS70" s="3">
        <v>55</v>
      </c>
      <c r="GH70" s="3">
        <f t="shared" si="20"/>
        <v>20</v>
      </c>
      <c r="GI70" s="3">
        <f t="shared" si="21"/>
        <v>16</v>
      </c>
      <c r="GJ70" s="3">
        <f t="shared" si="22"/>
        <v>14</v>
      </c>
      <c r="GK70" s="3">
        <f t="shared" si="23"/>
        <v>521</v>
      </c>
      <c r="GL70" s="3">
        <f t="shared" si="24"/>
        <v>625</v>
      </c>
      <c r="GM70" s="3">
        <f t="shared" si="25"/>
        <v>104</v>
      </c>
    </row>
    <row r="71" spans="1:217" ht="13" x14ac:dyDescent="0.15">
      <c r="A71" s="13">
        <v>42475</v>
      </c>
      <c r="B71" s="3" t="s">
        <v>303</v>
      </c>
      <c r="C71" s="16">
        <f t="shared" si="13"/>
        <v>68</v>
      </c>
      <c r="D71" s="3">
        <v>20.994240000000001</v>
      </c>
      <c r="E71" s="3">
        <v>-156.66825900000001</v>
      </c>
      <c r="F71" s="3" t="s">
        <v>274</v>
      </c>
      <c r="G71" s="14">
        <v>0.33333333333333331</v>
      </c>
      <c r="H71" s="14">
        <v>0.41666666666666669</v>
      </c>
      <c r="I71" s="3">
        <v>4</v>
      </c>
      <c r="J71" s="3">
        <v>22</v>
      </c>
      <c r="K71" s="3" t="s">
        <v>217</v>
      </c>
      <c r="L71" s="3">
        <v>12</v>
      </c>
      <c r="M71" s="3">
        <v>35</v>
      </c>
      <c r="N71" s="3" t="s">
        <v>296</v>
      </c>
      <c r="P71" s="3">
        <v>35</v>
      </c>
      <c r="R71" s="3">
        <v>24</v>
      </c>
      <c r="T71" s="3">
        <v>9</v>
      </c>
      <c r="AB71" s="3">
        <v>77</v>
      </c>
      <c r="AD71" s="3">
        <v>6</v>
      </c>
      <c r="AF71" s="3">
        <v>2</v>
      </c>
      <c r="AM71" s="3">
        <v>35</v>
      </c>
      <c r="AX71" s="3">
        <v>4</v>
      </c>
      <c r="AZ71" s="3">
        <v>2</v>
      </c>
      <c r="BB71" s="3">
        <v>3</v>
      </c>
      <c r="BG71" s="3">
        <v>1</v>
      </c>
      <c r="BI71" s="3">
        <v>1</v>
      </c>
      <c r="BK71" s="3">
        <v>5</v>
      </c>
      <c r="BM71" s="3">
        <v>59</v>
      </c>
      <c r="BN71" s="3">
        <v>16</v>
      </c>
      <c r="BY71" s="3">
        <v>6</v>
      </c>
      <c r="CB71" s="3">
        <v>3</v>
      </c>
      <c r="CC71" s="3">
        <v>5</v>
      </c>
      <c r="CO71" s="3">
        <v>98</v>
      </c>
      <c r="DG71" s="3">
        <v>6</v>
      </c>
      <c r="DH71" s="3">
        <v>3</v>
      </c>
      <c r="DM71" s="3">
        <v>3</v>
      </c>
      <c r="DQ71" s="3">
        <v>1</v>
      </c>
      <c r="EJ71" s="3">
        <v>13</v>
      </c>
      <c r="EN71" s="3">
        <v>1</v>
      </c>
      <c r="EW71" s="3">
        <v>5</v>
      </c>
      <c r="FB71" s="3">
        <v>9</v>
      </c>
      <c r="FC71" s="3">
        <v>1</v>
      </c>
      <c r="FM71" s="3">
        <v>16</v>
      </c>
      <c r="FO71" s="3"/>
      <c r="FP71" s="3">
        <v>2</v>
      </c>
      <c r="FS71" s="3">
        <v>176</v>
      </c>
      <c r="FT71" s="3">
        <v>7</v>
      </c>
      <c r="GH71" s="3">
        <f t="shared" si="20"/>
        <v>31</v>
      </c>
      <c r="GI71" s="3">
        <f t="shared" si="21"/>
        <v>26</v>
      </c>
      <c r="GJ71" s="3">
        <f t="shared" si="22"/>
        <v>18</v>
      </c>
      <c r="GK71" s="3">
        <f t="shared" si="23"/>
        <v>599</v>
      </c>
      <c r="GL71" s="3">
        <f t="shared" si="24"/>
        <v>875</v>
      </c>
      <c r="GM71" s="3">
        <f t="shared" si="25"/>
        <v>276</v>
      </c>
    </row>
    <row r="72" spans="1:217" ht="13" x14ac:dyDescent="0.15">
      <c r="A72" s="13">
        <v>42479</v>
      </c>
      <c r="B72" s="3" t="s">
        <v>201</v>
      </c>
      <c r="C72" s="16">
        <f t="shared" si="13"/>
        <v>69</v>
      </c>
      <c r="D72" s="3">
        <v>21.25544</v>
      </c>
      <c r="E72" s="3">
        <v>-157.810303</v>
      </c>
      <c r="F72" s="3" t="s">
        <v>274</v>
      </c>
      <c r="G72" s="14">
        <v>0.3611111111111111</v>
      </c>
      <c r="H72" s="14">
        <v>0.41666666666666669</v>
      </c>
      <c r="I72" s="3">
        <v>5</v>
      </c>
      <c r="J72" s="3">
        <v>14</v>
      </c>
      <c r="K72" s="3" t="s">
        <v>217</v>
      </c>
      <c r="L72" s="3">
        <v>7</v>
      </c>
      <c r="M72" s="3">
        <v>29</v>
      </c>
      <c r="N72" s="3" t="s">
        <v>304</v>
      </c>
      <c r="P72" s="3">
        <v>29</v>
      </c>
      <c r="R72" s="3">
        <v>1</v>
      </c>
      <c r="X72" s="3">
        <v>1</v>
      </c>
      <c r="AB72" s="3">
        <v>11</v>
      </c>
      <c r="AI72" s="3">
        <v>2</v>
      </c>
      <c r="AO72" s="3"/>
      <c r="AP72" s="3">
        <v>2</v>
      </c>
      <c r="BB72" s="3">
        <v>9</v>
      </c>
      <c r="BL72" s="3">
        <v>1</v>
      </c>
      <c r="BM72" s="3">
        <v>5</v>
      </c>
      <c r="BN72" s="3">
        <v>26</v>
      </c>
      <c r="BQ72" s="3">
        <v>36</v>
      </c>
      <c r="BV72" s="3">
        <v>4</v>
      </c>
      <c r="BZ72" s="3">
        <v>13</v>
      </c>
      <c r="CK72" s="3">
        <v>5</v>
      </c>
      <c r="CS72" s="3">
        <v>1</v>
      </c>
      <c r="DG72" s="3">
        <v>13</v>
      </c>
      <c r="DM72" s="3">
        <v>72</v>
      </c>
      <c r="DP72" s="3">
        <v>9</v>
      </c>
      <c r="DU72" s="3"/>
      <c r="DV72" s="3">
        <v>4</v>
      </c>
      <c r="EC72" s="3">
        <v>1</v>
      </c>
      <c r="EE72" s="3"/>
      <c r="EF72" s="3">
        <v>2</v>
      </c>
      <c r="EJ72" s="3">
        <v>174</v>
      </c>
      <c r="EK72" s="3">
        <v>1</v>
      </c>
      <c r="FB72" s="3">
        <v>21</v>
      </c>
      <c r="FI72" s="3">
        <v>35</v>
      </c>
      <c r="FO72" s="3"/>
      <c r="FP72" s="3">
        <v>1</v>
      </c>
      <c r="FR72" s="3">
        <v>11</v>
      </c>
      <c r="FS72" s="3">
        <v>28</v>
      </c>
      <c r="FU72" s="3">
        <v>1</v>
      </c>
      <c r="GH72" s="3">
        <f t="shared" si="20"/>
        <v>28</v>
      </c>
      <c r="GI72" s="3">
        <f t="shared" si="21"/>
        <v>20</v>
      </c>
      <c r="GJ72" s="3">
        <f t="shared" si="22"/>
        <v>15</v>
      </c>
      <c r="GK72" s="3">
        <f t="shared" si="23"/>
        <v>490</v>
      </c>
      <c r="GL72" s="3">
        <f t="shared" si="24"/>
        <v>725</v>
      </c>
      <c r="GM72" s="3">
        <f t="shared" si="25"/>
        <v>235</v>
      </c>
    </row>
    <row r="73" spans="1:217" ht="13" x14ac:dyDescent="0.15">
      <c r="A73" s="27">
        <v>42479</v>
      </c>
      <c r="B73" s="28" t="s">
        <v>293</v>
      </c>
      <c r="C73" s="16">
        <f t="shared" si="13"/>
        <v>70</v>
      </c>
      <c r="D73" s="28">
        <v>19.738602</v>
      </c>
      <c r="E73" s="28">
        <v>-155.03887900000001</v>
      </c>
      <c r="F73" s="28" t="s">
        <v>274</v>
      </c>
      <c r="G73" s="29">
        <v>0.43055555555555558</v>
      </c>
      <c r="H73" s="29">
        <v>0.46180555555555558</v>
      </c>
      <c r="I73" s="28">
        <v>4</v>
      </c>
      <c r="J73" s="28">
        <v>13</v>
      </c>
      <c r="K73" s="28" t="s">
        <v>314</v>
      </c>
      <c r="L73" s="28">
        <v>12</v>
      </c>
      <c r="M73" s="28">
        <v>26</v>
      </c>
      <c r="N73" s="28" t="s">
        <v>343</v>
      </c>
      <c r="O73" s="28"/>
      <c r="P73" s="28"/>
      <c r="Q73" s="28"/>
      <c r="R73" s="28"/>
      <c r="S73" s="28"/>
      <c r="T73" s="28"/>
      <c r="U73" s="28"/>
      <c r="V73" s="28"/>
      <c r="W73" s="28"/>
      <c r="X73" s="28"/>
      <c r="Y73" s="28"/>
      <c r="Z73" s="28"/>
      <c r="AA73" s="28"/>
      <c r="AB73" s="28"/>
      <c r="AC73" s="28"/>
      <c r="AD73" s="28"/>
      <c r="AE73" s="28"/>
      <c r="AF73" s="28"/>
      <c r="AG73" s="28"/>
      <c r="AH73" s="28">
        <v>9</v>
      </c>
      <c r="AI73" s="28"/>
      <c r="AJ73" s="28"/>
      <c r="AK73" s="28"/>
      <c r="AL73" s="28">
        <v>3</v>
      </c>
      <c r="AM73" s="28"/>
      <c r="AN73" s="28"/>
      <c r="AO73" s="28"/>
      <c r="AP73" s="28"/>
      <c r="AQ73" s="28">
        <v>2</v>
      </c>
      <c r="AR73" s="28"/>
      <c r="AS73" s="28"/>
      <c r="AT73" s="28"/>
      <c r="AU73" s="28"/>
      <c r="AV73" s="28"/>
      <c r="AW73" s="28"/>
      <c r="AX73" s="28"/>
      <c r="AY73" s="28"/>
      <c r="AZ73" s="28"/>
      <c r="BA73" s="28"/>
      <c r="BB73" s="28"/>
      <c r="BC73" s="28"/>
      <c r="BD73" s="28"/>
      <c r="BE73" s="28"/>
      <c r="BF73" s="28"/>
      <c r="BG73" s="28"/>
      <c r="BH73" s="28"/>
      <c r="BI73" s="28"/>
      <c r="BJ73" s="28"/>
      <c r="BK73" s="28"/>
      <c r="BL73" s="28"/>
      <c r="BM73" s="28">
        <v>77</v>
      </c>
      <c r="BN73" s="28"/>
      <c r="BO73" s="28"/>
      <c r="BP73" s="28"/>
      <c r="BQ73" s="28"/>
      <c r="BR73" s="28"/>
      <c r="BS73" s="28"/>
      <c r="BT73" s="28"/>
      <c r="BU73" s="28"/>
      <c r="BV73" s="28"/>
      <c r="BW73" s="28"/>
      <c r="BX73" s="28"/>
      <c r="BY73" s="28"/>
      <c r="BZ73" s="28"/>
      <c r="CA73" s="28"/>
      <c r="CB73" s="28"/>
      <c r="CC73" s="28">
        <v>6</v>
      </c>
      <c r="CD73" s="28">
        <v>1</v>
      </c>
      <c r="CE73" s="28"/>
      <c r="CF73" s="28"/>
      <c r="CG73" s="28"/>
      <c r="CH73" s="28"/>
      <c r="CI73" s="28"/>
      <c r="CJ73" s="28"/>
      <c r="CK73" s="28"/>
      <c r="CL73" s="28"/>
      <c r="CM73" s="28"/>
      <c r="CN73" s="28"/>
      <c r="CO73" s="28">
        <v>40</v>
      </c>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c r="DQ73" s="28"/>
      <c r="DR73" s="28"/>
      <c r="DS73" s="28"/>
      <c r="DT73" s="28"/>
      <c r="DU73" s="28"/>
      <c r="DV73" s="28"/>
      <c r="DW73" s="28"/>
      <c r="DX73" s="28"/>
      <c r="DY73" s="28"/>
      <c r="DZ73" s="28"/>
      <c r="EA73" s="28"/>
      <c r="EB73" s="28"/>
      <c r="EC73" s="28"/>
      <c r="ED73" s="28"/>
      <c r="EE73" s="28"/>
      <c r="EF73" s="28"/>
      <c r="EG73" s="28"/>
      <c r="EH73" s="28"/>
      <c r="EI73" s="28"/>
      <c r="EJ73" s="28">
        <v>13</v>
      </c>
      <c r="EK73" s="28"/>
      <c r="EL73" s="28"/>
      <c r="EM73" s="28"/>
      <c r="EN73" s="28"/>
      <c r="EO73" s="28"/>
      <c r="EP73" s="28"/>
      <c r="EQ73" s="28"/>
      <c r="ER73" s="28"/>
      <c r="ES73" s="28"/>
      <c r="ET73" s="28"/>
      <c r="EU73" s="28"/>
      <c r="EV73" s="28"/>
      <c r="EW73" s="28"/>
      <c r="EX73" s="28">
        <v>3</v>
      </c>
      <c r="EY73" s="28"/>
      <c r="EZ73" s="28"/>
      <c r="FA73" s="28"/>
      <c r="FB73" s="28"/>
      <c r="FC73" s="28"/>
      <c r="FD73" s="28"/>
      <c r="FE73" s="28"/>
      <c r="FF73" s="28"/>
      <c r="FG73" s="28"/>
      <c r="FH73" s="28"/>
      <c r="FI73" s="28"/>
      <c r="FJ73" s="28"/>
      <c r="FK73" s="28"/>
      <c r="FL73" s="28"/>
      <c r="FM73" s="28"/>
      <c r="FN73" s="28"/>
      <c r="FO73" s="28"/>
      <c r="FP73" s="28"/>
      <c r="FQ73" s="28">
        <v>8</v>
      </c>
      <c r="FR73" s="28">
        <v>2</v>
      </c>
      <c r="FS73" s="28">
        <v>95</v>
      </c>
      <c r="FT73" s="28"/>
      <c r="FU73" s="28"/>
      <c r="FV73" s="28"/>
      <c r="FW73" s="28"/>
      <c r="FX73" s="28"/>
      <c r="FY73" s="28"/>
      <c r="FZ73" s="28"/>
      <c r="GA73" s="28"/>
      <c r="GB73" s="28"/>
      <c r="GC73" s="28"/>
      <c r="GD73" s="28"/>
      <c r="GE73" s="28"/>
      <c r="GF73" s="28"/>
      <c r="GG73" s="28"/>
      <c r="GH73" s="28"/>
      <c r="GI73" s="28"/>
      <c r="GJ73" s="28"/>
      <c r="GK73" s="28"/>
      <c r="GL73" s="28"/>
      <c r="GM73" s="28"/>
      <c r="GN73" s="28"/>
      <c r="GO73" s="28"/>
      <c r="GP73" s="28"/>
      <c r="GQ73" s="28"/>
      <c r="GR73" s="28"/>
      <c r="GS73" s="28"/>
      <c r="GT73" s="28"/>
      <c r="GU73" s="28"/>
      <c r="GV73" s="28"/>
      <c r="GW73" s="28"/>
      <c r="GX73" s="28"/>
      <c r="GY73" s="28"/>
      <c r="GZ73" s="28"/>
      <c r="HA73" s="28"/>
      <c r="HB73" s="28"/>
      <c r="HC73" s="28"/>
      <c r="HD73" s="28"/>
      <c r="HE73" s="28"/>
      <c r="HF73" s="28"/>
      <c r="HG73" s="28"/>
      <c r="HH73" s="28"/>
      <c r="HI73" s="28"/>
    </row>
    <row r="74" spans="1:217" ht="13" x14ac:dyDescent="0.15">
      <c r="A74" s="24">
        <v>42481</v>
      </c>
      <c r="B74" s="25" t="s">
        <v>240</v>
      </c>
      <c r="C74" s="16">
        <f t="shared" si="13"/>
        <v>71</v>
      </c>
      <c r="D74" s="25">
        <v>21.105899999999998</v>
      </c>
      <c r="E74" s="25">
        <v>-156.746094</v>
      </c>
      <c r="F74" s="25" t="s">
        <v>286</v>
      </c>
      <c r="G74" s="26">
        <v>0.37361111111111112</v>
      </c>
      <c r="H74" s="26">
        <v>0.40763888888888888</v>
      </c>
      <c r="I74" s="25">
        <v>4</v>
      </c>
      <c r="J74" s="25">
        <v>13</v>
      </c>
      <c r="K74" s="25" t="s">
        <v>198</v>
      </c>
      <c r="L74" s="25">
        <v>12</v>
      </c>
      <c r="M74" s="25">
        <v>34</v>
      </c>
      <c r="N74" s="25" t="s">
        <v>305</v>
      </c>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v>1</v>
      </c>
      <c r="AQ74" s="25"/>
      <c r="AR74" s="25"/>
      <c r="AS74" s="25"/>
      <c r="AT74" s="25"/>
      <c r="AU74" s="25"/>
      <c r="AV74" s="25"/>
      <c r="AW74" s="25"/>
      <c r="AX74" s="25"/>
      <c r="AY74" s="25"/>
      <c r="AZ74" s="25"/>
      <c r="BA74" s="25"/>
      <c r="BB74" s="25"/>
      <c r="BC74" s="25"/>
      <c r="BD74" s="25"/>
      <c r="BE74" s="25">
        <v>7</v>
      </c>
      <c r="BF74" s="25"/>
      <c r="BG74" s="25"/>
      <c r="BH74" s="25">
        <v>1</v>
      </c>
      <c r="BI74" s="25"/>
      <c r="BJ74" s="25"/>
      <c r="BK74" s="25"/>
      <c r="BL74" s="25"/>
      <c r="BM74" s="25">
        <v>41</v>
      </c>
      <c r="BN74" s="25">
        <v>2</v>
      </c>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v>2</v>
      </c>
      <c r="CR74" s="25"/>
      <c r="CS74" s="25"/>
      <c r="CT74" s="25"/>
      <c r="CU74" s="25"/>
      <c r="CV74" s="25"/>
      <c r="CW74" s="25">
        <v>5</v>
      </c>
      <c r="CX74" s="25"/>
      <c r="CY74" s="25"/>
      <c r="CZ74" s="25"/>
      <c r="DA74" s="25"/>
      <c r="DB74" s="25"/>
      <c r="DC74" s="25"/>
      <c r="DD74" s="25"/>
      <c r="DE74" s="25"/>
      <c r="DF74" s="25"/>
      <c r="DG74" s="25">
        <v>1</v>
      </c>
      <c r="DH74" s="25"/>
      <c r="DI74" s="25"/>
      <c r="DJ74" s="25"/>
      <c r="DK74" s="25"/>
      <c r="DL74" s="25"/>
      <c r="DM74" s="25"/>
      <c r="DN74" s="25"/>
      <c r="DO74" s="25"/>
      <c r="DP74" s="25"/>
      <c r="DQ74" s="25"/>
      <c r="DR74" s="25"/>
      <c r="DS74" s="25"/>
      <c r="DT74" s="25"/>
      <c r="DU74" s="25"/>
      <c r="DV74" s="25">
        <v>3</v>
      </c>
      <c r="DW74" s="25"/>
      <c r="DX74" s="25"/>
      <c r="DY74" s="25"/>
      <c r="DZ74" s="25">
        <v>2</v>
      </c>
      <c r="EA74" s="25"/>
      <c r="EB74" s="25"/>
      <c r="EC74" s="25"/>
      <c r="ED74" s="25"/>
      <c r="EE74" s="25">
        <v>1</v>
      </c>
      <c r="EF74" s="25"/>
      <c r="EG74" s="25">
        <v>1</v>
      </c>
      <c r="EH74" s="25"/>
      <c r="EI74" s="25"/>
      <c r="EJ74" s="25">
        <v>13</v>
      </c>
      <c r="EK74" s="25"/>
      <c r="EL74" s="25"/>
      <c r="EM74" s="25"/>
      <c r="EN74" s="25"/>
      <c r="EO74" s="25"/>
      <c r="EP74" s="25"/>
      <c r="EQ74" s="25"/>
      <c r="ER74" s="25"/>
      <c r="ES74" s="25"/>
      <c r="ET74" s="25"/>
      <c r="EU74" s="25"/>
      <c r="EV74" s="25"/>
      <c r="EW74" s="25"/>
      <c r="EX74" s="25">
        <v>2</v>
      </c>
      <c r="EY74" s="25"/>
      <c r="EZ74" s="25"/>
      <c r="FA74" s="25"/>
      <c r="FB74" s="25"/>
      <c r="FC74" s="25">
        <v>2</v>
      </c>
      <c r="FD74" s="25">
        <v>1</v>
      </c>
      <c r="FE74" s="25"/>
      <c r="FF74" s="25">
        <v>21</v>
      </c>
      <c r="FG74" s="25"/>
      <c r="FH74" s="25"/>
      <c r="FI74" s="25"/>
      <c r="FJ74" s="25"/>
      <c r="FK74" s="25"/>
      <c r="FL74" s="25"/>
      <c r="FM74" s="25"/>
      <c r="FN74" s="25"/>
      <c r="FO74" s="25"/>
      <c r="FP74" s="25"/>
      <c r="FQ74" s="25"/>
      <c r="FR74" s="25"/>
      <c r="FS74" s="25">
        <v>460</v>
      </c>
      <c r="FT74" s="25"/>
      <c r="FU74" s="25"/>
      <c r="FV74" s="25"/>
      <c r="FW74" s="25"/>
      <c r="FX74" s="25"/>
      <c r="FY74" s="25"/>
      <c r="FZ74" s="25"/>
      <c r="GA74" s="25"/>
      <c r="GB74" s="25"/>
      <c r="GC74" s="25"/>
      <c r="GD74" s="25"/>
      <c r="GE74" s="25"/>
      <c r="GF74" s="25"/>
      <c r="GG74" s="25"/>
      <c r="GH74" s="25">
        <f>COUNT(R74:GG74)</f>
        <v>18</v>
      </c>
      <c r="GI74" s="25">
        <f>COUNTIF(R74:GG74,"&gt;=2")</f>
        <v>12</v>
      </c>
      <c r="GJ74" s="25">
        <f>COUNTIF(R74:GG74,"&gt;=5")</f>
        <v>6</v>
      </c>
      <c r="GK74" s="25">
        <f>SUM(R74:GG74)</f>
        <v>566</v>
      </c>
      <c r="GL74" s="25">
        <f>25*P74</f>
        <v>0</v>
      </c>
      <c r="GM74" s="25">
        <f>GL74-GK74</f>
        <v>-566</v>
      </c>
      <c r="GN74" s="25"/>
      <c r="GO74" s="25"/>
      <c r="GP74" s="25"/>
      <c r="GQ74" s="25"/>
      <c r="GR74" s="25"/>
      <c r="GS74" s="25"/>
      <c r="GT74" s="25"/>
      <c r="GU74" s="25"/>
      <c r="GV74" s="25"/>
      <c r="GW74" s="25"/>
      <c r="GX74" s="25"/>
      <c r="GY74" s="25"/>
      <c r="GZ74" s="25"/>
      <c r="HA74" s="25"/>
      <c r="HB74" s="25"/>
      <c r="HC74" s="25"/>
      <c r="HD74" s="25"/>
      <c r="HE74" s="25"/>
      <c r="HF74" s="25"/>
      <c r="HG74" s="25"/>
      <c r="HH74" s="25"/>
      <c r="HI74" s="25"/>
    </row>
    <row r="75" spans="1:217" ht="13" x14ac:dyDescent="0.15">
      <c r="A75" s="27">
        <v>42482</v>
      </c>
      <c r="B75" s="28" t="s">
        <v>352</v>
      </c>
      <c r="C75" s="16">
        <f t="shared" si="13"/>
        <v>72</v>
      </c>
      <c r="D75" s="28">
        <v>21.7057</v>
      </c>
      <c r="E75" s="28">
        <v>-157.99569700000001</v>
      </c>
      <c r="F75" s="28" t="s">
        <v>353</v>
      </c>
      <c r="G75" s="29">
        <v>0.42708333333333331</v>
      </c>
      <c r="H75" s="29">
        <v>0.47916666666666669</v>
      </c>
      <c r="I75" s="28">
        <v>5</v>
      </c>
      <c r="J75" s="28">
        <v>17</v>
      </c>
      <c r="K75" s="28" t="s">
        <v>198</v>
      </c>
      <c r="L75" s="28">
        <v>8</v>
      </c>
      <c r="M75" s="28">
        <v>27</v>
      </c>
      <c r="N75" s="28" t="s">
        <v>354</v>
      </c>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v>1</v>
      </c>
      <c r="BN75" s="28">
        <v>328</v>
      </c>
      <c r="BO75" s="28"/>
      <c r="BP75" s="28"/>
      <c r="BQ75" s="28"/>
      <c r="BR75" s="28"/>
      <c r="BS75" s="28"/>
      <c r="BT75" s="28"/>
      <c r="BU75" s="28"/>
      <c r="BV75" s="28"/>
      <c r="BW75" s="28"/>
      <c r="BX75" s="28"/>
      <c r="BY75" s="28"/>
      <c r="BZ75" s="28"/>
      <c r="CA75" s="28"/>
      <c r="CB75" s="28">
        <v>4</v>
      </c>
      <c r="CC75" s="28">
        <v>7</v>
      </c>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v>19</v>
      </c>
      <c r="DQ75" s="28"/>
      <c r="DR75" s="28"/>
      <c r="DS75" s="28"/>
      <c r="DT75" s="28"/>
      <c r="DU75" s="28"/>
      <c r="DV75" s="28">
        <v>5</v>
      </c>
      <c r="DW75" s="28"/>
      <c r="DX75" s="28"/>
      <c r="DY75" s="28"/>
      <c r="DZ75" s="28"/>
      <c r="EA75" s="28"/>
      <c r="EB75" s="28"/>
      <c r="EC75" s="28"/>
      <c r="ED75" s="28">
        <v>2</v>
      </c>
      <c r="EE75" s="28"/>
      <c r="EF75" s="28">
        <v>3</v>
      </c>
      <c r="EG75" s="28"/>
      <c r="EH75" s="28"/>
      <c r="EI75" s="28"/>
      <c r="EJ75" s="28"/>
      <c r="EK75" s="28"/>
      <c r="EL75" s="28"/>
      <c r="EM75" s="28"/>
      <c r="EN75" s="28">
        <v>6</v>
      </c>
      <c r="EO75" s="28"/>
      <c r="EP75" s="28"/>
      <c r="EQ75" s="28"/>
      <c r="ER75" s="28"/>
      <c r="ES75" s="28"/>
      <c r="ET75" s="28"/>
      <c r="EU75" s="28"/>
      <c r="EV75" s="28"/>
      <c r="EW75" s="28"/>
      <c r="EX75" s="28"/>
      <c r="EY75" s="28"/>
      <c r="EZ75" s="28"/>
      <c r="FA75" s="28"/>
      <c r="FB75" s="28"/>
      <c r="FC75" s="28">
        <v>1</v>
      </c>
      <c r="FD75" s="28"/>
      <c r="FE75" s="28"/>
      <c r="FF75" s="28"/>
      <c r="FG75" s="28"/>
      <c r="FH75" s="28"/>
      <c r="FI75" s="28"/>
      <c r="FJ75" s="28"/>
      <c r="FK75" s="28">
        <v>13</v>
      </c>
      <c r="FL75" s="28"/>
      <c r="FM75" s="28"/>
      <c r="FN75" s="28"/>
      <c r="FO75" s="28"/>
      <c r="FP75" s="28"/>
      <c r="FQ75" s="28"/>
      <c r="FR75" s="28"/>
      <c r="FS75" s="28">
        <v>15</v>
      </c>
      <c r="FT75" s="28"/>
      <c r="FU75" s="28"/>
      <c r="FV75" s="28"/>
      <c r="FW75" s="28"/>
      <c r="FX75" s="28"/>
      <c r="FY75" s="28"/>
      <c r="FZ75" s="28"/>
      <c r="GA75" s="28"/>
      <c r="GB75" s="28"/>
      <c r="GC75" s="28"/>
      <c r="GD75" s="28"/>
      <c r="GE75" s="28"/>
      <c r="GF75" s="28"/>
      <c r="GG75" s="28"/>
      <c r="GH75" s="28"/>
      <c r="GI75" s="28"/>
      <c r="GJ75" s="28"/>
      <c r="GK75" s="28"/>
      <c r="GL75" s="28"/>
      <c r="GM75" s="28"/>
      <c r="GN75" s="28"/>
      <c r="GO75" s="28"/>
      <c r="GP75" s="28"/>
      <c r="GQ75" s="28"/>
      <c r="GR75" s="28"/>
      <c r="GS75" s="28"/>
      <c r="GT75" s="28"/>
      <c r="GU75" s="28"/>
      <c r="GV75" s="28"/>
      <c r="GW75" s="28"/>
      <c r="GX75" s="28"/>
      <c r="GY75" s="28"/>
      <c r="GZ75" s="28"/>
      <c r="HA75" s="28"/>
      <c r="HB75" s="28"/>
      <c r="HC75" s="28"/>
      <c r="HD75" s="28"/>
      <c r="HE75" s="28"/>
      <c r="HF75" s="28"/>
      <c r="HG75" s="28"/>
      <c r="HH75" s="28"/>
      <c r="HI75" s="28"/>
    </row>
    <row r="76" spans="1:217" ht="13" x14ac:dyDescent="0.15">
      <c r="A76" s="27">
        <v>42482</v>
      </c>
      <c r="B76" s="28" t="s">
        <v>359</v>
      </c>
      <c r="C76" s="16">
        <f t="shared" si="13"/>
        <v>73</v>
      </c>
      <c r="D76" s="28">
        <v>21.196847999999999</v>
      </c>
      <c r="E76" s="28">
        <v>-157.14347799999999</v>
      </c>
      <c r="F76" s="28" t="s">
        <v>286</v>
      </c>
      <c r="G76" s="29">
        <v>0.35972222222222222</v>
      </c>
      <c r="H76" s="29">
        <v>0.39583333333333331</v>
      </c>
      <c r="I76" s="28">
        <v>4</v>
      </c>
      <c r="J76" s="28">
        <v>13</v>
      </c>
      <c r="K76" s="28" t="s">
        <v>314</v>
      </c>
      <c r="L76" s="28">
        <v>14</v>
      </c>
      <c r="M76" s="28">
        <v>36</v>
      </c>
      <c r="N76" s="28" t="s">
        <v>362</v>
      </c>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v>2</v>
      </c>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v>10</v>
      </c>
      <c r="EK76" s="28"/>
      <c r="EL76" s="28"/>
      <c r="EM76" s="28"/>
      <c r="EN76" s="28"/>
      <c r="EO76" s="28"/>
      <c r="EP76" s="28"/>
      <c r="EQ76" s="28"/>
      <c r="ER76" s="28"/>
      <c r="ES76" s="28"/>
      <c r="ET76" s="28"/>
      <c r="EU76" s="28"/>
      <c r="EV76" s="28"/>
      <c r="EW76" s="28"/>
      <c r="EX76" s="28"/>
      <c r="EY76" s="28"/>
      <c r="EZ76" s="28"/>
      <c r="FA76" s="28"/>
      <c r="FB76" s="28"/>
      <c r="FC76" s="28"/>
      <c r="FD76" s="28"/>
      <c r="FE76" s="28"/>
      <c r="FF76" s="28"/>
      <c r="FG76" s="28"/>
      <c r="FH76" s="28"/>
      <c r="FI76" s="28"/>
      <c r="FJ76" s="28"/>
      <c r="FK76" s="28"/>
      <c r="FL76" s="28">
        <v>1</v>
      </c>
      <c r="FM76" s="28"/>
      <c r="FN76" s="28"/>
      <c r="FO76" s="28"/>
      <c r="FP76" s="28"/>
      <c r="FQ76" s="28"/>
      <c r="FR76" s="28"/>
      <c r="FS76" s="28">
        <v>667</v>
      </c>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c r="GV76" s="28"/>
      <c r="GW76" s="28"/>
      <c r="GX76" s="28"/>
      <c r="GY76" s="28"/>
      <c r="GZ76" s="28"/>
      <c r="HA76" s="28"/>
      <c r="HB76" s="28"/>
      <c r="HC76" s="28"/>
      <c r="HD76" s="28"/>
      <c r="HE76" s="28"/>
      <c r="HF76" s="28"/>
      <c r="HG76" s="28"/>
      <c r="HH76" s="28"/>
      <c r="HI76" s="28"/>
    </row>
    <row r="77" spans="1:217" ht="13" x14ac:dyDescent="0.15">
      <c r="A77" s="27">
        <v>42487</v>
      </c>
      <c r="B77" s="28" t="s">
        <v>366</v>
      </c>
      <c r="C77" s="16">
        <f t="shared" si="13"/>
        <v>74</v>
      </c>
      <c r="D77" s="28">
        <v>19.715052</v>
      </c>
      <c r="E77" s="28">
        <v>-156.04913300000001</v>
      </c>
      <c r="F77" s="28" t="s">
        <v>367</v>
      </c>
      <c r="G77" s="29">
        <v>0.44444444444444442</v>
      </c>
      <c r="H77" s="29">
        <v>0.46805555555555556</v>
      </c>
      <c r="I77" s="28">
        <v>4</v>
      </c>
      <c r="J77" s="28">
        <v>40</v>
      </c>
      <c r="K77" s="28" t="s">
        <v>198</v>
      </c>
      <c r="L77" s="28">
        <v>11</v>
      </c>
      <c r="M77" s="28">
        <v>38</v>
      </c>
      <c r="N77" s="28" t="s">
        <v>368</v>
      </c>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v>8</v>
      </c>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c r="ET77" s="28"/>
      <c r="EU77" s="28"/>
      <c r="EV77" s="28"/>
      <c r="EW77" s="28"/>
      <c r="EX77" s="28"/>
      <c r="EY77" s="28"/>
      <c r="EZ77" s="28"/>
      <c r="FA77" s="28"/>
      <c r="FB77" s="28"/>
      <c r="FC77" s="28"/>
      <c r="FD77" s="28"/>
      <c r="FE77" s="28"/>
      <c r="FF77" s="28"/>
      <c r="FG77" s="28"/>
      <c r="FH77" s="28"/>
      <c r="FI77" s="28"/>
      <c r="FJ77" s="28"/>
      <c r="FK77" s="28"/>
      <c r="FL77" s="28"/>
      <c r="FM77" s="28"/>
      <c r="FN77" s="28"/>
      <c r="FO77" s="28">
        <v>1</v>
      </c>
      <c r="FP77" s="28"/>
      <c r="FQ77" s="28"/>
      <c r="FR77" s="28"/>
      <c r="FS77" s="28">
        <v>789</v>
      </c>
      <c r="FT77" s="28"/>
      <c r="FU77" s="28"/>
      <c r="FV77" s="28"/>
      <c r="FW77" s="28"/>
      <c r="FX77" s="28"/>
      <c r="FY77" s="28"/>
      <c r="FZ77" s="28"/>
      <c r="GA77" s="28"/>
      <c r="GB77" s="28"/>
      <c r="GC77" s="28"/>
      <c r="GD77" s="28"/>
      <c r="GE77" s="28"/>
      <c r="GF77" s="28"/>
      <c r="GG77" s="28"/>
      <c r="GH77" s="28"/>
      <c r="GI77" s="28"/>
      <c r="GJ77" s="28"/>
      <c r="GK77" s="28"/>
      <c r="GL77" s="28"/>
      <c r="GM77" s="28"/>
      <c r="GN77" s="28"/>
      <c r="GO77" s="28"/>
      <c r="GP77" s="28"/>
      <c r="GQ77" s="28"/>
      <c r="GR77" s="28"/>
      <c r="GS77" s="28"/>
      <c r="GT77" s="28"/>
      <c r="GU77" s="28"/>
      <c r="GV77" s="28"/>
      <c r="GW77" s="28"/>
      <c r="GX77" s="28"/>
      <c r="GY77" s="28"/>
      <c r="GZ77" s="28"/>
      <c r="HA77" s="28"/>
      <c r="HB77" s="28"/>
      <c r="HC77" s="28"/>
      <c r="HD77" s="28"/>
      <c r="HE77" s="28"/>
      <c r="HF77" s="28"/>
      <c r="HG77" s="28"/>
      <c r="HH77" s="28"/>
      <c r="HI77" s="28"/>
    </row>
    <row r="78" spans="1:217" ht="13" x14ac:dyDescent="0.15">
      <c r="A78" s="13">
        <v>42488</v>
      </c>
      <c r="B78" s="3" t="s">
        <v>230</v>
      </c>
      <c r="C78" s="16">
        <f t="shared" si="13"/>
        <v>75</v>
      </c>
      <c r="D78" s="3">
        <v>20.753699999999998</v>
      </c>
      <c r="E78" s="3">
        <v>-156.46090699999999</v>
      </c>
      <c r="F78" s="3" t="s">
        <v>274</v>
      </c>
      <c r="G78" s="14">
        <v>0.41111111111111109</v>
      </c>
      <c r="H78" s="14">
        <v>0.51527777777777772</v>
      </c>
      <c r="I78" s="3">
        <v>4</v>
      </c>
      <c r="J78" s="3">
        <v>14</v>
      </c>
      <c r="K78" s="3" t="s">
        <v>277</v>
      </c>
      <c r="L78" s="3">
        <v>10</v>
      </c>
      <c r="M78" s="3">
        <v>39</v>
      </c>
      <c r="N78" s="3" t="s">
        <v>306</v>
      </c>
      <c r="P78" s="3">
        <v>39</v>
      </c>
      <c r="BK78" s="3">
        <v>31</v>
      </c>
      <c r="BM78" s="3">
        <v>397</v>
      </c>
      <c r="BQ78" s="3">
        <v>5</v>
      </c>
      <c r="ED78" s="3">
        <v>15</v>
      </c>
      <c r="FS78" s="3">
        <v>22</v>
      </c>
      <c r="GH78" s="3">
        <f t="shared" ref="GH78:GH79" si="26">COUNT(R78:GG78)</f>
        <v>5</v>
      </c>
      <c r="GI78" s="3">
        <f t="shared" ref="GI78:GI79" si="27">COUNTIF(R78:GG78,"&gt;=2")</f>
        <v>5</v>
      </c>
      <c r="GJ78" s="3">
        <f t="shared" ref="GJ78:GJ79" si="28">COUNTIF(R78:GG78,"&gt;=5")</f>
        <v>5</v>
      </c>
      <c r="GK78" s="3">
        <f t="shared" ref="GK78:GK79" si="29">SUM(R78:GG78)</f>
        <v>470</v>
      </c>
      <c r="GL78" s="3">
        <f t="shared" ref="GL78:GL79" si="30">25*P78</f>
        <v>975</v>
      </c>
      <c r="GM78" s="3">
        <f t="shared" ref="GM78:GM79" si="31">GL78-GK78</f>
        <v>505</v>
      </c>
    </row>
    <row r="79" spans="1:217" ht="13" x14ac:dyDescent="0.15">
      <c r="A79" s="13">
        <v>42495</v>
      </c>
      <c r="B79" s="3" t="s">
        <v>307</v>
      </c>
      <c r="C79" s="16">
        <f t="shared" si="13"/>
        <v>76</v>
      </c>
      <c r="D79" s="3">
        <v>19.736111000000001</v>
      </c>
      <c r="E79" s="3">
        <v>-155.03083799999999</v>
      </c>
      <c r="F79" s="3" t="s">
        <v>308</v>
      </c>
      <c r="G79" s="14">
        <v>0.36180555555555555</v>
      </c>
      <c r="H79" s="14">
        <v>0.41666666666666669</v>
      </c>
      <c r="I79" s="3">
        <v>8</v>
      </c>
      <c r="J79" s="3">
        <v>11</v>
      </c>
      <c r="K79" s="3" t="s">
        <v>198</v>
      </c>
      <c r="L79" s="3">
        <v>11</v>
      </c>
      <c r="M79" s="3">
        <v>64</v>
      </c>
      <c r="N79" s="3" t="s">
        <v>309</v>
      </c>
      <c r="P79" s="3">
        <v>64</v>
      </c>
      <c r="R79" s="3">
        <v>42</v>
      </c>
      <c r="T79" s="3">
        <v>38</v>
      </c>
      <c r="AD79" s="3">
        <v>5</v>
      </c>
      <c r="BE79" s="3">
        <v>2</v>
      </c>
      <c r="BK79" s="3">
        <v>15</v>
      </c>
      <c r="BM79" s="3">
        <v>162</v>
      </c>
      <c r="BV79" s="3">
        <v>3</v>
      </c>
      <c r="CB79" s="3">
        <v>12</v>
      </c>
      <c r="CO79" s="3">
        <v>55</v>
      </c>
      <c r="ED79" s="3">
        <v>3</v>
      </c>
      <c r="EJ79" s="3">
        <v>27</v>
      </c>
      <c r="EX79" s="3">
        <v>1</v>
      </c>
      <c r="FL79" s="3">
        <v>71</v>
      </c>
      <c r="FQ79" s="3">
        <v>1</v>
      </c>
      <c r="FR79" s="3">
        <v>2</v>
      </c>
      <c r="FS79" s="3">
        <v>382</v>
      </c>
      <c r="FT79" s="3">
        <v>1</v>
      </c>
      <c r="GH79" s="3">
        <f t="shared" si="26"/>
        <v>17</v>
      </c>
      <c r="GI79" s="3">
        <f t="shared" si="27"/>
        <v>14</v>
      </c>
      <c r="GJ79" s="3">
        <f t="shared" si="28"/>
        <v>10</v>
      </c>
      <c r="GK79" s="3">
        <f t="shared" si="29"/>
        <v>822</v>
      </c>
      <c r="GL79" s="3">
        <f t="shared" si="30"/>
        <v>1600</v>
      </c>
      <c r="GM79" s="3">
        <f t="shared" si="31"/>
        <v>778</v>
      </c>
    </row>
    <row r="80" spans="1:217" ht="13" x14ac:dyDescent="0.15">
      <c r="A80" s="27">
        <v>42508</v>
      </c>
      <c r="B80" s="28" t="s">
        <v>377</v>
      </c>
      <c r="C80" s="16">
        <f t="shared" si="13"/>
        <v>77</v>
      </c>
      <c r="D80" s="28">
        <v>20.704999999999998</v>
      </c>
      <c r="E80" s="28">
        <v>-156.446945</v>
      </c>
      <c r="F80" s="28" t="s">
        <v>378</v>
      </c>
      <c r="G80" s="29">
        <v>0.37222222222222223</v>
      </c>
      <c r="H80" s="29">
        <v>0.41666666666666669</v>
      </c>
      <c r="I80" s="28">
        <v>9</v>
      </c>
      <c r="J80" s="28">
        <v>13</v>
      </c>
      <c r="K80" s="28" t="s">
        <v>217</v>
      </c>
      <c r="L80" s="28">
        <v>9</v>
      </c>
      <c r="M80" s="28">
        <v>8</v>
      </c>
      <c r="N80" s="28" t="s">
        <v>379</v>
      </c>
      <c r="O80" s="28"/>
      <c r="P80" s="28"/>
      <c r="Q80" s="28"/>
      <c r="R80" s="28">
        <v>1</v>
      </c>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v>13</v>
      </c>
      <c r="BC80" s="28"/>
      <c r="BD80" s="28"/>
      <c r="BE80" s="28"/>
      <c r="BF80" s="28"/>
      <c r="BG80" s="28"/>
      <c r="BH80" s="28"/>
      <c r="BI80" s="28"/>
      <c r="BJ80" s="28"/>
      <c r="BK80" s="28">
        <v>2</v>
      </c>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v>5</v>
      </c>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c r="ET80" s="28"/>
      <c r="EU80" s="28"/>
      <c r="EV80" s="28"/>
      <c r="EW80" s="28"/>
      <c r="EX80" s="28">
        <v>1</v>
      </c>
      <c r="EY80" s="28"/>
      <c r="EZ80" s="28"/>
      <c r="FA80" s="28"/>
      <c r="FB80" s="28"/>
      <c r="FC80" s="28"/>
      <c r="FD80" s="28"/>
      <c r="FE80" s="28"/>
      <c r="FF80" s="28"/>
      <c r="FG80" s="28"/>
      <c r="FH80" s="28"/>
      <c r="FI80" s="28"/>
      <c r="FJ80" s="28"/>
      <c r="FK80" s="28"/>
      <c r="FL80" s="28"/>
      <c r="FM80" s="28"/>
      <c r="FN80" s="28"/>
      <c r="FO80" s="28"/>
      <c r="FP80" s="28"/>
      <c r="FQ80" s="28"/>
      <c r="FR80" s="28"/>
      <c r="FS80" s="28"/>
      <c r="FT80" s="28"/>
      <c r="FU80" s="28">
        <v>21</v>
      </c>
      <c r="FV80" s="28"/>
      <c r="FW80" s="28"/>
      <c r="FX80" s="28"/>
      <c r="FY80" s="28"/>
      <c r="FZ80" s="28"/>
      <c r="GA80" s="28"/>
      <c r="GB80" s="28"/>
      <c r="GC80" s="28"/>
      <c r="GD80" s="28"/>
      <c r="GE80" s="28"/>
      <c r="GF80" s="28"/>
      <c r="GG80" s="28"/>
      <c r="GH80" s="28"/>
      <c r="GI80" s="28"/>
      <c r="GJ80" s="28"/>
      <c r="GK80" s="28"/>
      <c r="GL80" s="28"/>
      <c r="GM80" s="28"/>
      <c r="GN80" s="28"/>
      <c r="GO80" s="28"/>
      <c r="GP80" s="28"/>
      <c r="GQ80" s="28"/>
      <c r="GR80" s="28"/>
      <c r="GS80" s="28"/>
      <c r="GT80" s="28"/>
      <c r="GU80" s="28"/>
      <c r="GV80" s="28"/>
      <c r="GW80" s="28"/>
      <c r="GX80" s="28"/>
      <c r="GY80" s="28"/>
      <c r="GZ80" s="28"/>
      <c r="HA80" s="28"/>
      <c r="HB80" s="28"/>
      <c r="HC80" s="28"/>
      <c r="HD80" s="28"/>
      <c r="HE80" s="28"/>
      <c r="HF80" s="28"/>
      <c r="HG80" s="28"/>
      <c r="HH80" s="28"/>
      <c r="HI80" s="28"/>
    </row>
    <row r="81" spans="1:217" ht="13" x14ac:dyDescent="0.15">
      <c r="A81" s="13">
        <v>42510</v>
      </c>
      <c r="B81" s="3" t="s">
        <v>310</v>
      </c>
      <c r="C81" s="16">
        <f t="shared" si="13"/>
        <v>78</v>
      </c>
      <c r="D81" s="3">
        <v>19.457222000000002</v>
      </c>
      <c r="E81" s="3">
        <v>-155.925003</v>
      </c>
      <c r="F81" s="3" t="s">
        <v>197</v>
      </c>
      <c r="G81" s="14">
        <v>0.31944444444444442</v>
      </c>
      <c r="H81" s="14">
        <v>0.38541666666666669</v>
      </c>
      <c r="I81" s="3">
        <v>4</v>
      </c>
      <c r="J81" s="3">
        <v>30</v>
      </c>
      <c r="K81" s="3" t="s">
        <v>198</v>
      </c>
      <c r="L81" s="3">
        <v>14</v>
      </c>
      <c r="M81" s="3">
        <v>41</v>
      </c>
      <c r="N81" s="3" t="s">
        <v>311</v>
      </c>
      <c r="P81" s="3">
        <v>41</v>
      </c>
      <c r="AB81" s="3">
        <v>55</v>
      </c>
      <c r="AM81" s="3">
        <v>102</v>
      </c>
      <c r="BB81" s="3">
        <v>4</v>
      </c>
      <c r="BG81" s="3">
        <v>4</v>
      </c>
      <c r="BM81" s="3">
        <v>60</v>
      </c>
      <c r="CB81" s="3">
        <v>2</v>
      </c>
      <c r="CG81" s="3"/>
      <c r="CH81" s="3">
        <v>1</v>
      </c>
      <c r="DM81" s="3">
        <v>4</v>
      </c>
      <c r="DU81" s="3"/>
      <c r="DV81" s="3">
        <v>36</v>
      </c>
      <c r="EJ81" s="3">
        <v>13</v>
      </c>
      <c r="FB81" s="3">
        <v>37</v>
      </c>
      <c r="FC81" s="3">
        <v>1</v>
      </c>
      <c r="FF81" s="3">
        <v>70</v>
      </c>
      <c r="FQ81" s="3">
        <v>13</v>
      </c>
      <c r="FR81" s="3">
        <v>109</v>
      </c>
      <c r="FS81" s="3">
        <v>265</v>
      </c>
      <c r="GH81" s="3">
        <f t="shared" ref="GH81:GH93" si="32">COUNT(R81:GG81)</f>
        <v>16</v>
      </c>
      <c r="GI81" s="3">
        <f t="shared" ref="GI81:GI93" si="33">COUNTIF(R81:GG81,"&gt;=2")</f>
        <v>14</v>
      </c>
      <c r="GJ81" s="3">
        <f t="shared" ref="GJ81:GJ93" si="34">COUNTIF(R81:GG81,"&gt;=5")</f>
        <v>10</v>
      </c>
      <c r="GK81" s="3">
        <f t="shared" ref="GK81:GK93" si="35">SUM(R81:GG81)</f>
        <v>776</v>
      </c>
      <c r="GL81" s="3">
        <f t="shared" ref="GL81:GL93" si="36">25*P81</f>
        <v>1025</v>
      </c>
      <c r="GM81" s="3">
        <f t="shared" ref="GM81:GM93" si="37">GL81-GK81</f>
        <v>249</v>
      </c>
    </row>
    <row r="82" spans="1:217" ht="13" x14ac:dyDescent="0.15">
      <c r="A82" s="13">
        <v>42761</v>
      </c>
      <c r="B82" s="3" t="s">
        <v>233</v>
      </c>
      <c r="C82" s="16">
        <f t="shared" si="13"/>
        <v>79</v>
      </c>
      <c r="D82" s="23">
        <v>21.066799</v>
      </c>
      <c r="E82" s="23">
        <v>-156.804993</v>
      </c>
      <c r="F82" s="3" t="s">
        <v>286</v>
      </c>
      <c r="G82" s="14">
        <v>0.41666666666666669</v>
      </c>
      <c r="H82" s="14">
        <v>0.47222222222222221</v>
      </c>
      <c r="I82" s="3">
        <v>4</v>
      </c>
      <c r="J82" s="3">
        <v>20</v>
      </c>
      <c r="K82" s="3" t="s">
        <v>217</v>
      </c>
      <c r="L82" s="3">
        <v>10</v>
      </c>
      <c r="M82" s="3">
        <v>20</v>
      </c>
      <c r="N82" s="3" t="s">
        <v>316</v>
      </c>
      <c r="O82" s="3" t="s">
        <v>317</v>
      </c>
      <c r="P82" s="3">
        <v>20</v>
      </c>
      <c r="R82" s="3">
        <v>20</v>
      </c>
      <c r="Y82" s="3"/>
      <c r="Z82" s="3">
        <v>57</v>
      </c>
      <c r="CO82" s="3">
        <v>20</v>
      </c>
      <c r="DM82" s="3">
        <v>35</v>
      </c>
      <c r="DR82" s="3"/>
      <c r="DS82" s="3">
        <v>7</v>
      </c>
      <c r="FS82" s="3">
        <v>219</v>
      </c>
      <c r="FZ82" s="3">
        <v>24</v>
      </c>
      <c r="GH82" s="3">
        <f t="shared" si="32"/>
        <v>7</v>
      </c>
      <c r="GI82" s="3">
        <f t="shared" si="33"/>
        <v>7</v>
      </c>
      <c r="GJ82" s="3">
        <f t="shared" si="34"/>
        <v>7</v>
      </c>
      <c r="GK82" s="3">
        <f t="shared" si="35"/>
        <v>382</v>
      </c>
      <c r="GL82" s="3">
        <f t="shared" si="36"/>
        <v>500</v>
      </c>
      <c r="GM82" s="3">
        <f t="shared" si="37"/>
        <v>118</v>
      </c>
    </row>
    <row r="83" spans="1:217" ht="13" x14ac:dyDescent="0.15">
      <c r="A83" s="13">
        <v>42778</v>
      </c>
      <c r="B83" s="3" t="s">
        <v>201</v>
      </c>
      <c r="C83" s="16">
        <f t="shared" si="13"/>
        <v>80</v>
      </c>
      <c r="D83" s="3">
        <v>21.25544</v>
      </c>
      <c r="E83" s="3">
        <v>-157.810303</v>
      </c>
      <c r="F83" s="3" t="s">
        <v>197</v>
      </c>
      <c r="G83" s="14">
        <v>0.44791666666666669</v>
      </c>
      <c r="H83" s="14">
        <v>0.48958333333333331</v>
      </c>
      <c r="I83" s="3">
        <v>9</v>
      </c>
      <c r="J83" s="3">
        <v>12</v>
      </c>
      <c r="K83" s="3" t="s">
        <v>318</v>
      </c>
      <c r="L83" s="3">
        <v>7</v>
      </c>
      <c r="M83" s="3">
        <v>47</v>
      </c>
      <c r="N83" s="3" t="s">
        <v>319</v>
      </c>
      <c r="P83" s="3">
        <v>47</v>
      </c>
      <c r="R83" s="3">
        <v>2</v>
      </c>
      <c r="AA83" s="3"/>
      <c r="AB83" s="3">
        <v>4</v>
      </c>
      <c r="AC83" s="3">
        <v>1</v>
      </c>
      <c r="AI83" s="3">
        <v>14</v>
      </c>
      <c r="AZ83" s="3">
        <v>1</v>
      </c>
      <c r="BA83" s="3"/>
      <c r="BB83" s="3">
        <v>22</v>
      </c>
      <c r="BM83" s="3">
        <v>31</v>
      </c>
      <c r="BN83" s="3">
        <v>18</v>
      </c>
      <c r="BQ83" s="3">
        <v>23</v>
      </c>
      <c r="BV83" s="3">
        <v>11</v>
      </c>
      <c r="BZ83" s="3">
        <v>19</v>
      </c>
      <c r="CG83" s="3"/>
      <c r="CH83" s="3">
        <v>7</v>
      </c>
      <c r="CJ83" s="3"/>
      <c r="CK83" s="3">
        <v>1</v>
      </c>
      <c r="CO83" s="3">
        <v>3</v>
      </c>
      <c r="CS83" s="3">
        <v>9</v>
      </c>
      <c r="DF83" s="3"/>
      <c r="DG83" s="3">
        <v>1</v>
      </c>
      <c r="DJ83" s="3">
        <v>21</v>
      </c>
      <c r="DL83" s="3">
        <v>24</v>
      </c>
      <c r="DM83" s="3">
        <v>33</v>
      </c>
      <c r="DN83" s="3">
        <v>2</v>
      </c>
      <c r="DO83" s="3">
        <v>1</v>
      </c>
      <c r="DR83" s="3"/>
      <c r="DS83" s="3">
        <v>41</v>
      </c>
      <c r="DT83" s="3"/>
      <c r="DU83" s="3"/>
      <c r="DV83" s="3">
        <v>36</v>
      </c>
      <c r="DZ83" s="3">
        <v>1</v>
      </c>
      <c r="EC83" s="3">
        <v>2</v>
      </c>
      <c r="EE83" s="3"/>
      <c r="EF83" s="3">
        <v>1</v>
      </c>
      <c r="EJ83" s="3">
        <v>137</v>
      </c>
      <c r="EY83" s="3"/>
      <c r="EZ83" s="3">
        <v>15</v>
      </c>
      <c r="FA83" s="3">
        <v>5</v>
      </c>
      <c r="FB83" s="3">
        <v>22</v>
      </c>
      <c r="FC83" s="3">
        <v>4</v>
      </c>
      <c r="FI83" s="3">
        <v>2</v>
      </c>
      <c r="FM83" s="3">
        <v>4</v>
      </c>
      <c r="FR83" s="3">
        <v>46</v>
      </c>
      <c r="FS83" s="3">
        <v>328</v>
      </c>
      <c r="GE83" s="3"/>
      <c r="GF83" s="3">
        <v>2</v>
      </c>
      <c r="GH83" s="3">
        <f t="shared" si="32"/>
        <v>36</v>
      </c>
      <c r="GI83" s="3">
        <f t="shared" si="33"/>
        <v>29</v>
      </c>
      <c r="GJ83" s="3">
        <f t="shared" si="34"/>
        <v>20</v>
      </c>
      <c r="GK83" s="3">
        <f t="shared" si="35"/>
        <v>894</v>
      </c>
      <c r="GL83" s="3">
        <f t="shared" si="36"/>
        <v>1175</v>
      </c>
      <c r="GM83" s="3">
        <f t="shared" si="37"/>
        <v>281</v>
      </c>
    </row>
    <row r="84" spans="1:217" ht="13" x14ac:dyDescent="0.15">
      <c r="A84" s="13">
        <v>42788</v>
      </c>
      <c r="B84" s="3" t="s">
        <v>320</v>
      </c>
      <c r="C84" s="16">
        <f t="shared" si="13"/>
        <v>81</v>
      </c>
      <c r="D84" s="3">
        <v>22.005989</v>
      </c>
      <c r="E84" s="3">
        <v>-159.33564799999999</v>
      </c>
      <c r="F84" s="3" t="s">
        <v>321</v>
      </c>
      <c r="G84" s="14">
        <v>0.38194444444444442</v>
      </c>
      <c r="H84" s="14">
        <v>0.48125000000000001</v>
      </c>
      <c r="I84" s="3">
        <v>2</v>
      </c>
      <c r="J84" s="3">
        <v>8</v>
      </c>
      <c r="K84" s="3" t="s">
        <v>318</v>
      </c>
      <c r="L84" s="3">
        <v>7</v>
      </c>
      <c r="M84" s="3">
        <v>12</v>
      </c>
      <c r="N84" s="3" t="s">
        <v>322</v>
      </c>
      <c r="P84" s="3">
        <v>12</v>
      </c>
      <c r="R84" s="3">
        <v>35</v>
      </c>
      <c r="AM84" s="3">
        <v>40</v>
      </c>
      <c r="BA84" s="3"/>
      <c r="BB84" s="3">
        <v>2</v>
      </c>
      <c r="BW84" s="3">
        <v>23</v>
      </c>
      <c r="DL84" s="3">
        <v>14</v>
      </c>
      <c r="DT84" s="3"/>
      <c r="DU84" s="3"/>
      <c r="DV84" s="3">
        <v>42</v>
      </c>
      <c r="EJ84" s="3">
        <v>9</v>
      </c>
      <c r="EY84" s="3"/>
      <c r="EZ84" s="3">
        <v>8</v>
      </c>
      <c r="FD84" s="3"/>
      <c r="FE84" s="3">
        <v>1</v>
      </c>
      <c r="FS84" s="3">
        <v>27</v>
      </c>
      <c r="FU84" s="3">
        <v>1</v>
      </c>
      <c r="GA84" s="3">
        <v>1</v>
      </c>
      <c r="GH84" s="3">
        <f t="shared" si="32"/>
        <v>12</v>
      </c>
      <c r="GI84" s="3">
        <f t="shared" si="33"/>
        <v>9</v>
      </c>
      <c r="GJ84" s="3">
        <f t="shared" si="34"/>
        <v>8</v>
      </c>
      <c r="GK84" s="3">
        <f t="shared" si="35"/>
        <v>203</v>
      </c>
      <c r="GL84" s="3">
        <f t="shared" si="36"/>
        <v>300</v>
      </c>
      <c r="GM84" s="3">
        <f t="shared" si="37"/>
        <v>97</v>
      </c>
    </row>
    <row r="85" spans="1:217" ht="13" x14ac:dyDescent="0.15">
      <c r="A85" s="13">
        <v>42791</v>
      </c>
      <c r="B85" s="3" t="s">
        <v>244</v>
      </c>
      <c r="C85" s="16">
        <f t="shared" si="13"/>
        <v>82</v>
      </c>
      <c r="D85" s="3">
        <v>21.310611999999999</v>
      </c>
      <c r="E85" s="3">
        <v>-158.00441000000001</v>
      </c>
      <c r="F85" s="3" t="s">
        <v>197</v>
      </c>
      <c r="G85" s="14">
        <v>0.41319444444444442</v>
      </c>
      <c r="H85" s="14">
        <v>0.47916666666666669</v>
      </c>
      <c r="I85" s="3">
        <v>9</v>
      </c>
      <c r="J85" s="3">
        <v>14</v>
      </c>
      <c r="K85" s="3" t="s">
        <v>318</v>
      </c>
      <c r="L85" s="3">
        <v>8</v>
      </c>
      <c r="M85" s="3">
        <v>54</v>
      </c>
      <c r="N85" s="3" t="s">
        <v>323</v>
      </c>
      <c r="P85" s="3">
        <v>54</v>
      </c>
      <c r="R85" s="3">
        <v>147</v>
      </c>
      <c r="T85" s="3">
        <v>3</v>
      </c>
      <c r="U85" s="3"/>
      <c r="V85" s="3">
        <v>1</v>
      </c>
      <c r="AA85" s="3"/>
      <c r="AB85" s="3">
        <v>2</v>
      </c>
      <c r="AE85" s="3">
        <v>19</v>
      </c>
      <c r="AI85" s="3">
        <v>7</v>
      </c>
      <c r="AR85" s="3">
        <v>6</v>
      </c>
      <c r="AS85" s="3">
        <v>3</v>
      </c>
      <c r="BA85" s="3"/>
      <c r="BB85" s="3">
        <v>9</v>
      </c>
      <c r="BC85" s="3">
        <v>4</v>
      </c>
      <c r="BE85" s="3">
        <v>25</v>
      </c>
      <c r="BK85" s="3">
        <v>1</v>
      </c>
      <c r="BM85" s="3">
        <v>62</v>
      </c>
      <c r="BN85" s="3">
        <v>10</v>
      </c>
      <c r="BQ85" s="3">
        <v>6</v>
      </c>
      <c r="BU85" s="3">
        <v>8</v>
      </c>
      <c r="BV85" s="3">
        <v>31</v>
      </c>
      <c r="BY85" s="3">
        <v>2</v>
      </c>
      <c r="BZ85" s="3">
        <v>32</v>
      </c>
      <c r="CG85" s="3"/>
      <c r="CH85" s="3">
        <v>4</v>
      </c>
      <c r="CS85" s="3">
        <v>6</v>
      </c>
      <c r="DF85" s="3"/>
      <c r="DG85" s="3">
        <v>65</v>
      </c>
      <c r="DJ85" s="3">
        <v>11</v>
      </c>
      <c r="DM85" s="3">
        <v>40</v>
      </c>
      <c r="DO85" s="3">
        <v>7</v>
      </c>
      <c r="DQ85" s="3">
        <v>2</v>
      </c>
      <c r="DT85" s="3"/>
      <c r="DU85" s="3"/>
      <c r="DV85" s="3">
        <v>30</v>
      </c>
      <c r="EC85" s="3">
        <v>1</v>
      </c>
      <c r="EJ85" s="3">
        <v>293</v>
      </c>
      <c r="EO85" s="3">
        <v>4</v>
      </c>
      <c r="EY85" s="3">
        <v>1</v>
      </c>
      <c r="FB85" s="3">
        <v>5</v>
      </c>
      <c r="FQ85" s="3">
        <v>1</v>
      </c>
      <c r="FS85" s="3">
        <v>288</v>
      </c>
      <c r="FT85" s="3">
        <v>1</v>
      </c>
      <c r="GE85" s="3"/>
      <c r="GF85" s="3">
        <v>8</v>
      </c>
      <c r="GH85" s="3">
        <f t="shared" si="32"/>
        <v>36</v>
      </c>
      <c r="GI85" s="3">
        <f t="shared" si="33"/>
        <v>30</v>
      </c>
      <c r="GJ85" s="3">
        <f t="shared" si="34"/>
        <v>22</v>
      </c>
      <c r="GK85" s="3">
        <f t="shared" si="35"/>
        <v>1145</v>
      </c>
      <c r="GL85" s="3">
        <f t="shared" si="36"/>
        <v>1350</v>
      </c>
      <c r="GM85" s="3">
        <f t="shared" si="37"/>
        <v>205</v>
      </c>
    </row>
    <row r="86" spans="1:217" ht="13" x14ac:dyDescent="0.15">
      <c r="A86" s="13">
        <v>42798</v>
      </c>
      <c r="B86" s="3" t="s">
        <v>230</v>
      </c>
      <c r="C86" s="16">
        <f t="shared" si="13"/>
        <v>83</v>
      </c>
      <c r="D86" s="3">
        <v>20.753699999999998</v>
      </c>
      <c r="E86" s="3">
        <v>-156.46090699999999</v>
      </c>
      <c r="F86" s="3" t="s">
        <v>197</v>
      </c>
      <c r="G86" s="14">
        <v>0.59027777777777779</v>
      </c>
      <c r="H86" s="14">
        <v>0.67708333333333337</v>
      </c>
      <c r="I86" s="3">
        <v>3</v>
      </c>
      <c r="J86" s="3">
        <v>21</v>
      </c>
      <c r="K86" s="3" t="s">
        <v>318</v>
      </c>
      <c r="L86" s="3">
        <v>16</v>
      </c>
      <c r="M86" s="3">
        <v>43</v>
      </c>
      <c r="N86" s="3" t="s">
        <v>324</v>
      </c>
      <c r="P86" s="3">
        <v>43</v>
      </c>
      <c r="R86" s="3">
        <v>192</v>
      </c>
      <c r="AM86" s="3">
        <v>21</v>
      </c>
      <c r="BM86" s="3">
        <v>299</v>
      </c>
      <c r="CJ86" s="3">
        <v>6</v>
      </c>
      <c r="DF86" s="3"/>
      <c r="DG86" s="3">
        <v>13</v>
      </c>
      <c r="DP86" s="3">
        <v>1</v>
      </c>
      <c r="DT86" s="3"/>
      <c r="DU86" s="3"/>
      <c r="DV86" s="3">
        <v>2</v>
      </c>
      <c r="ED86" s="3">
        <v>1</v>
      </c>
      <c r="EG86" s="3">
        <v>1</v>
      </c>
      <c r="EX86" s="3">
        <v>60</v>
      </c>
      <c r="FQ86" s="3">
        <v>1</v>
      </c>
      <c r="FS86" s="3">
        <v>58</v>
      </c>
      <c r="FT86" s="3">
        <v>6</v>
      </c>
      <c r="GD86" s="3">
        <v>1</v>
      </c>
      <c r="GE86" s="3"/>
      <c r="GF86" s="3">
        <v>1</v>
      </c>
      <c r="GH86" s="3">
        <f t="shared" si="32"/>
        <v>15</v>
      </c>
      <c r="GI86" s="3">
        <f t="shared" si="33"/>
        <v>9</v>
      </c>
      <c r="GJ86" s="3">
        <f t="shared" si="34"/>
        <v>8</v>
      </c>
      <c r="GK86" s="3">
        <f t="shared" si="35"/>
        <v>663</v>
      </c>
      <c r="GL86" s="3">
        <f t="shared" si="36"/>
        <v>1075</v>
      </c>
      <c r="GM86" s="3">
        <f t="shared" si="37"/>
        <v>412</v>
      </c>
    </row>
    <row r="87" spans="1:217" ht="13" x14ac:dyDescent="0.15">
      <c r="A87" s="24">
        <v>42802</v>
      </c>
      <c r="B87" s="25" t="s">
        <v>244</v>
      </c>
      <c r="C87" s="16">
        <f t="shared" si="13"/>
        <v>84</v>
      </c>
      <c r="D87" s="25">
        <v>21.310611999999999</v>
      </c>
      <c r="E87" s="25">
        <v>-158.00441000000001</v>
      </c>
      <c r="F87" s="25" t="s">
        <v>278</v>
      </c>
      <c r="G87" s="26">
        <v>0.38541666666666669</v>
      </c>
      <c r="H87" s="26">
        <v>0.46875</v>
      </c>
      <c r="I87" s="25">
        <v>6</v>
      </c>
      <c r="J87" s="25">
        <v>10</v>
      </c>
      <c r="K87" s="25" t="s">
        <v>198</v>
      </c>
      <c r="L87" s="25">
        <v>5</v>
      </c>
      <c r="M87" s="25">
        <v>30</v>
      </c>
      <c r="N87" s="25"/>
      <c r="O87" s="25"/>
      <c r="P87" s="25"/>
      <c r="Q87" s="25"/>
      <c r="R87" s="25">
        <v>2</v>
      </c>
      <c r="S87" s="25"/>
      <c r="T87" s="25"/>
      <c r="U87" s="25"/>
      <c r="V87" s="25"/>
      <c r="W87" s="25"/>
      <c r="X87" s="25"/>
      <c r="Y87" s="25"/>
      <c r="Z87" s="25"/>
      <c r="AA87" s="25"/>
      <c r="AB87" s="25">
        <v>1</v>
      </c>
      <c r="AC87" s="25"/>
      <c r="AD87" s="25"/>
      <c r="AE87" s="25">
        <v>6</v>
      </c>
      <c r="AF87" s="25"/>
      <c r="AG87" s="25"/>
      <c r="AH87" s="25"/>
      <c r="AI87" s="25">
        <v>6</v>
      </c>
      <c r="AJ87" s="25"/>
      <c r="AK87" s="25"/>
      <c r="AL87" s="25"/>
      <c r="AM87" s="25">
        <v>2</v>
      </c>
      <c r="AN87" s="25"/>
      <c r="AO87" s="25"/>
      <c r="AP87" s="25"/>
      <c r="AQ87" s="25"/>
      <c r="AR87" s="25"/>
      <c r="AS87" s="25"/>
      <c r="AT87" s="25"/>
      <c r="AU87" s="25"/>
      <c r="AV87" s="25"/>
      <c r="AW87" s="25"/>
      <c r="AX87" s="25"/>
      <c r="AY87" s="25"/>
      <c r="AZ87" s="25"/>
      <c r="BA87" s="25"/>
      <c r="BB87" s="25">
        <v>2</v>
      </c>
      <c r="BC87" s="25"/>
      <c r="BD87" s="25"/>
      <c r="BE87" s="25">
        <v>4</v>
      </c>
      <c r="BF87" s="25"/>
      <c r="BG87" s="25"/>
      <c r="BH87" s="25"/>
      <c r="BI87" s="25"/>
      <c r="BJ87" s="25"/>
      <c r="BK87" s="25">
        <v>1</v>
      </c>
      <c r="BL87" s="25"/>
      <c r="BM87" s="25">
        <v>77</v>
      </c>
      <c r="BN87" s="25"/>
      <c r="BO87" s="25"/>
      <c r="BP87" s="25"/>
      <c r="BQ87" s="25"/>
      <c r="BR87" s="25"/>
      <c r="BS87" s="25"/>
      <c r="BT87" s="25"/>
      <c r="BU87" s="25"/>
      <c r="BV87" s="25"/>
      <c r="BW87" s="25"/>
      <c r="BX87" s="25"/>
      <c r="BY87" s="25"/>
      <c r="BZ87" s="25">
        <v>12</v>
      </c>
      <c r="CA87" s="25"/>
      <c r="CB87" s="25"/>
      <c r="CC87" s="25"/>
      <c r="CD87" s="25"/>
      <c r="CE87" s="25"/>
      <c r="CF87" s="25"/>
      <c r="CG87" s="25"/>
      <c r="CH87" s="25"/>
      <c r="CI87" s="25"/>
      <c r="CJ87" s="25"/>
      <c r="CK87" s="25"/>
      <c r="CL87" s="25"/>
      <c r="CM87" s="25"/>
      <c r="CN87" s="25"/>
      <c r="CO87" s="25"/>
      <c r="CP87" s="25"/>
      <c r="CQ87" s="25"/>
      <c r="CR87" s="25"/>
      <c r="CS87" s="25">
        <v>1</v>
      </c>
      <c r="CT87" s="25"/>
      <c r="CU87" s="25"/>
      <c r="CV87" s="25">
        <v>1</v>
      </c>
      <c r="CW87" s="25"/>
      <c r="CX87" s="25"/>
      <c r="CY87" s="25"/>
      <c r="CZ87" s="25"/>
      <c r="DA87" s="25"/>
      <c r="DB87" s="25"/>
      <c r="DC87" s="25"/>
      <c r="DD87" s="25"/>
      <c r="DE87" s="25"/>
      <c r="DF87" s="25"/>
      <c r="DG87" s="25">
        <v>2</v>
      </c>
      <c r="DH87" s="25"/>
      <c r="DI87" s="25"/>
      <c r="DJ87" s="25"/>
      <c r="DK87" s="25"/>
      <c r="DL87" s="25"/>
      <c r="DM87" s="25">
        <v>34</v>
      </c>
      <c r="DN87" s="25"/>
      <c r="DO87" s="25">
        <v>1</v>
      </c>
      <c r="DP87" s="25"/>
      <c r="DQ87" s="25"/>
      <c r="DR87" s="25"/>
      <c r="DS87" s="25">
        <v>13</v>
      </c>
      <c r="DT87" s="25"/>
      <c r="DU87" s="25"/>
      <c r="DV87" s="25"/>
      <c r="DW87" s="25"/>
      <c r="DX87" s="25"/>
      <c r="DY87" s="25"/>
      <c r="DZ87" s="25"/>
      <c r="EA87" s="25"/>
      <c r="EB87" s="25"/>
      <c r="EC87" s="25"/>
      <c r="ED87" s="25"/>
      <c r="EE87" s="25"/>
      <c r="EF87" s="25"/>
      <c r="EG87" s="25"/>
      <c r="EH87" s="25"/>
      <c r="EI87" s="25"/>
      <c r="EJ87" s="25">
        <v>176</v>
      </c>
      <c r="EK87" s="25"/>
      <c r="EL87" s="25"/>
      <c r="EM87" s="25"/>
      <c r="EN87" s="25"/>
      <c r="EO87" s="25"/>
      <c r="EP87" s="25"/>
      <c r="EQ87" s="25"/>
      <c r="ER87" s="25"/>
      <c r="ES87" s="25"/>
      <c r="ET87" s="25"/>
      <c r="EU87" s="25"/>
      <c r="EV87" s="25"/>
      <c r="EW87" s="25"/>
      <c r="EX87" s="25"/>
      <c r="EY87" s="25"/>
      <c r="EZ87" s="25"/>
      <c r="FA87" s="25"/>
      <c r="FB87" s="25">
        <v>16</v>
      </c>
      <c r="FC87" s="25"/>
      <c r="FD87" s="25"/>
      <c r="FE87" s="25"/>
      <c r="FF87" s="25"/>
      <c r="FG87" s="25"/>
      <c r="FH87" s="25"/>
      <c r="FI87" s="25"/>
      <c r="FJ87" s="25"/>
      <c r="FK87" s="25"/>
      <c r="FL87" s="25"/>
      <c r="FM87" s="25"/>
      <c r="FN87" s="25"/>
      <c r="FO87" s="25"/>
      <c r="FP87" s="25"/>
      <c r="FQ87" s="25"/>
      <c r="FR87" s="25"/>
      <c r="FS87" s="25">
        <v>51</v>
      </c>
      <c r="FT87" s="25"/>
      <c r="FU87" s="25"/>
      <c r="FV87" s="25"/>
      <c r="FW87" s="25">
        <v>72</v>
      </c>
      <c r="FX87" s="25"/>
      <c r="FY87" s="25"/>
      <c r="FZ87" s="25"/>
      <c r="GA87" s="25"/>
      <c r="GB87" s="25"/>
      <c r="GC87" s="25"/>
      <c r="GD87" s="25"/>
      <c r="GE87" s="25"/>
      <c r="GF87" s="25"/>
      <c r="GG87" s="25"/>
      <c r="GH87" s="25">
        <f t="shared" si="32"/>
        <v>20</v>
      </c>
      <c r="GI87" s="25">
        <f t="shared" si="33"/>
        <v>15</v>
      </c>
      <c r="GJ87" s="25">
        <f t="shared" si="34"/>
        <v>10</v>
      </c>
      <c r="GK87" s="25">
        <f t="shared" si="35"/>
        <v>480</v>
      </c>
      <c r="GL87" s="25">
        <f t="shared" si="36"/>
        <v>0</v>
      </c>
      <c r="GM87" s="25">
        <f t="shared" si="37"/>
        <v>-480</v>
      </c>
      <c r="GN87" s="25"/>
      <c r="GO87" s="25"/>
      <c r="GP87" s="25"/>
      <c r="GQ87" s="25"/>
      <c r="GR87" s="25"/>
      <c r="GS87" s="25"/>
      <c r="GT87" s="25"/>
      <c r="GU87" s="25"/>
      <c r="GV87" s="25"/>
      <c r="GW87" s="25"/>
      <c r="GX87" s="25"/>
      <c r="GY87" s="25"/>
      <c r="GZ87" s="25"/>
      <c r="HA87" s="25"/>
      <c r="HB87" s="25"/>
      <c r="HC87" s="25"/>
      <c r="HD87" s="25"/>
      <c r="HE87" s="25"/>
      <c r="HF87" s="25"/>
      <c r="HG87" s="25"/>
      <c r="HH87" s="25"/>
      <c r="HI87" s="25"/>
    </row>
    <row r="88" spans="1:217" ht="13" x14ac:dyDescent="0.15">
      <c r="A88" s="24">
        <v>42803</v>
      </c>
      <c r="B88" s="25" t="s">
        <v>244</v>
      </c>
      <c r="C88" s="16">
        <f t="shared" si="13"/>
        <v>85</v>
      </c>
      <c r="D88" s="25">
        <v>21.310611999999999</v>
      </c>
      <c r="E88" s="25">
        <v>-158.00441000000001</v>
      </c>
      <c r="F88" s="25" t="s">
        <v>326</v>
      </c>
      <c r="G88" s="26">
        <v>0.39583333333333331</v>
      </c>
      <c r="H88" s="26">
        <v>0.47916666666666669</v>
      </c>
      <c r="I88" s="25">
        <v>7</v>
      </c>
      <c r="J88" s="25">
        <v>14</v>
      </c>
      <c r="K88" s="25" t="s">
        <v>318</v>
      </c>
      <c r="L88" s="25">
        <v>5</v>
      </c>
      <c r="M88" s="25">
        <v>26</v>
      </c>
      <c r="N88" s="25" t="s">
        <v>327</v>
      </c>
      <c r="O88" s="25"/>
      <c r="P88" s="25"/>
      <c r="Q88" s="25"/>
      <c r="R88" s="25">
        <v>15</v>
      </c>
      <c r="S88" s="25"/>
      <c r="T88" s="25"/>
      <c r="U88" s="25"/>
      <c r="V88" s="25"/>
      <c r="W88" s="25"/>
      <c r="X88" s="25">
        <v>21</v>
      </c>
      <c r="Y88" s="25"/>
      <c r="Z88" s="25"/>
      <c r="AA88" s="25"/>
      <c r="AB88" s="25">
        <v>2</v>
      </c>
      <c r="AC88" s="25">
        <v>6</v>
      </c>
      <c r="AD88" s="25"/>
      <c r="AE88" s="25">
        <v>2</v>
      </c>
      <c r="AF88" s="25"/>
      <c r="AG88" s="25"/>
      <c r="AH88" s="25"/>
      <c r="AI88" s="25">
        <v>20</v>
      </c>
      <c r="AJ88" s="25"/>
      <c r="AK88" s="25"/>
      <c r="AL88" s="25"/>
      <c r="AM88" s="25"/>
      <c r="AN88" s="25"/>
      <c r="AO88" s="25"/>
      <c r="AP88" s="25"/>
      <c r="AQ88" s="25"/>
      <c r="AR88" s="25"/>
      <c r="AS88" s="25"/>
      <c r="AT88" s="25"/>
      <c r="AU88" s="25"/>
      <c r="AV88" s="25"/>
      <c r="AW88" s="25"/>
      <c r="AX88" s="25"/>
      <c r="AY88" s="25"/>
      <c r="AZ88" s="25"/>
      <c r="BA88" s="25"/>
      <c r="BB88" s="25"/>
      <c r="BC88" s="25"/>
      <c r="BD88" s="25"/>
      <c r="BE88" s="25">
        <v>11</v>
      </c>
      <c r="BF88" s="25"/>
      <c r="BG88" s="25"/>
      <c r="BH88" s="25"/>
      <c r="BI88" s="25"/>
      <c r="BJ88" s="25"/>
      <c r="BK88" s="25"/>
      <c r="BL88" s="25"/>
      <c r="BM88" s="25"/>
      <c r="BN88" s="25">
        <v>16</v>
      </c>
      <c r="BO88" s="25"/>
      <c r="BP88" s="25"/>
      <c r="BQ88" s="25"/>
      <c r="BR88" s="25"/>
      <c r="BS88" s="25"/>
      <c r="BT88" s="25"/>
      <c r="BU88" s="25"/>
      <c r="BV88" s="25">
        <v>14</v>
      </c>
      <c r="BW88" s="25"/>
      <c r="BX88" s="25"/>
      <c r="BY88" s="25"/>
      <c r="BZ88" s="25">
        <v>9</v>
      </c>
      <c r="CA88" s="25"/>
      <c r="CB88" s="25"/>
      <c r="CC88" s="25"/>
      <c r="CD88" s="25"/>
      <c r="CE88" s="25"/>
      <c r="CF88" s="25"/>
      <c r="CG88" s="25"/>
      <c r="CH88" s="25">
        <v>2</v>
      </c>
      <c r="CI88" s="25"/>
      <c r="CJ88" s="25"/>
      <c r="CK88" s="25"/>
      <c r="CL88" s="25"/>
      <c r="CM88" s="25"/>
      <c r="CN88" s="25"/>
      <c r="CO88" s="25"/>
      <c r="CP88" s="25"/>
      <c r="CQ88" s="25"/>
      <c r="CR88" s="25"/>
      <c r="CS88" s="25">
        <v>8</v>
      </c>
      <c r="CT88" s="25"/>
      <c r="CU88" s="25"/>
      <c r="CV88" s="25"/>
      <c r="CW88" s="25"/>
      <c r="CX88" s="25"/>
      <c r="CY88" s="25"/>
      <c r="CZ88" s="25"/>
      <c r="DA88" s="25"/>
      <c r="DB88" s="25"/>
      <c r="DC88" s="25"/>
      <c r="DD88" s="25"/>
      <c r="DE88" s="25"/>
      <c r="DF88" s="25"/>
      <c r="DG88" s="25">
        <v>2</v>
      </c>
      <c r="DH88" s="25"/>
      <c r="DI88" s="25"/>
      <c r="DJ88" s="25">
        <v>33</v>
      </c>
      <c r="DK88" s="25"/>
      <c r="DL88" s="25"/>
      <c r="DM88" s="25">
        <v>3</v>
      </c>
      <c r="DN88" s="25"/>
      <c r="DO88" s="25">
        <v>5</v>
      </c>
      <c r="DP88" s="25"/>
      <c r="DQ88" s="25"/>
      <c r="DR88" s="25"/>
      <c r="DS88" s="25"/>
      <c r="DT88" s="25"/>
      <c r="DU88" s="25"/>
      <c r="DV88" s="25">
        <v>18</v>
      </c>
      <c r="DW88" s="25"/>
      <c r="DX88" s="25"/>
      <c r="DY88" s="25"/>
      <c r="DZ88" s="25"/>
      <c r="EA88" s="25"/>
      <c r="EB88" s="25"/>
      <c r="EC88" s="25">
        <v>3</v>
      </c>
      <c r="ED88" s="25"/>
      <c r="EE88" s="25"/>
      <c r="EF88" s="25">
        <v>2</v>
      </c>
      <c r="EG88" s="25"/>
      <c r="EH88" s="25"/>
      <c r="EI88" s="25"/>
      <c r="EJ88" s="25">
        <v>107</v>
      </c>
      <c r="EK88" s="25"/>
      <c r="EL88" s="25"/>
      <c r="EM88" s="25"/>
      <c r="EN88" s="25"/>
      <c r="EO88" s="25"/>
      <c r="EP88" s="25"/>
      <c r="EQ88" s="25"/>
      <c r="ER88" s="25"/>
      <c r="ES88" s="25"/>
      <c r="ET88" s="25"/>
      <c r="EU88" s="25"/>
      <c r="EV88" s="25"/>
      <c r="EW88" s="25">
        <v>1</v>
      </c>
      <c r="EX88" s="25"/>
      <c r="EY88" s="25"/>
      <c r="EZ88" s="25"/>
      <c r="FA88" s="25"/>
      <c r="FB88" s="25"/>
      <c r="FC88" s="25"/>
      <c r="FD88" s="25"/>
      <c r="FE88" s="25"/>
      <c r="FF88" s="25"/>
      <c r="FG88" s="25"/>
      <c r="FH88" s="25"/>
      <c r="FI88" s="25">
        <v>1</v>
      </c>
      <c r="FJ88" s="25"/>
      <c r="FK88" s="25"/>
      <c r="FL88" s="25"/>
      <c r="FM88" s="25"/>
      <c r="FN88" s="25"/>
      <c r="FO88" s="25"/>
      <c r="FP88" s="25"/>
      <c r="FQ88" s="25"/>
      <c r="FR88" s="25">
        <v>3</v>
      </c>
      <c r="FS88" s="25">
        <v>71</v>
      </c>
      <c r="FT88" s="25"/>
      <c r="FU88" s="25"/>
      <c r="FV88" s="25"/>
      <c r="FW88" s="25"/>
      <c r="FX88" s="25"/>
      <c r="FY88" s="25"/>
      <c r="FZ88" s="25"/>
      <c r="GA88" s="25"/>
      <c r="GB88" s="25"/>
      <c r="GC88" s="25">
        <v>4</v>
      </c>
      <c r="GD88" s="25">
        <v>13</v>
      </c>
      <c r="GE88" s="25"/>
      <c r="GF88" s="25"/>
      <c r="GG88" s="25"/>
      <c r="GH88" s="25">
        <f t="shared" si="32"/>
        <v>26</v>
      </c>
      <c r="GI88" s="25">
        <f t="shared" si="33"/>
        <v>24</v>
      </c>
      <c r="GJ88" s="25">
        <f t="shared" si="34"/>
        <v>15</v>
      </c>
      <c r="GK88" s="25">
        <f t="shared" si="35"/>
        <v>392</v>
      </c>
      <c r="GL88" s="25">
        <f t="shared" si="36"/>
        <v>0</v>
      </c>
      <c r="GM88" s="25">
        <f t="shared" si="37"/>
        <v>-392</v>
      </c>
      <c r="GN88" s="25"/>
      <c r="GO88" s="25"/>
      <c r="GP88" s="25"/>
      <c r="GQ88" s="25"/>
      <c r="GR88" s="25"/>
      <c r="GS88" s="25"/>
      <c r="GT88" s="25"/>
      <c r="GU88" s="25"/>
      <c r="GV88" s="25"/>
      <c r="GW88" s="25"/>
      <c r="GX88" s="25"/>
      <c r="GY88" s="25"/>
      <c r="GZ88" s="25"/>
      <c r="HA88" s="25"/>
      <c r="HB88" s="25"/>
      <c r="HC88" s="25"/>
      <c r="HD88" s="25"/>
      <c r="HE88" s="25"/>
      <c r="HF88" s="25"/>
      <c r="HG88" s="25"/>
      <c r="HH88" s="25"/>
      <c r="HI88" s="25"/>
    </row>
    <row r="89" spans="1:217" ht="13" x14ac:dyDescent="0.15">
      <c r="A89" s="24">
        <v>42804</v>
      </c>
      <c r="B89" s="25" t="s">
        <v>329</v>
      </c>
      <c r="C89" s="16">
        <f t="shared" si="13"/>
        <v>86</v>
      </c>
      <c r="D89" s="25">
        <v>21.140799999999999</v>
      </c>
      <c r="E89" s="25">
        <v>-157.29011499999999</v>
      </c>
      <c r="F89" s="25" t="s">
        <v>330</v>
      </c>
      <c r="G89" s="26">
        <v>0.4375</v>
      </c>
      <c r="H89" s="26">
        <v>0.46736111111111112</v>
      </c>
      <c r="I89" s="25">
        <v>6</v>
      </c>
      <c r="J89" s="25">
        <v>10</v>
      </c>
      <c r="K89" s="25" t="s">
        <v>318</v>
      </c>
      <c r="L89" s="25">
        <v>5</v>
      </c>
      <c r="M89" s="25">
        <v>27</v>
      </c>
      <c r="N89" s="25" t="s">
        <v>331</v>
      </c>
      <c r="O89" s="25"/>
      <c r="P89" s="25"/>
      <c r="Q89" s="25"/>
      <c r="R89" s="25"/>
      <c r="S89" s="25"/>
      <c r="T89" s="25"/>
      <c r="U89" s="25"/>
      <c r="V89" s="25"/>
      <c r="W89" s="25"/>
      <c r="X89" s="25"/>
      <c r="Y89" s="25"/>
      <c r="Z89" s="25"/>
      <c r="AA89" s="25"/>
      <c r="AB89" s="25"/>
      <c r="AC89" s="25">
        <v>2</v>
      </c>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v>16</v>
      </c>
      <c r="BN89" s="25"/>
      <c r="BO89" s="25"/>
      <c r="BP89" s="25"/>
      <c r="BQ89" s="25"/>
      <c r="BR89" s="25"/>
      <c r="BS89" s="25"/>
      <c r="BT89" s="25"/>
      <c r="BU89" s="25"/>
      <c r="BV89" s="25"/>
      <c r="BW89" s="25"/>
      <c r="BX89" s="25"/>
      <c r="BY89" s="25"/>
      <c r="BZ89" s="25"/>
      <c r="CA89" s="25"/>
      <c r="CB89" s="25"/>
      <c r="CC89" s="25"/>
      <c r="CD89" s="25"/>
      <c r="CE89" s="25"/>
      <c r="CF89" s="25"/>
      <c r="CG89" s="25"/>
      <c r="CH89" s="25">
        <v>4</v>
      </c>
      <c r="CI89" s="25"/>
      <c r="CJ89" s="25"/>
      <c r="CK89" s="25"/>
      <c r="CL89" s="25"/>
      <c r="CM89" s="25"/>
      <c r="CN89" s="25"/>
      <c r="CO89" s="25"/>
      <c r="CP89" s="25"/>
      <c r="CQ89" s="25"/>
      <c r="CR89" s="25"/>
      <c r="CS89" s="25">
        <v>48</v>
      </c>
      <c r="CT89" s="25"/>
      <c r="CU89" s="25"/>
      <c r="CV89" s="25"/>
      <c r="CW89" s="25"/>
      <c r="CX89" s="25"/>
      <c r="CY89" s="25"/>
      <c r="CZ89" s="25"/>
      <c r="DA89" s="25"/>
      <c r="DB89" s="25"/>
      <c r="DC89" s="25"/>
      <c r="DD89" s="25"/>
      <c r="DE89" s="25"/>
      <c r="DF89" s="25"/>
      <c r="DG89" s="25"/>
      <c r="DH89" s="25"/>
      <c r="DI89" s="25"/>
      <c r="DJ89" s="25"/>
      <c r="DK89" s="25"/>
      <c r="DL89" s="25"/>
      <c r="DM89" s="25"/>
      <c r="DN89" s="25"/>
      <c r="DO89" s="25">
        <v>8</v>
      </c>
      <c r="DP89" s="25"/>
      <c r="DQ89" s="25"/>
      <c r="DR89" s="25"/>
      <c r="DS89" s="25"/>
      <c r="DT89" s="25"/>
      <c r="DU89" s="25"/>
      <c r="DV89" s="25"/>
      <c r="DW89" s="25"/>
      <c r="DX89" s="25"/>
      <c r="DY89" s="25"/>
      <c r="DZ89" s="25"/>
      <c r="EA89" s="25"/>
      <c r="EB89" s="25"/>
      <c r="EC89" s="25"/>
      <c r="ED89" s="25"/>
      <c r="EE89" s="25"/>
      <c r="EF89" s="25"/>
      <c r="EG89" s="25"/>
      <c r="EH89" s="25"/>
      <c r="EI89" s="25"/>
      <c r="EJ89" s="25">
        <v>40</v>
      </c>
      <c r="EK89" s="25"/>
      <c r="EL89" s="25"/>
      <c r="EM89" s="25"/>
      <c r="EN89" s="25"/>
      <c r="EO89" s="25"/>
      <c r="EP89" s="25"/>
      <c r="EQ89" s="25"/>
      <c r="ER89" s="25"/>
      <c r="ES89" s="25"/>
      <c r="ET89" s="25"/>
      <c r="EU89" s="25"/>
      <c r="EV89" s="25"/>
      <c r="EW89" s="25"/>
      <c r="EX89" s="25"/>
      <c r="EY89" s="25"/>
      <c r="EZ89" s="25"/>
      <c r="FA89" s="25"/>
      <c r="FB89" s="25">
        <v>4</v>
      </c>
      <c r="FC89" s="25"/>
      <c r="FD89" s="25"/>
      <c r="FE89" s="25"/>
      <c r="FF89" s="25"/>
      <c r="FG89" s="25"/>
      <c r="FH89" s="25"/>
      <c r="FI89" s="25"/>
      <c r="FJ89" s="25"/>
      <c r="FK89" s="25"/>
      <c r="FL89" s="25"/>
      <c r="FM89" s="25"/>
      <c r="FN89" s="25"/>
      <c r="FO89" s="25"/>
      <c r="FP89" s="25"/>
      <c r="FQ89" s="25"/>
      <c r="FR89" s="25"/>
      <c r="FS89" s="25">
        <v>53</v>
      </c>
      <c r="FT89" s="25"/>
      <c r="FU89" s="25">
        <v>9</v>
      </c>
      <c r="FV89" s="25"/>
      <c r="FW89" s="25"/>
      <c r="FX89" s="25"/>
      <c r="FY89" s="25"/>
      <c r="FZ89" s="25"/>
      <c r="GA89" s="25"/>
      <c r="GB89" s="25"/>
      <c r="GC89" s="25"/>
      <c r="GD89" s="25"/>
      <c r="GE89" s="25"/>
      <c r="GF89" s="25"/>
      <c r="GG89" s="25"/>
      <c r="GH89" s="25">
        <f t="shared" si="32"/>
        <v>9</v>
      </c>
      <c r="GI89" s="25">
        <f t="shared" si="33"/>
        <v>9</v>
      </c>
      <c r="GJ89" s="25">
        <f t="shared" si="34"/>
        <v>6</v>
      </c>
      <c r="GK89" s="25">
        <f t="shared" si="35"/>
        <v>184</v>
      </c>
      <c r="GL89" s="25">
        <f t="shared" si="36"/>
        <v>0</v>
      </c>
      <c r="GM89" s="25">
        <f t="shared" si="37"/>
        <v>-184</v>
      </c>
      <c r="GN89" s="25"/>
      <c r="GO89" s="25"/>
      <c r="GP89" s="25"/>
      <c r="GQ89" s="25"/>
      <c r="GR89" s="25"/>
      <c r="GS89" s="25"/>
      <c r="GT89" s="25"/>
      <c r="GU89" s="25"/>
      <c r="GV89" s="25"/>
      <c r="GW89" s="25"/>
      <c r="GX89" s="25"/>
      <c r="GY89" s="25"/>
      <c r="GZ89" s="25"/>
      <c r="HA89" s="25"/>
      <c r="HB89" s="25"/>
      <c r="HC89" s="25"/>
      <c r="HD89" s="25"/>
      <c r="HE89" s="25"/>
      <c r="HF89" s="25"/>
      <c r="HG89" s="25"/>
      <c r="HH89" s="25"/>
      <c r="HI89" s="25"/>
    </row>
    <row r="90" spans="1:217" ht="13" x14ac:dyDescent="0.15">
      <c r="A90" s="13">
        <v>42804</v>
      </c>
      <c r="B90" s="3" t="s">
        <v>201</v>
      </c>
      <c r="C90" s="16">
        <f t="shared" si="13"/>
        <v>87</v>
      </c>
      <c r="D90" s="3">
        <v>21.25544</v>
      </c>
      <c r="E90" s="3">
        <v>-157.810303</v>
      </c>
      <c r="F90" s="3" t="s">
        <v>325</v>
      </c>
      <c r="G90" s="14">
        <v>0.41666666666666669</v>
      </c>
      <c r="H90" s="14">
        <v>0.45833333333333331</v>
      </c>
      <c r="I90" s="3">
        <v>6</v>
      </c>
      <c r="J90" s="3">
        <v>5</v>
      </c>
      <c r="K90" s="3" t="s">
        <v>318</v>
      </c>
      <c r="L90" s="3">
        <v>5</v>
      </c>
      <c r="M90" s="3">
        <v>24</v>
      </c>
      <c r="N90" s="3" t="s">
        <v>332</v>
      </c>
      <c r="O90" s="3" t="s">
        <v>288</v>
      </c>
      <c r="P90" s="3">
        <v>24</v>
      </c>
      <c r="BY90" s="3">
        <v>5</v>
      </c>
      <c r="BZ90" s="3">
        <v>7</v>
      </c>
      <c r="CS90" s="3">
        <v>4</v>
      </c>
      <c r="DB90" s="3"/>
      <c r="DC90" s="3">
        <v>2</v>
      </c>
      <c r="DJ90" s="3">
        <v>5</v>
      </c>
      <c r="DL90" s="3">
        <v>17</v>
      </c>
      <c r="DM90" s="3">
        <v>1</v>
      </c>
      <c r="DR90" s="3"/>
      <c r="DS90" s="3">
        <v>2</v>
      </c>
      <c r="EJ90" s="3">
        <v>273</v>
      </c>
      <c r="FB90" s="3">
        <v>3</v>
      </c>
      <c r="FI90" s="3">
        <v>3</v>
      </c>
      <c r="FR90" s="3">
        <v>63</v>
      </c>
      <c r="FS90" s="3">
        <v>119</v>
      </c>
      <c r="GH90" s="3">
        <f t="shared" si="32"/>
        <v>13</v>
      </c>
      <c r="GI90" s="3">
        <f t="shared" si="33"/>
        <v>12</v>
      </c>
      <c r="GJ90" s="3">
        <f t="shared" si="34"/>
        <v>7</v>
      </c>
      <c r="GK90" s="3">
        <f t="shared" si="35"/>
        <v>504</v>
      </c>
      <c r="GL90" s="3">
        <f t="shared" si="36"/>
        <v>600</v>
      </c>
      <c r="GM90" s="3">
        <f t="shared" si="37"/>
        <v>96</v>
      </c>
    </row>
    <row r="91" spans="1:217" ht="13" x14ac:dyDescent="0.15">
      <c r="A91" s="24">
        <v>42804</v>
      </c>
      <c r="B91" s="25" t="s">
        <v>219</v>
      </c>
      <c r="C91" s="16">
        <f t="shared" si="13"/>
        <v>88</v>
      </c>
      <c r="D91" s="25">
        <v>21.295798999999999</v>
      </c>
      <c r="E91" s="25">
        <v>-158.10369900000001</v>
      </c>
      <c r="F91" s="25" t="s">
        <v>333</v>
      </c>
      <c r="G91" s="26">
        <v>0.38541666666666669</v>
      </c>
      <c r="H91" s="26">
        <v>0.44791666666666669</v>
      </c>
      <c r="I91" s="25">
        <v>7</v>
      </c>
      <c r="J91" s="25">
        <v>10</v>
      </c>
      <c r="K91" s="25" t="s">
        <v>318</v>
      </c>
      <c r="L91" s="25">
        <v>5</v>
      </c>
      <c r="M91" s="25">
        <v>31</v>
      </c>
      <c r="N91" s="25" t="s">
        <v>334</v>
      </c>
      <c r="O91" s="25"/>
      <c r="P91" s="25"/>
      <c r="Q91" s="25"/>
      <c r="R91" s="25">
        <v>32</v>
      </c>
      <c r="S91" s="25">
        <v>1</v>
      </c>
      <c r="T91" s="25"/>
      <c r="U91" s="25"/>
      <c r="V91" s="25"/>
      <c r="W91" s="25"/>
      <c r="X91" s="25"/>
      <c r="Y91" s="25"/>
      <c r="Z91" s="25"/>
      <c r="AA91" s="25"/>
      <c r="AB91" s="25">
        <v>3</v>
      </c>
      <c r="AC91" s="25">
        <v>2</v>
      </c>
      <c r="AD91" s="25">
        <v>1</v>
      </c>
      <c r="AE91" s="25">
        <v>2</v>
      </c>
      <c r="AF91" s="25"/>
      <c r="AG91" s="25"/>
      <c r="AH91" s="25"/>
      <c r="AI91" s="25">
        <v>1</v>
      </c>
      <c r="AJ91" s="25"/>
      <c r="AK91" s="25"/>
      <c r="AL91" s="25"/>
      <c r="AM91" s="25"/>
      <c r="AN91" s="25"/>
      <c r="AO91" s="25"/>
      <c r="AP91" s="25"/>
      <c r="AQ91" s="25"/>
      <c r="AR91" s="25"/>
      <c r="AS91" s="25"/>
      <c r="AT91" s="25">
        <v>1</v>
      </c>
      <c r="AU91" s="25"/>
      <c r="AV91" s="25"/>
      <c r="AW91" s="25"/>
      <c r="AX91" s="25"/>
      <c r="AY91" s="25"/>
      <c r="AZ91" s="25"/>
      <c r="BA91" s="25"/>
      <c r="BB91" s="25"/>
      <c r="BC91" s="25">
        <v>1</v>
      </c>
      <c r="BD91" s="25">
        <v>1</v>
      </c>
      <c r="BE91" s="25">
        <v>16</v>
      </c>
      <c r="BF91" s="25"/>
      <c r="BG91" s="25"/>
      <c r="BH91" s="25">
        <v>1</v>
      </c>
      <c r="BI91" s="25"/>
      <c r="BJ91" s="25"/>
      <c r="BK91" s="25"/>
      <c r="BL91" s="25"/>
      <c r="BM91" s="25">
        <v>10</v>
      </c>
      <c r="BN91" s="25">
        <v>12</v>
      </c>
      <c r="BO91" s="25"/>
      <c r="BP91" s="25"/>
      <c r="BQ91" s="25">
        <v>30</v>
      </c>
      <c r="BR91" s="25"/>
      <c r="BS91" s="25"/>
      <c r="BT91" s="25"/>
      <c r="BU91" s="25"/>
      <c r="BV91" s="25">
        <v>22</v>
      </c>
      <c r="BW91" s="25"/>
      <c r="BX91" s="25"/>
      <c r="BY91" s="25"/>
      <c r="BZ91" s="25">
        <v>34</v>
      </c>
      <c r="CA91" s="25"/>
      <c r="CB91" s="25"/>
      <c r="CC91" s="25">
        <v>4</v>
      </c>
      <c r="CD91" s="25"/>
      <c r="CE91" s="25"/>
      <c r="CF91" s="25"/>
      <c r="CG91" s="25"/>
      <c r="CH91" s="25"/>
      <c r="CI91" s="25"/>
      <c r="CJ91" s="25"/>
      <c r="CK91" s="25"/>
      <c r="CL91" s="25"/>
      <c r="CM91" s="25"/>
      <c r="CN91" s="25"/>
      <c r="CO91" s="25"/>
      <c r="CP91" s="25"/>
      <c r="CQ91" s="25"/>
      <c r="CR91" s="25"/>
      <c r="CS91" s="25">
        <v>27</v>
      </c>
      <c r="CT91" s="25"/>
      <c r="CU91" s="25"/>
      <c r="CV91" s="25"/>
      <c r="CW91" s="25"/>
      <c r="CX91" s="25"/>
      <c r="CY91" s="25"/>
      <c r="CZ91" s="25"/>
      <c r="DA91" s="25"/>
      <c r="DB91" s="25"/>
      <c r="DC91" s="25"/>
      <c r="DD91" s="25">
        <v>4</v>
      </c>
      <c r="DE91" s="25"/>
      <c r="DF91" s="25"/>
      <c r="DG91" s="25">
        <v>7</v>
      </c>
      <c r="DH91" s="25"/>
      <c r="DI91" s="25"/>
      <c r="DJ91" s="25"/>
      <c r="DK91" s="25"/>
      <c r="DL91" s="25"/>
      <c r="DM91" s="25">
        <v>23</v>
      </c>
      <c r="DN91" s="25"/>
      <c r="DO91" s="25"/>
      <c r="DP91" s="25"/>
      <c r="DQ91" s="25"/>
      <c r="DR91" s="25"/>
      <c r="DS91" s="25">
        <v>22</v>
      </c>
      <c r="DT91" s="25"/>
      <c r="DU91" s="25"/>
      <c r="DV91" s="25"/>
      <c r="DW91" s="25"/>
      <c r="DX91" s="25"/>
      <c r="DY91" s="25"/>
      <c r="DZ91" s="25">
        <v>1</v>
      </c>
      <c r="EA91" s="25"/>
      <c r="EB91" s="25"/>
      <c r="EC91" s="25">
        <v>7</v>
      </c>
      <c r="ED91" s="25"/>
      <c r="EE91" s="25"/>
      <c r="EF91" s="25"/>
      <c r="EG91" s="25"/>
      <c r="EH91" s="25"/>
      <c r="EI91" s="25"/>
      <c r="EJ91" s="25">
        <v>181</v>
      </c>
      <c r="EK91" s="25">
        <v>3</v>
      </c>
      <c r="EL91" s="25"/>
      <c r="EM91" s="25"/>
      <c r="EN91" s="25"/>
      <c r="EO91" s="25"/>
      <c r="EP91" s="25"/>
      <c r="EQ91" s="25"/>
      <c r="ER91" s="25"/>
      <c r="ES91" s="25"/>
      <c r="ET91" s="25"/>
      <c r="EU91" s="25"/>
      <c r="EV91" s="25"/>
      <c r="EW91" s="25"/>
      <c r="EX91" s="25"/>
      <c r="EY91" s="25"/>
      <c r="EZ91" s="25"/>
      <c r="FA91" s="25"/>
      <c r="FB91" s="25">
        <v>54</v>
      </c>
      <c r="FC91" s="25"/>
      <c r="FD91" s="25"/>
      <c r="FE91" s="25"/>
      <c r="FF91" s="25">
        <v>9</v>
      </c>
      <c r="FG91" s="25"/>
      <c r="FH91" s="25"/>
      <c r="FI91" s="25">
        <v>9</v>
      </c>
      <c r="FJ91" s="25"/>
      <c r="FK91" s="25"/>
      <c r="FL91" s="25"/>
      <c r="FM91" s="25"/>
      <c r="FN91" s="25"/>
      <c r="FO91" s="25"/>
      <c r="FP91" s="25"/>
      <c r="FQ91" s="25"/>
      <c r="FR91" s="25">
        <v>18</v>
      </c>
      <c r="FS91" s="25">
        <v>42</v>
      </c>
      <c r="FT91" s="25"/>
      <c r="FU91" s="25"/>
      <c r="FV91" s="25"/>
      <c r="FW91" s="25"/>
      <c r="FX91" s="25"/>
      <c r="FY91" s="25"/>
      <c r="FZ91" s="25"/>
      <c r="GA91" s="25"/>
      <c r="GB91" s="25"/>
      <c r="GC91" s="25"/>
      <c r="GD91" s="25"/>
      <c r="GE91" s="25"/>
      <c r="GF91" s="25"/>
      <c r="GG91" s="25"/>
      <c r="GH91" s="25">
        <f t="shared" si="32"/>
        <v>32</v>
      </c>
      <c r="GI91" s="25">
        <f t="shared" si="33"/>
        <v>24</v>
      </c>
      <c r="GJ91" s="25">
        <f t="shared" si="34"/>
        <v>18</v>
      </c>
      <c r="GK91" s="25">
        <f t="shared" si="35"/>
        <v>581</v>
      </c>
      <c r="GL91" s="25">
        <f t="shared" si="36"/>
        <v>0</v>
      </c>
      <c r="GM91" s="25">
        <f t="shared" si="37"/>
        <v>-581</v>
      </c>
      <c r="GN91" s="25"/>
      <c r="GO91" s="25"/>
      <c r="GP91" s="25"/>
      <c r="GQ91" s="25"/>
      <c r="GR91" s="25"/>
      <c r="GS91" s="25"/>
      <c r="GT91" s="25"/>
      <c r="GU91" s="25"/>
      <c r="GV91" s="25"/>
      <c r="GW91" s="25"/>
      <c r="GX91" s="25"/>
      <c r="GY91" s="25"/>
      <c r="GZ91" s="25"/>
      <c r="HA91" s="25"/>
      <c r="HB91" s="25"/>
      <c r="HC91" s="25"/>
      <c r="HD91" s="25"/>
      <c r="HE91" s="25"/>
      <c r="HF91" s="25"/>
      <c r="HG91" s="25"/>
      <c r="HH91" s="25"/>
      <c r="HI91" s="25"/>
    </row>
    <row r="92" spans="1:217" ht="13" x14ac:dyDescent="0.15">
      <c r="A92" s="13">
        <v>42806</v>
      </c>
      <c r="B92" s="3" t="s">
        <v>293</v>
      </c>
      <c r="C92" s="16">
        <f t="shared" si="13"/>
        <v>89</v>
      </c>
      <c r="D92" s="3">
        <v>19.738602</v>
      </c>
      <c r="E92" s="3">
        <v>-155.03887900000001</v>
      </c>
      <c r="F92" s="3" t="s">
        <v>197</v>
      </c>
      <c r="G92" s="14">
        <v>0.39930555555555558</v>
      </c>
      <c r="H92" s="14">
        <v>0.43333333333333335</v>
      </c>
      <c r="I92" s="3">
        <v>6</v>
      </c>
      <c r="J92" s="3">
        <v>12</v>
      </c>
      <c r="K92" s="3" t="s">
        <v>198</v>
      </c>
      <c r="L92" s="3">
        <v>7</v>
      </c>
      <c r="M92" s="3">
        <v>32</v>
      </c>
      <c r="N92" s="3" t="s">
        <v>336</v>
      </c>
      <c r="P92" s="3">
        <v>32</v>
      </c>
      <c r="R92" s="3">
        <v>1</v>
      </c>
      <c r="AA92" s="3"/>
      <c r="AB92" s="3">
        <v>1</v>
      </c>
      <c r="AG92" s="3">
        <v>5</v>
      </c>
      <c r="AM92" s="3">
        <v>1</v>
      </c>
      <c r="BK92" s="3">
        <v>2</v>
      </c>
      <c r="BM92" s="3">
        <v>26</v>
      </c>
      <c r="BR92" s="3">
        <v>3</v>
      </c>
      <c r="BW92" s="3">
        <v>2</v>
      </c>
      <c r="CC92" s="3">
        <v>12</v>
      </c>
      <c r="CG92" s="3"/>
      <c r="CH92" s="3">
        <v>8</v>
      </c>
      <c r="CO92" s="3">
        <v>62</v>
      </c>
      <c r="DF92" s="3"/>
      <c r="DG92" s="3">
        <v>25</v>
      </c>
      <c r="DI92" s="3">
        <v>2</v>
      </c>
      <c r="EJ92" s="3">
        <v>5</v>
      </c>
      <c r="EP92" s="3">
        <v>2</v>
      </c>
      <c r="ER92" s="3">
        <v>13</v>
      </c>
      <c r="FM92" s="3">
        <v>26</v>
      </c>
      <c r="FS92" s="3">
        <v>350</v>
      </c>
      <c r="FT92" s="3">
        <v>3</v>
      </c>
      <c r="GH92" s="3">
        <f t="shared" si="32"/>
        <v>19</v>
      </c>
      <c r="GI92" s="3">
        <f t="shared" si="33"/>
        <v>16</v>
      </c>
      <c r="GJ92" s="3">
        <f t="shared" si="34"/>
        <v>10</v>
      </c>
      <c r="GK92" s="3">
        <f t="shared" si="35"/>
        <v>549</v>
      </c>
      <c r="GL92" s="3">
        <f t="shared" si="36"/>
        <v>800</v>
      </c>
      <c r="GM92" s="3">
        <f t="shared" si="37"/>
        <v>251</v>
      </c>
    </row>
    <row r="93" spans="1:217" ht="13" x14ac:dyDescent="0.15">
      <c r="A93" s="13">
        <v>42810</v>
      </c>
      <c r="B93" s="3" t="s">
        <v>337</v>
      </c>
      <c r="C93" s="16">
        <f t="shared" si="13"/>
        <v>90</v>
      </c>
      <c r="D93" s="3">
        <v>19.957187999999999</v>
      </c>
      <c r="E93" s="3">
        <v>-155.859497</v>
      </c>
      <c r="F93" s="3" t="s">
        <v>313</v>
      </c>
      <c r="G93" s="14">
        <v>0.48055555555555557</v>
      </c>
      <c r="H93" s="14">
        <v>0.55208333333333337</v>
      </c>
      <c r="I93" s="3">
        <v>3</v>
      </c>
      <c r="J93" s="3">
        <v>10</v>
      </c>
      <c r="K93" s="3" t="s">
        <v>318</v>
      </c>
      <c r="L93" s="3">
        <v>10</v>
      </c>
      <c r="M93" s="3">
        <v>30</v>
      </c>
      <c r="P93" s="3">
        <v>30</v>
      </c>
      <c r="AA93" s="3"/>
      <c r="AB93" s="3">
        <v>133</v>
      </c>
      <c r="AL93" s="3">
        <v>5</v>
      </c>
      <c r="AM93" s="3">
        <v>7</v>
      </c>
      <c r="AN93" s="3">
        <v>3</v>
      </c>
      <c r="BH93" s="3">
        <v>20</v>
      </c>
      <c r="BM93" s="3">
        <v>64</v>
      </c>
      <c r="BY93" s="3">
        <v>5</v>
      </c>
      <c r="CC93" s="3">
        <v>44</v>
      </c>
      <c r="CD93" s="3">
        <v>7</v>
      </c>
      <c r="CK93" s="3">
        <v>3</v>
      </c>
      <c r="CU93" s="3">
        <v>9</v>
      </c>
      <c r="DH93" s="3">
        <v>1</v>
      </c>
      <c r="DR93" s="3"/>
      <c r="DS93" s="3">
        <v>4</v>
      </c>
      <c r="EA93" s="3">
        <v>2</v>
      </c>
      <c r="EJ93" s="3">
        <v>27</v>
      </c>
      <c r="EW93" s="3">
        <v>1</v>
      </c>
      <c r="FB93" s="3">
        <v>6</v>
      </c>
      <c r="FR93" s="3">
        <v>7</v>
      </c>
      <c r="FS93" s="3">
        <v>310</v>
      </c>
      <c r="GH93" s="3">
        <f t="shared" si="32"/>
        <v>19</v>
      </c>
      <c r="GI93" s="3">
        <f t="shared" si="33"/>
        <v>17</v>
      </c>
      <c r="GJ93" s="3">
        <f t="shared" si="34"/>
        <v>13</v>
      </c>
      <c r="GK93" s="3">
        <f t="shared" si="35"/>
        <v>658</v>
      </c>
      <c r="GL93" s="3">
        <f t="shared" si="36"/>
        <v>750</v>
      </c>
      <c r="GM93" s="3">
        <f t="shared" si="37"/>
        <v>92</v>
      </c>
    </row>
    <row r="94" spans="1:217" ht="13" x14ac:dyDescent="0.15">
      <c r="A94" s="27">
        <v>42822</v>
      </c>
      <c r="B94" s="28" t="s">
        <v>216</v>
      </c>
      <c r="C94" s="16">
        <f t="shared" si="13"/>
        <v>91</v>
      </c>
      <c r="D94" s="28">
        <v>21.3002</v>
      </c>
      <c r="E94" s="28">
        <v>-157.882599</v>
      </c>
      <c r="F94" s="28" t="s">
        <v>413</v>
      </c>
      <c r="G94" s="29">
        <v>0.40277777777777779</v>
      </c>
      <c r="H94" s="29">
        <v>0.45833333333333331</v>
      </c>
      <c r="I94" s="28">
        <v>6</v>
      </c>
      <c r="J94" s="28">
        <v>14.7</v>
      </c>
      <c r="K94" s="28" t="s">
        <v>198</v>
      </c>
      <c r="L94" s="28">
        <v>5</v>
      </c>
      <c r="M94" s="28">
        <v>19</v>
      </c>
      <c r="N94" s="28" t="s">
        <v>414</v>
      </c>
      <c r="O94" s="28"/>
      <c r="P94" s="28"/>
      <c r="Q94" s="28"/>
      <c r="R94" s="28"/>
      <c r="S94" s="28"/>
      <c r="T94" s="28"/>
      <c r="U94" s="28"/>
      <c r="V94" s="28"/>
      <c r="W94" s="28"/>
      <c r="X94" s="28"/>
      <c r="Y94" s="28"/>
      <c r="Z94" s="28"/>
      <c r="AA94" s="28"/>
      <c r="AB94" s="28">
        <v>9</v>
      </c>
      <c r="AC94" s="28"/>
      <c r="AD94" s="28"/>
      <c r="AE94" s="28"/>
      <c r="AF94" s="28"/>
      <c r="AG94" s="28"/>
      <c r="AH94" s="28"/>
      <c r="AI94" s="28">
        <v>1</v>
      </c>
      <c r="AJ94" s="28"/>
      <c r="AK94" s="28"/>
      <c r="AL94" s="28">
        <v>1</v>
      </c>
      <c r="AM94" s="28"/>
      <c r="AN94" s="28"/>
      <c r="AO94" s="28"/>
      <c r="AP94" s="28"/>
      <c r="AQ94" s="28"/>
      <c r="AR94" s="28"/>
      <c r="AS94" s="28"/>
      <c r="AT94" s="28"/>
      <c r="AU94" s="28"/>
      <c r="AV94" s="28"/>
      <c r="AW94" s="28"/>
      <c r="AX94" s="28"/>
      <c r="AY94" s="28"/>
      <c r="AZ94" s="28"/>
      <c r="BA94" s="28"/>
      <c r="BB94" s="28"/>
      <c r="BC94" s="28"/>
      <c r="BD94" s="28"/>
      <c r="BE94" s="28">
        <v>6</v>
      </c>
      <c r="BF94" s="28"/>
      <c r="BG94" s="28"/>
      <c r="BH94" s="28">
        <v>1</v>
      </c>
      <c r="BI94" s="28"/>
      <c r="BJ94" s="28"/>
      <c r="BK94" s="28"/>
      <c r="BL94" s="28"/>
      <c r="BM94" s="28">
        <v>4</v>
      </c>
      <c r="BN94" s="28"/>
      <c r="BO94" s="28"/>
      <c r="BP94" s="28"/>
      <c r="BQ94" s="28"/>
      <c r="BR94" s="28"/>
      <c r="BS94" s="28"/>
      <c r="BT94" s="28"/>
      <c r="BU94" s="28"/>
      <c r="BV94" s="28"/>
      <c r="BW94" s="28">
        <v>4</v>
      </c>
      <c r="BX94" s="28"/>
      <c r="BY94" s="28"/>
      <c r="BZ94" s="28"/>
      <c r="CA94" s="28"/>
      <c r="CB94" s="28"/>
      <c r="CC94" s="28"/>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c r="DH94" s="28"/>
      <c r="DI94" s="28"/>
      <c r="DJ94" s="28"/>
      <c r="DK94" s="28"/>
      <c r="DL94" s="28"/>
      <c r="DM94" s="28"/>
      <c r="DN94" s="28"/>
      <c r="DO94" s="28"/>
      <c r="DP94" s="28"/>
      <c r="DQ94" s="28"/>
      <c r="DR94" s="28"/>
      <c r="DS94" s="28"/>
      <c r="DT94" s="28"/>
      <c r="DU94" s="28"/>
      <c r="DV94" s="28"/>
      <c r="DW94" s="28"/>
      <c r="DX94" s="28"/>
      <c r="DY94" s="28"/>
      <c r="DZ94" s="28"/>
      <c r="EA94" s="28"/>
      <c r="EB94" s="28"/>
      <c r="EC94" s="28">
        <v>3</v>
      </c>
      <c r="ED94" s="28"/>
      <c r="EE94" s="28"/>
      <c r="EF94" s="28"/>
      <c r="EG94" s="28"/>
      <c r="EH94" s="28"/>
      <c r="EI94" s="28"/>
      <c r="EJ94" s="28"/>
      <c r="EK94" s="28"/>
      <c r="EL94" s="28"/>
      <c r="EM94" s="28"/>
      <c r="EN94" s="28"/>
      <c r="EO94" s="28"/>
      <c r="EP94" s="28"/>
      <c r="EQ94" s="28"/>
      <c r="ER94" s="28"/>
      <c r="ES94" s="28"/>
      <c r="ET94" s="28"/>
      <c r="EU94" s="28"/>
      <c r="EV94" s="28"/>
      <c r="EW94" s="28"/>
      <c r="EX94" s="28"/>
      <c r="EY94" s="28"/>
      <c r="EZ94" s="28"/>
      <c r="FA94" s="28"/>
      <c r="FB94" s="28"/>
      <c r="FC94" s="28"/>
      <c r="FD94" s="28"/>
      <c r="FE94" s="28"/>
      <c r="FF94" s="28"/>
      <c r="FG94" s="28"/>
      <c r="FH94" s="28"/>
      <c r="FI94" s="28"/>
      <c r="FJ94" s="28"/>
      <c r="FK94" s="28"/>
      <c r="FL94" s="28"/>
      <c r="FM94" s="28"/>
      <c r="FN94" s="28"/>
      <c r="FO94" s="28"/>
      <c r="FP94" s="28"/>
      <c r="FQ94" s="28"/>
      <c r="FR94" s="28"/>
      <c r="FS94" s="28">
        <v>344</v>
      </c>
      <c r="FT94" s="28"/>
      <c r="FU94" s="28"/>
      <c r="FV94" s="28"/>
      <c r="FW94" s="28"/>
      <c r="FX94" s="28"/>
      <c r="FY94" s="28"/>
      <c r="FZ94" s="28"/>
      <c r="GA94" s="28"/>
      <c r="GB94" s="28"/>
      <c r="GC94" s="28"/>
      <c r="GD94" s="28"/>
      <c r="GE94" s="28"/>
      <c r="GF94" s="28"/>
      <c r="GG94" s="28"/>
      <c r="GH94" s="28"/>
      <c r="GI94" s="28"/>
      <c r="GJ94" s="28"/>
      <c r="GK94" s="28"/>
      <c r="GL94" s="28"/>
      <c r="GM94" s="28"/>
      <c r="GN94" s="28"/>
      <c r="GO94" s="28"/>
      <c r="GP94" s="28"/>
      <c r="GQ94" s="28"/>
      <c r="GR94" s="28"/>
      <c r="GS94" s="28"/>
      <c r="GT94" s="28"/>
      <c r="GU94" s="28"/>
      <c r="GV94" s="28"/>
      <c r="GW94" s="28"/>
      <c r="GX94" s="28"/>
      <c r="GY94" s="28"/>
      <c r="GZ94" s="28"/>
      <c r="HA94" s="28"/>
      <c r="HB94" s="28"/>
      <c r="HC94" s="28"/>
      <c r="HD94" s="28"/>
      <c r="HE94" s="28"/>
      <c r="HF94" s="28"/>
      <c r="HG94" s="28"/>
      <c r="HH94" s="28"/>
      <c r="HI94" s="28"/>
    </row>
    <row r="95" spans="1:217" ht="13" x14ac:dyDescent="0.15">
      <c r="A95" s="13">
        <v>42823</v>
      </c>
      <c r="B95" s="3" t="s">
        <v>244</v>
      </c>
      <c r="C95" s="16">
        <f t="shared" si="13"/>
        <v>92</v>
      </c>
      <c r="D95" s="3">
        <v>21.310611999999999</v>
      </c>
      <c r="E95" s="3">
        <v>-158.00441000000001</v>
      </c>
      <c r="F95" s="3" t="s">
        <v>278</v>
      </c>
      <c r="G95" s="14">
        <v>0.38541666666666669</v>
      </c>
      <c r="H95" s="14">
        <v>0.46875</v>
      </c>
      <c r="I95" s="3">
        <v>6</v>
      </c>
      <c r="J95" s="3">
        <v>10</v>
      </c>
      <c r="K95" s="3" t="s">
        <v>198</v>
      </c>
      <c r="L95" s="3">
        <v>5</v>
      </c>
      <c r="M95" s="3">
        <v>26</v>
      </c>
      <c r="N95" s="3" t="s">
        <v>338</v>
      </c>
      <c r="P95" s="3">
        <v>26</v>
      </c>
      <c r="R95" s="3">
        <v>8</v>
      </c>
      <c r="AI95" s="3">
        <v>14</v>
      </c>
      <c r="BM95" s="3">
        <v>2</v>
      </c>
      <c r="BV95" s="3">
        <v>16</v>
      </c>
      <c r="BZ95" s="3">
        <v>42</v>
      </c>
      <c r="DF95" s="3"/>
      <c r="DG95" s="3">
        <v>40</v>
      </c>
      <c r="DM95" s="3">
        <v>40</v>
      </c>
      <c r="DR95" s="3"/>
      <c r="DS95" s="3">
        <v>2</v>
      </c>
      <c r="EJ95" s="3">
        <v>231</v>
      </c>
      <c r="FB95" s="3">
        <v>20</v>
      </c>
      <c r="FS95" s="3">
        <v>47</v>
      </c>
      <c r="GH95" s="3">
        <f>COUNT(R95:GG95)</f>
        <v>11</v>
      </c>
      <c r="GI95" s="3">
        <f>COUNTIF(R95:GG95,"&gt;=2")</f>
        <v>11</v>
      </c>
      <c r="GJ95" s="3">
        <f>COUNTIF(R95:GG95,"&gt;=5")</f>
        <v>9</v>
      </c>
      <c r="GK95" s="3">
        <f>SUM(R95:GG95)</f>
        <v>462</v>
      </c>
      <c r="GL95" s="3">
        <f>25*P95</f>
        <v>650</v>
      </c>
      <c r="GM95" s="3">
        <f>GL95-GK95</f>
        <v>188</v>
      </c>
    </row>
    <row r="96" spans="1:217" ht="13" x14ac:dyDescent="0.15">
      <c r="A96" s="27">
        <v>42825</v>
      </c>
      <c r="B96" s="28" t="s">
        <v>246</v>
      </c>
      <c r="C96" s="16">
        <f t="shared" si="13"/>
        <v>93</v>
      </c>
      <c r="D96" s="28">
        <v>21.2882</v>
      </c>
      <c r="E96" s="28">
        <v>-157.66799900000001</v>
      </c>
      <c r="F96" s="28" t="s">
        <v>278</v>
      </c>
      <c r="G96" s="29">
        <v>0.41736111111111113</v>
      </c>
      <c r="H96" s="29">
        <v>0.45069444444444445</v>
      </c>
      <c r="I96" s="28">
        <v>6</v>
      </c>
      <c r="J96" s="28">
        <v>12</v>
      </c>
      <c r="K96" s="28" t="s">
        <v>398</v>
      </c>
      <c r="L96" s="28">
        <v>5</v>
      </c>
      <c r="M96" s="28">
        <v>9</v>
      </c>
      <c r="N96" s="28" t="s">
        <v>420</v>
      </c>
      <c r="O96" s="28"/>
      <c r="P96" s="28"/>
      <c r="Q96" s="28"/>
      <c r="R96" s="28">
        <v>4</v>
      </c>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v>18</v>
      </c>
      <c r="BN96" s="28"/>
      <c r="BO96" s="28"/>
      <c r="BP96" s="28"/>
      <c r="BQ96" s="28"/>
      <c r="BR96" s="28"/>
      <c r="BS96" s="28"/>
      <c r="BT96" s="28"/>
      <c r="BU96" s="28"/>
      <c r="BV96" s="28"/>
      <c r="BW96" s="28"/>
      <c r="BX96" s="28"/>
      <c r="BY96" s="28"/>
      <c r="BZ96" s="28">
        <v>3</v>
      </c>
      <c r="CA96" s="28"/>
      <c r="CB96" s="28"/>
      <c r="CC96" s="28"/>
      <c r="CD96" s="28"/>
      <c r="CE96" s="28"/>
      <c r="CF96" s="28"/>
      <c r="CG96" s="28"/>
      <c r="CH96" s="28"/>
      <c r="CI96" s="28"/>
      <c r="CJ96" s="28"/>
      <c r="CK96" s="28"/>
      <c r="CL96" s="28"/>
      <c r="CM96" s="28"/>
      <c r="CN96" s="28"/>
      <c r="CO96" s="28"/>
      <c r="CP96" s="28"/>
      <c r="CQ96" s="28"/>
      <c r="CR96" s="28"/>
      <c r="CS96" s="28"/>
      <c r="CT96" s="28"/>
      <c r="CU96" s="28">
        <v>2</v>
      </c>
      <c r="CV96" s="28"/>
      <c r="CW96" s="28"/>
      <c r="CX96" s="28"/>
      <c r="CY96" s="28"/>
      <c r="CZ96" s="28"/>
      <c r="DA96" s="28"/>
      <c r="DB96" s="28"/>
      <c r="DC96" s="28"/>
      <c r="DD96" s="28"/>
      <c r="DE96" s="28"/>
      <c r="DF96" s="28"/>
      <c r="DG96" s="28"/>
      <c r="DH96" s="28">
        <v>1</v>
      </c>
      <c r="DI96" s="28"/>
      <c r="DJ96" s="28"/>
      <c r="DK96" s="28"/>
      <c r="DL96" s="28"/>
      <c r="DM96" s="28"/>
      <c r="DN96" s="28"/>
      <c r="DO96" s="28"/>
      <c r="DP96" s="28"/>
      <c r="DQ96" s="28"/>
      <c r="DR96" s="28"/>
      <c r="DS96" s="28"/>
      <c r="DT96" s="28"/>
      <c r="DU96" s="28"/>
      <c r="DV96" s="28">
        <v>3</v>
      </c>
      <c r="DW96" s="28"/>
      <c r="DX96" s="28"/>
      <c r="DY96" s="28"/>
      <c r="DZ96" s="28"/>
      <c r="EA96" s="28"/>
      <c r="EB96" s="28"/>
      <c r="EC96" s="28"/>
      <c r="ED96" s="28"/>
      <c r="EE96" s="28"/>
      <c r="EF96" s="28"/>
      <c r="EG96" s="28"/>
      <c r="EH96" s="28"/>
      <c r="EI96" s="28"/>
      <c r="EJ96" s="28">
        <v>13</v>
      </c>
      <c r="EK96" s="28"/>
      <c r="EL96" s="28"/>
      <c r="EM96" s="28"/>
      <c r="EN96" s="28"/>
      <c r="EO96" s="28"/>
      <c r="EP96" s="28"/>
      <c r="EQ96" s="28"/>
      <c r="ER96" s="28"/>
      <c r="ES96" s="28"/>
      <c r="ET96" s="28"/>
      <c r="EU96" s="28"/>
      <c r="EV96" s="28"/>
      <c r="EW96" s="28"/>
      <c r="EX96" s="28"/>
      <c r="EY96" s="28"/>
      <c r="EZ96" s="28"/>
      <c r="FA96" s="28"/>
      <c r="FB96" s="28"/>
      <c r="FC96" s="28"/>
      <c r="FD96" s="28"/>
      <c r="FE96" s="28">
        <v>1</v>
      </c>
      <c r="FF96" s="28"/>
      <c r="FG96" s="28"/>
      <c r="FH96" s="28"/>
      <c r="FI96" s="28"/>
      <c r="FJ96" s="28"/>
      <c r="FK96" s="28"/>
      <c r="FL96" s="28"/>
      <c r="FM96" s="28"/>
      <c r="FN96" s="28"/>
      <c r="FO96" s="28"/>
      <c r="FP96" s="28"/>
      <c r="FQ96" s="28"/>
      <c r="FR96" s="28">
        <v>10</v>
      </c>
      <c r="FS96" s="28">
        <v>71</v>
      </c>
      <c r="FT96" s="28"/>
      <c r="FU96" s="28"/>
      <c r="FV96" s="28"/>
      <c r="FW96" s="28"/>
      <c r="FX96" s="28"/>
      <c r="FY96" s="28"/>
      <c r="FZ96" s="28"/>
      <c r="GA96" s="28"/>
      <c r="GB96" s="28"/>
      <c r="GC96" s="28"/>
      <c r="GD96" s="28"/>
      <c r="GE96" s="28"/>
      <c r="GF96" s="28"/>
      <c r="GG96" s="28"/>
      <c r="GH96" s="28"/>
      <c r="GI96" s="28"/>
      <c r="GJ96" s="28"/>
      <c r="GK96" s="28"/>
      <c r="GL96" s="28"/>
      <c r="GM96" s="28"/>
      <c r="GN96" s="28"/>
      <c r="GO96" s="28"/>
      <c r="GP96" s="28"/>
      <c r="GQ96" s="28"/>
      <c r="GR96" s="28"/>
      <c r="GS96" s="28"/>
      <c r="GT96" s="28"/>
      <c r="GU96" s="28"/>
      <c r="GV96" s="28"/>
      <c r="GW96" s="28"/>
      <c r="GX96" s="28"/>
      <c r="GY96" s="28"/>
      <c r="GZ96" s="28"/>
      <c r="HA96" s="28"/>
      <c r="HB96" s="28"/>
      <c r="HC96" s="28"/>
      <c r="HD96" s="28"/>
      <c r="HE96" s="28"/>
      <c r="HF96" s="28"/>
      <c r="HG96" s="28"/>
      <c r="HH96" s="28"/>
      <c r="HI96" s="28"/>
    </row>
    <row r="97" spans="1:217" ht="13" x14ac:dyDescent="0.15">
      <c r="A97" s="13">
        <v>42826</v>
      </c>
      <c r="B97" s="3" t="s">
        <v>303</v>
      </c>
      <c r="C97" s="16">
        <f t="shared" si="13"/>
        <v>94</v>
      </c>
      <c r="D97" s="3">
        <v>20.994240000000001</v>
      </c>
      <c r="E97" s="3">
        <v>-156.66825900000001</v>
      </c>
      <c r="F97" s="3" t="s">
        <v>197</v>
      </c>
      <c r="G97" s="14">
        <v>0.47083333333333333</v>
      </c>
      <c r="H97" s="14">
        <v>0.50416666666666665</v>
      </c>
      <c r="I97" s="3">
        <v>3</v>
      </c>
      <c r="J97" s="3">
        <v>25</v>
      </c>
      <c r="K97" s="3" t="s">
        <v>198</v>
      </c>
      <c r="L97" s="3">
        <v>11</v>
      </c>
      <c r="M97" s="3">
        <v>20</v>
      </c>
      <c r="N97" s="3" t="s">
        <v>339</v>
      </c>
      <c r="P97" s="3">
        <v>20</v>
      </c>
      <c r="AA97" s="3"/>
      <c r="AB97" s="3">
        <v>12</v>
      </c>
      <c r="AM97" s="3">
        <v>30</v>
      </c>
      <c r="BK97" s="3">
        <v>1</v>
      </c>
      <c r="BM97" s="3">
        <v>51</v>
      </c>
      <c r="BQ97" s="3">
        <v>5</v>
      </c>
      <c r="CC97" s="3">
        <v>9</v>
      </c>
      <c r="CD97" s="3">
        <v>1</v>
      </c>
      <c r="CK97" s="3">
        <v>12</v>
      </c>
      <c r="DH97" s="3">
        <v>22</v>
      </c>
      <c r="DP97" s="3">
        <v>2</v>
      </c>
      <c r="ED97" s="3">
        <v>7</v>
      </c>
      <c r="ET97" s="3"/>
      <c r="EU97" s="3"/>
      <c r="EV97" s="3">
        <v>11</v>
      </c>
      <c r="FC97" s="3">
        <v>2</v>
      </c>
      <c r="FS97" s="3">
        <v>24</v>
      </c>
      <c r="FZ97" s="3">
        <v>1</v>
      </c>
      <c r="GH97" s="3">
        <f t="shared" ref="GH97:GH99" si="38">COUNT(R97:GG97)</f>
        <v>15</v>
      </c>
      <c r="GI97" s="3">
        <f t="shared" ref="GI97:GI99" si="39">COUNTIF(R97:GG97,"&gt;=2")</f>
        <v>12</v>
      </c>
      <c r="GJ97" s="3">
        <f t="shared" ref="GJ97:GJ99" si="40">COUNTIF(R97:GG97,"&gt;=5")</f>
        <v>10</v>
      </c>
      <c r="GK97" s="3">
        <f t="shared" ref="GK97:GK99" si="41">SUM(R97:GG97)</f>
        <v>190</v>
      </c>
      <c r="GL97" s="3">
        <f t="shared" ref="GL97:GL99" si="42">25*P97</f>
        <v>500</v>
      </c>
      <c r="GM97" s="3">
        <f t="shared" ref="GM97:GM99" si="43">GL97-GK97</f>
        <v>310</v>
      </c>
    </row>
    <row r="98" spans="1:217" ht="13" x14ac:dyDescent="0.15">
      <c r="A98" s="13">
        <v>42827</v>
      </c>
      <c r="B98" s="3" t="s">
        <v>340</v>
      </c>
      <c r="C98" s="16">
        <f t="shared" si="13"/>
        <v>95</v>
      </c>
      <c r="D98" s="3">
        <v>19.643276</v>
      </c>
      <c r="E98" s="3">
        <v>-156.01019299999999</v>
      </c>
      <c r="F98" s="3" t="s">
        <v>197</v>
      </c>
      <c r="G98" s="14">
        <v>0.48680555555555555</v>
      </c>
      <c r="H98" s="14">
        <v>0.52500000000000002</v>
      </c>
      <c r="I98" s="3">
        <v>3</v>
      </c>
      <c r="J98" s="3">
        <v>40</v>
      </c>
      <c r="K98" s="3" t="s">
        <v>198</v>
      </c>
      <c r="L98" s="3">
        <v>10</v>
      </c>
      <c r="M98" s="3">
        <v>28</v>
      </c>
      <c r="N98" s="3" t="s">
        <v>341</v>
      </c>
      <c r="P98" s="3">
        <v>28</v>
      </c>
      <c r="T98" s="3">
        <v>1</v>
      </c>
      <c r="AD98" s="3">
        <v>2</v>
      </c>
      <c r="AM98" s="3">
        <v>126</v>
      </c>
      <c r="BM98" s="3">
        <v>1</v>
      </c>
      <c r="BZ98" s="3">
        <v>2</v>
      </c>
      <c r="CC98" s="3">
        <v>2</v>
      </c>
      <c r="CN98" s="3">
        <v>7</v>
      </c>
      <c r="EJ98" s="3">
        <v>3</v>
      </c>
      <c r="FF98" s="3">
        <v>6</v>
      </c>
      <c r="FM98" s="3">
        <v>12</v>
      </c>
      <c r="FR98" s="3">
        <v>156</v>
      </c>
      <c r="FS98" s="3">
        <v>283</v>
      </c>
      <c r="GH98" s="3">
        <f t="shared" si="38"/>
        <v>12</v>
      </c>
      <c r="GI98" s="3">
        <f t="shared" si="39"/>
        <v>10</v>
      </c>
      <c r="GJ98" s="3">
        <f t="shared" si="40"/>
        <v>6</v>
      </c>
      <c r="GK98" s="3">
        <f t="shared" si="41"/>
        <v>601</v>
      </c>
      <c r="GL98" s="3">
        <f t="shared" si="42"/>
        <v>700</v>
      </c>
      <c r="GM98" s="3">
        <f t="shared" si="43"/>
        <v>99</v>
      </c>
    </row>
    <row r="99" spans="1:217" ht="13" x14ac:dyDescent="0.15">
      <c r="A99" s="13">
        <v>42831</v>
      </c>
      <c r="B99" s="3" t="s">
        <v>201</v>
      </c>
      <c r="C99" s="16">
        <f t="shared" si="13"/>
        <v>96</v>
      </c>
      <c r="D99" s="3">
        <v>21.25544</v>
      </c>
      <c r="E99" s="3">
        <v>-157.810303</v>
      </c>
      <c r="F99" s="3" t="s">
        <v>197</v>
      </c>
      <c r="G99" s="14">
        <v>0</v>
      </c>
      <c r="H99" s="14">
        <v>4.1666666666666664E-2</v>
      </c>
      <c r="I99" s="3">
        <v>6</v>
      </c>
      <c r="J99" s="3">
        <v>11</v>
      </c>
      <c r="K99" s="3" t="s">
        <v>198</v>
      </c>
      <c r="L99" s="3">
        <v>12</v>
      </c>
      <c r="M99" s="3">
        <v>55</v>
      </c>
      <c r="N99" s="3" t="s">
        <v>342</v>
      </c>
      <c r="P99" s="3">
        <v>55</v>
      </c>
      <c r="R99" s="3">
        <v>4</v>
      </c>
      <c r="AA99" s="3"/>
      <c r="AB99" s="3">
        <v>3</v>
      </c>
      <c r="AD99" s="3">
        <v>2</v>
      </c>
      <c r="AF99" s="3">
        <v>5</v>
      </c>
      <c r="BH99" s="3">
        <v>1</v>
      </c>
      <c r="BM99" s="3">
        <v>4</v>
      </c>
      <c r="BW99" s="3">
        <v>54</v>
      </c>
      <c r="BZ99" s="3">
        <v>49</v>
      </c>
      <c r="CB99" s="3">
        <v>1</v>
      </c>
      <c r="CS99" s="3">
        <v>21</v>
      </c>
      <c r="DM99" s="3">
        <v>120</v>
      </c>
      <c r="DT99" s="3">
        <v>1</v>
      </c>
      <c r="ED99" s="3">
        <v>2</v>
      </c>
      <c r="EJ99" s="3">
        <v>319</v>
      </c>
      <c r="FB99" s="3">
        <v>187</v>
      </c>
      <c r="FC99" s="3">
        <v>2</v>
      </c>
      <c r="FS99" s="3">
        <v>74</v>
      </c>
      <c r="FU99" s="3">
        <v>7</v>
      </c>
      <c r="GE99" s="3">
        <v>1</v>
      </c>
      <c r="GF99" s="3">
        <v>27</v>
      </c>
      <c r="GH99" s="3">
        <f t="shared" si="38"/>
        <v>20</v>
      </c>
      <c r="GI99" s="3">
        <f t="shared" si="39"/>
        <v>16</v>
      </c>
      <c r="GJ99" s="3">
        <f t="shared" si="40"/>
        <v>10</v>
      </c>
      <c r="GK99" s="3">
        <f t="shared" si="41"/>
        <v>884</v>
      </c>
      <c r="GL99" s="3">
        <f t="shared" si="42"/>
        <v>1375</v>
      </c>
      <c r="GM99" s="3">
        <f t="shared" si="43"/>
        <v>491</v>
      </c>
    </row>
    <row r="100" spans="1:217" ht="13" x14ac:dyDescent="0.15">
      <c r="A100" s="27">
        <v>42832</v>
      </c>
      <c r="B100" s="28" t="s">
        <v>250</v>
      </c>
      <c r="C100" s="16">
        <f t="shared" si="13"/>
        <v>97</v>
      </c>
      <c r="D100" s="28">
        <v>21.410399999999999</v>
      </c>
      <c r="E100" s="28">
        <v>-158.17770400000001</v>
      </c>
      <c r="F100" s="28" t="s">
        <v>428</v>
      </c>
      <c r="G100" s="29">
        <v>0.375</v>
      </c>
      <c r="H100" s="29">
        <v>0.47916666666666669</v>
      </c>
      <c r="I100" s="28">
        <v>4</v>
      </c>
      <c r="J100" s="28">
        <v>7</v>
      </c>
      <c r="K100" s="28" t="s">
        <v>198</v>
      </c>
      <c r="L100" s="28">
        <v>5</v>
      </c>
      <c r="M100" s="28">
        <v>15</v>
      </c>
      <c r="N100" s="28" t="s">
        <v>429</v>
      </c>
      <c r="O100" s="28"/>
      <c r="P100" s="28"/>
      <c r="Q100" s="28"/>
      <c r="R100" s="28">
        <v>101</v>
      </c>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v>13</v>
      </c>
      <c r="BN100" s="28"/>
      <c r="BO100" s="28"/>
      <c r="BP100" s="28"/>
      <c r="BQ100" s="28"/>
      <c r="BR100" s="28"/>
      <c r="BS100" s="28"/>
      <c r="BT100" s="28"/>
      <c r="BU100" s="28"/>
      <c r="BV100" s="28"/>
      <c r="BW100" s="28"/>
      <c r="BX100" s="28"/>
      <c r="BY100" s="28"/>
      <c r="BZ100" s="28">
        <v>1</v>
      </c>
      <c r="CA100" s="28"/>
      <c r="CB100" s="28"/>
      <c r="CC100" s="28"/>
      <c r="CD100" s="28"/>
      <c r="CE100" s="28"/>
      <c r="CF100" s="28"/>
      <c r="CG100" s="28"/>
      <c r="CH100" s="28"/>
      <c r="CI100" s="28"/>
      <c r="CJ100" s="28"/>
      <c r="CK100" s="28"/>
      <c r="CL100" s="28"/>
      <c r="CM100" s="28"/>
      <c r="CN100" s="28"/>
      <c r="CO100" s="28">
        <v>18</v>
      </c>
      <c r="CP100" s="28"/>
      <c r="CQ100" s="28"/>
      <c r="CR100" s="28"/>
      <c r="CS100" s="28"/>
      <c r="CT100" s="28"/>
      <c r="CU100" s="28"/>
      <c r="CV100" s="28"/>
      <c r="CW100" s="28"/>
      <c r="CX100" s="28"/>
      <c r="CY100" s="28"/>
      <c r="CZ100" s="28"/>
      <c r="DA100" s="28"/>
      <c r="DB100" s="28"/>
      <c r="DC100" s="28"/>
      <c r="DD100" s="28"/>
      <c r="DE100" s="28"/>
      <c r="DF100" s="28"/>
      <c r="DG100" s="28">
        <v>15</v>
      </c>
      <c r="DH100" s="28"/>
      <c r="DI100" s="28"/>
      <c r="DJ100" s="28"/>
      <c r="DK100" s="28"/>
      <c r="DL100" s="28"/>
      <c r="DM100" s="28">
        <v>1</v>
      </c>
      <c r="DN100" s="28"/>
      <c r="DO100" s="28"/>
      <c r="DP100" s="28">
        <v>1</v>
      </c>
      <c r="DQ100" s="28"/>
      <c r="DR100" s="28"/>
      <c r="DS100" s="28"/>
      <c r="DT100" s="28"/>
      <c r="DU100" s="28"/>
      <c r="DV100" s="28"/>
      <c r="DW100" s="28"/>
      <c r="DX100" s="28"/>
      <c r="DY100" s="28"/>
      <c r="DZ100" s="28"/>
      <c r="EA100" s="28"/>
      <c r="EB100" s="28"/>
      <c r="EC100" s="28"/>
      <c r="ED100" s="28"/>
      <c r="EE100" s="28"/>
      <c r="EF100" s="28"/>
      <c r="EG100" s="28"/>
      <c r="EH100" s="28"/>
      <c r="EI100" s="28"/>
      <c r="EJ100" s="28">
        <v>1</v>
      </c>
      <c r="EK100" s="28"/>
      <c r="EL100" s="28"/>
      <c r="EM100" s="28"/>
      <c r="EN100" s="28"/>
      <c r="EO100" s="28"/>
      <c r="EP100" s="28"/>
      <c r="EQ100" s="28"/>
      <c r="ER100" s="28"/>
      <c r="ES100" s="28"/>
      <c r="ET100" s="28"/>
      <c r="EU100" s="28"/>
      <c r="EV100" s="28"/>
      <c r="EW100" s="28"/>
      <c r="EX100" s="28"/>
      <c r="EY100" s="28"/>
      <c r="EZ100" s="28"/>
      <c r="FA100" s="28"/>
      <c r="FB100" s="28">
        <v>3</v>
      </c>
      <c r="FC100" s="28"/>
      <c r="FD100" s="28"/>
      <c r="FE100" s="28">
        <v>1</v>
      </c>
      <c r="FF100" s="28"/>
      <c r="FG100" s="28"/>
      <c r="FH100" s="28"/>
      <c r="FI100" s="28">
        <v>1</v>
      </c>
      <c r="FJ100" s="28"/>
      <c r="FK100" s="28"/>
      <c r="FL100" s="28"/>
      <c r="FM100" s="28"/>
      <c r="FN100" s="28"/>
      <c r="FO100" s="28"/>
      <c r="FP100" s="28"/>
      <c r="FQ100" s="28"/>
      <c r="FR100" s="28"/>
      <c r="FS100" s="28">
        <v>138</v>
      </c>
      <c r="FT100" s="28"/>
      <c r="FU100" s="28"/>
      <c r="FV100" s="28"/>
      <c r="FW100" s="28"/>
      <c r="FX100" s="28"/>
      <c r="FY100" s="28"/>
      <c r="FZ100" s="28"/>
      <c r="GA100" s="28">
        <v>2</v>
      </c>
      <c r="GB100" s="28"/>
      <c r="GC100" s="28"/>
      <c r="GD100" s="28"/>
      <c r="GE100" s="28"/>
      <c r="GF100" s="28"/>
      <c r="GG100" s="28"/>
      <c r="GH100" s="28"/>
      <c r="GI100" s="28"/>
      <c r="GJ100" s="28"/>
      <c r="GK100" s="28"/>
      <c r="GL100" s="28"/>
      <c r="GM100" s="28"/>
      <c r="GN100" s="28"/>
      <c r="GO100" s="28"/>
      <c r="GP100" s="28"/>
      <c r="GQ100" s="28"/>
      <c r="GR100" s="28"/>
      <c r="GS100" s="28"/>
      <c r="GT100" s="28"/>
      <c r="GU100" s="28"/>
      <c r="GV100" s="28"/>
      <c r="GW100" s="28"/>
      <c r="GX100" s="28"/>
      <c r="GY100" s="28"/>
      <c r="GZ100" s="28"/>
      <c r="HA100" s="28"/>
      <c r="HB100" s="28"/>
      <c r="HC100" s="28"/>
      <c r="HD100" s="28"/>
      <c r="HE100" s="28"/>
      <c r="HF100" s="28"/>
      <c r="HG100" s="28"/>
      <c r="HH100" s="28"/>
      <c r="HI100" s="28"/>
    </row>
    <row r="101" spans="1:217" ht="13" x14ac:dyDescent="0.15">
      <c r="A101" s="13">
        <v>42834</v>
      </c>
      <c r="B101" s="3" t="s">
        <v>301</v>
      </c>
      <c r="C101" s="16">
        <f t="shared" si="13"/>
        <v>98</v>
      </c>
      <c r="D101" s="3">
        <v>22.065598999999999</v>
      </c>
      <c r="E101" s="3">
        <v>-159.31770299999999</v>
      </c>
      <c r="F101" s="3" t="s">
        <v>344</v>
      </c>
      <c r="G101" s="14">
        <v>0.36875000000000002</v>
      </c>
      <c r="H101" s="14">
        <v>0.41041666666666665</v>
      </c>
      <c r="I101" s="3">
        <v>4</v>
      </c>
      <c r="J101" s="3">
        <v>15</v>
      </c>
      <c r="K101" s="3" t="s">
        <v>198</v>
      </c>
      <c r="L101" s="3">
        <v>8</v>
      </c>
      <c r="M101" s="3">
        <v>25</v>
      </c>
      <c r="N101" s="3" t="s">
        <v>345</v>
      </c>
      <c r="P101" s="3">
        <v>25</v>
      </c>
      <c r="R101" s="3">
        <v>1</v>
      </c>
      <c r="AA101" s="3"/>
      <c r="AB101" s="3">
        <v>6</v>
      </c>
      <c r="AD101" s="3">
        <v>1</v>
      </c>
      <c r="BA101" s="3"/>
      <c r="BB101" s="3">
        <v>1</v>
      </c>
      <c r="BN101" s="3">
        <v>70</v>
      </c>
      <c r="BV101" s="3">
        <v>10</v>
      </c>
      <c r="DM101" s="3">
        <v>28</v>
      </c>
      <c r="DN101" s="3">
        <v>1</v>
      </c>
      <c r="DR101" s="3"/>
      <c r="DS101" s="3">
        <v>6</v>
      </c>
      <c r="EJ101" s="3">
        <v>140</v>
      </c>
      <c r="FB101" s="3">
        <v>6</v>
      </c>
      <c r="FI101" s="3">
        <v>17</v>
      </c>
      <c r="FR101" s="3">
        <v>30</v>
      </c>
      <c r="FS101" s="3">
        <v>108</v>
      </c>
      <c r="GB101" s="3">
        <v>53</v>
      </c>
      <c r="GH101" s="3">
        <f t="shared" ref="GH101:GH108" si="44">COUNT(R101:GG101)</f>
        <v>15</v>
      </c>
      <c r="GI101" s="3">
        <f t="shared" ref="GI101:GI108" si="45">COUNTIF(R101:GG101,"&gt;=2")</f>
        <v>11</v>
      </c>
      <c r="GJ101" s="3">
        <f t="shared" ref="GJ101:GJ108" si="46">COUNTIF(R101:GG101,"&gt;=5")</f>
        <v>11</v>
      </c>
      <c r="GK101" s="3">
        <f t="shared" ref="GK101:GK108" si="47">SUM(R101:GG101)</f>
        <v>478</v>
      </c>
      <c r="GL101" s="3">
        <f t="shared" ref="GL101:GL108" si="48">25*P101</f>
        <v>625</v>
      </c>
      <c r="GM101" s="3">
        <f t="shared" ref="GM101:GM108" si="49">GL101-GK101</f>
        <v>147</v>
      </c>
    </row>
    <row r="102" spans="1:217" ht="13" x14ac:dyDescent="0.15">
      <c r="A102" s="13">
        <v>42835</v>
      </c>
      <c r="B102" s="3" t="s">
        <v>216</v>
      </c>
      <c r="C102" s="16">
        <f t="shared" si="13"/>
        <v>99</v>
      </c>
      <c r="D102" s="3">
        <v>21.3002</v>
      </c>
      <c r="E102" s="3">
        <v>-157.882599</v>
      </c>
      <c r="F102" s="3" t="s">
        <v>272</v>
      </c>
      <c r="G102" s="14">
        <v>0.3888888888888889</v>
      </c>
      <c r="H102" s="14">
        <v>0.4236111111111111</v>
      </c>
      <c r="I102" s="3">
        <v>7</v>
      </c>
      <c r="J102" s="3">
        <v>20</v>
      </c>
      <c r="K102" s="3" t="s">
        <v>198</v>
      </c>
      <c r="L102" s="3">
        <v>5</v>
      </c>
      <c r="M102" s="3">
        <v>33</v>
      </c>
      <c r="N102" s="3" t="s">
        <v>346</v>
      </c>
      <c r="P102" s="3">
        <v>33</v>
      </c>
      <c r="W102" s="3"/>
      <c r="X102" s="3">
        <v>1</v>
      </c>
      <c r="AA102" s="3"/>
      <c r="AB102" s="3">
        <v>17</v>
      </c>
      <c r="AC102" s="3">
        <v>2</v>
      </c>
      <c r="AI102" s="3">
        <v>2</v>
      </c>
      <c r="BM102" s="3">
        <v>20</v>
      </c>
      <c r="BV102" s="3">
        <v>3</v>
      </c>
      <c r="BZ102" s="3">
        <v>1</v>
      </c>
      <c r="CC102" s="3">
        <v>2</v>
      </c>
      <c r="DF102" s="3"/>
      <c r="DG102" s="3">
        <v>1</v>
      </c>
      <c r="DH102" s="3">
        <v>15</v>
      </c>
      <c r="DO102" s="3">
        <v>2</v>
      </c>
      <c r="EC102" s="3">
        <v>4</v>
      </c>
      <c r="EH102" s="3">
        <v>1</v>
      </c>
      <c r="EJ102" s="3">
        <v>10</v>
      </c>
      <c r="FI102" s="3">
        <v>56</v>
      </c>
      <c r="FS102" s="3">
        <v>365</v>
      </c>
      <c r="GH102" s="3">
        <f t="shared" si="44"/>
        <v>16</v>
      </c>
      <c r="GI102" s="3">
        <f t="shared" si="45"/>
        <v>12</v>
      </c>
      <c r="GJ102" s="3">
        <f t="shared" si="46"/>
        <v>6</v>
      </c>
      <c r="GK102" s="3">
        <f t="shared" si="47"/>
        <v>502</v>
      </c>
      <c r="GL102" s="3">
        <f t="shared" si="48"/>
        <v>825</v>
      </c>
      <c r="GM102" s="3">
        <f t="shared" si="49"/>
        <v>323</v>
      </c>
    </row>
    <row r="103" spans="1:217" ht="13" x14ac:dyDescent="0.15">
      <c r="A103" s="13">
        <v>42836</v>
      </c>
      <c r="B103" s="3" t="s">
        <v>301</v>
      </c>
      <c r="C103" s="16">
        <f t="shared" si="13"/>
        <v>100</v>
      </c>
      <c r="D103" s="3">
        <v>22.065598999999999</v>
      </c>
      <c r="E103" s="3">
        <v>-159.31770299999999</v>
      </c>
      <c r="F103" s="3" t="s">
        <v>347</v>
      </c>
      <c r="G103" s="14">
        <v>0.39583333333333331</v>
      </c>
      <c r="H103" s="14">
        <v>0.44374999999999998</v>
      </c>
      <c r="I103" s="3">
        <v>6</v>
      </c>
      <c r="J103" s="3">
        <v>15</v>
      </c>
      <c r="K103" s="3" t="s">
        <v>198</v>
      </c>
      <c r="L103" s="3">
        <v>7</v>
      </c>
      <c r="M103" s="3">
        <v>33</v>
      </c>
      <c r="N103" s="3" t="s">
        <v>348</v>
      </c>
      <c r="P103" s="3">
        <v>33</v>
      </c>
      <c r="W103" s="3"/>
      <c r="X103" s="3">
        <v>1</v>
      </c>
      <c r="AA103" s="3"/>
      <c r="AB103" s="3">
        <v>5</v>
      </c>
      <c r="AN103" s="3">
        <v>1</v>
      </c>
      <c r="AU103" s="3">
        <v>2</v>
      </c>
      <c r="AW103" s="3"/>
      <c r="AX103" s="3">
        <v>13</v>
      </c>
      <c r="AZ103" s="3">
        <v>1</v>
      </c>
      <c r="BA103" s="3"/>
      <c r="BB103" s="3">
        <v>4</v>
      </c>
      <c r="BM103" s="3">
        <v>3</v>
      </c>
      <c r="BN103" s="3">
        <v>62</v>
      </c>
      <c r="BU103" s="3">
        <v>7</v>
      </c>
      <c r="BV103" s="3">
        <v>36</v>
      </c>
      <c r="BZ103" s="3">
        <v>1</v>
      </c>
      <c r="CS103" s="3">
        <v>1</v>
      </c>
      <c r="CV103" s="3">
        <v>2</v>
      </c>
      <c r="DJ103" s="3">
        <v>22</v>
      </c>
      <c r="DL103" s="3">
        <v>14</v>
      </c>
      <c r="DM103" s="3">
        <v>5</v>
      </c>
      <c r="DR103" s="3"/>
      <c r="DS103" s="3">
        <v>11</v>
      </c>
      <c r="DU103" s="3"/>
      <c r="DV103" s="3">
        <v>1</v>
      </c>
      <c r="DZ103" s="3">
        <v>1</v>
      </c>
      <c r="EJ103" s="3">
        <v>159</v>
      </c>
      <c r="ET103" s="3"/>
      <c r="EU103" s="3"/>
      <c r="EV103" s="3">
        <v>3</v>
      </c>
      <c r="FB103" s="3">
        <v>2</v>
      </c>
      <c r="FF103" s="3">
        <v>18</v>
      </c>
      <c r="FI103" s="3">
        <v>20</v>
      </c>
      <c r="FS103" s="3">
        <v>159</v>
      </c>
      <c r="GB103" s="3">
        <v>1</v>
      </c>
      <c r="GH103" s="3">
        <f t="shared" si="44"/>
        <v>27</v>
      </c>
      <c r="GI103" s="3">
        <f t="shared" si="45"/>
        <v>19</v>
      </c>
      <c r="GJ103" s="3">
        <f t="shared" si="46"/>
        <v>13</v>
      </c>
      <c r="GK103" s="3">
        <f t="shared" si="47"/>
        <v>555</v>
      </c>
      <c r="GL103" s="3">
        <f t="shared" si="48"/>
        <v>825</v>
      </c>
      <c r="GM103" s="3">
        <f t="shared" si="49"/>
        <v>270</v>
      </c>
    </row>
    <row r="104" spans="1:217" ht="13" x14ac:dyDescent="0.15">
      <c r="A104" s="13">
        <v>42836</v>
      </c>
      <c r="B104" s="3" t="s">
        <v>266</v>
      </c>
      <c r="C104" s="16">
        <f t="shared" si="13"/>
        <v>101</v>
      </c>
      <c r="D104" s="3">
        <v>22.060683999999998</v>
      </c>
      <c r="E104" s="3">
        <v>-159.318512</v>
      </c>
      <c r="F104" s="3" t="s">
        <v>297</v>
      </c>
      <c r="G104" s="14">
        <v>0.40416666666666667</v>
      </c>
      <c r="H104" s="14">
        <v>0.44097222222222221</v>
      </c>
      <c r="I104" s="3">
        <v>6</v>
      </c>
      <c r="J104" s="3">
        <v>14</v>
      </c>
      <c r="K104" s="3" t="s">
        <v>198</v>
      </c>
      <c r="L104" s="3">
        <v>8</v>
      </c>
      <c r="M104" s="3">
        <v>37</v>
      </c>
      <c r="N104" s="3" t="s">
        <v>349</v>
      </c>
      <c r="P104" s="3">
        <v>37</v>
      </c>
      <c r="T104" s="3">
        <v>1</v>
      </c>
      <c r="AA104" s="3">
        <v>3</v>
      </c>
      <c r="AV104" s="3">
        <v>1</v>
      </c>
      <c r="BA104" s="3"/>
      <c r="BB104" s="3">
        <v>1</v>
      </c>
      <c r="BN104" s="3">
        <v>139</v>
      </c>
      <c r="BV104" s="3">
        <v>10</v>
      </c>
      <c r="CW104" s="3"/>
      <c r="CX104" s="3"/>
      <c r="CY104" s="3"/>
      <c r="CZ104" s="3">
        <v>1</v>
      </c>
      <c r="DM104" s="3">
        <v>1</v>
      </c>
      <c r="DR104" s="3"/>
      <c r="DS104" s="3">
        <v>154</v>
      </c>
      <c r="DU104" s="3"/>
      <c r="DV104" s="3">
        <v>8</v>
      </c>
      <c r="EJ104" s="3">
        <v>181</v>
      </c>
      <c r="FB104" s="3">
        <v>6</v>
      </c>
      <c r="FC104" s="3">
        <v>2</v>
      </c>
      <c r="FF104" s="3">
        <v>28</v>
      </c>
      <c r="FI104" s="3">
        <v>4</v>
      </c>
      <c r="FR104" s="3">
        <v>21</v>
      </c>
      <c r="FS104" s="3">
        <v>72</v>
      </c>
      <c r="FU104" s="3">
        <v>1</v>
      </c>
      <c r="GH104" s="3">
        <f t="shared" si="44"/>
        <v>18</v>
      </c>
      <c r="GI104" s="3">
        <f t="shared" si="45"/>
        <v>12</v>
      </c>
      <c r="GJ104" s="3">
        <f t="shared" si="46"/>
        <v>9</v>
      </c>
      <c r="GK104" s="3">
        <f t="shared" si="47"/>
        <v>634</v>
      </c>
      <c r="GL104" s="3">
        <f t="shared" si="48"/>
        <v>925</v>
      </c>
      <c r="GM104" s="3">
        <f t="shared" si="49"/>
        <v>291</v>
      </c>
    </row>
    <row r="105" spans="1:217" ht="13" x14ac:dyDescent="0.15">
      <c r="A105" s="13">
        <v>42837</v>
      </c>
      <c r="B105" s="3" t="s">
        <v>266</v>
      </c>
      <c r="C105" s="16">
        <f t="shared" si="13"/>
        <v>102</v>
      </c>
      <c r="D105" s="3">
        <v>22.060683999999998</v>
      </c>
      <c r="E105" s="3">
        <v>-159.318512</v>
      </c>
      <c r="F105" s="3" t="s">
        <v>350</v>
      </c>
      <c r="G105" s="14">
        <v>0.3611111111111111</v>
      </c>
      <c r="H105" s="14">
        <v>0.44097222222222221</v>
      </c>
      <c r="I105" s="3">
        <v>6</v>
      </c>
      <c r="J105" s="3">
        <v>13</v>
      </c>
      <c r="K105" s="3" t="s">
        <v>198</v>
      </c>
      <c r="L105" s="3">
        <v>5</v>
      </c>
      <c r="M105" s="3">
        <v>28</v>
      </c>
      <c r="N105" s="3" t="s">
        <v>351</v>
      </c>
      <c r="P105" s="3">
        <v>28</v>
      </c>
      <c r="AN105" s="3">
        <v>1</v>
      </c>
      <c r="AZ105" s="3">
        <v>5</v>
      </c>
      <c r="BN105" s="3">
        <v>215</v>
      </c>
      <c r="BV105" s="3">
        <v>5</v>
      </c>
      <c r="DD105" s="3">
        <v>1</v>
      </c>
      <c r="DM105" s="3">
        <v>77</v>
      </c>
      <c r="DU105" s="3"/>
      <c r="DV105" s="3">
        <v>10</v>
      </c>
      <c r="EJ105" s="3">
        <v>144</v>
      </c>
      <c r="FR105" s="3">
        <v>5</v>
      </c>
      <c r="FS105" s="3">
        <v>47</v>
      </c>
      <c r="GH105" s="3">
        <f t="shared" si="44"/>
        <v>10</v>
      </c>
      <c r="GI105" s="3">
        <f t="shared" si="45"/>
        <v>8</v>
      </c>
      <c r="GJ105" s="3">
        <f t="shared" si="46"/>
        <v>8</v>
      </c>
      <c r="GK105" s="3">
        <f t="shared" si="47"/>
        <v>510</v>
      </c>
      <c r="GL105" s="3">
        <f t="shared" si="48"/>
        <v>700</v>
      </c>
      <c r="GM105" s="3">
        <f t="shared" si="49"/>
        <v>190</v>
      </c>
    </row>
    <row r="106" spans="1:217" ht="13" x14ac:dyDescent="0.15">
      <c r="A106" s="13">
        <v>42837</v>
      </c>
      <c r="B106" s="3" t="s">
        <v>355</v>
      </c>
      <c r="C106" s="16">
        <f t="shared" si="13"/>
        <v>103</v>
      </c>
      <c r="D106" s="3">
        <v>21.284300000000002</v>
      </c>
      <c r="E106" s="3">
        <v>-157.67529300000001</v>
      </c>
      <c r="F106" s="3" t="s">
        <v>356</v>
      </c>
      <c r="G106" s="14">
        <v>0.39791666666666664</v>
      </c>
      <c r="H106" s="14">
        <v>0.44097222222222221</v>
      </c>
      <c r="I106" s="3">
        <v>7</v>
      </c>
      <c r="J106" s="3">
        <v>25</v>
      </c>
      <c r="K106" s="3" t="s">
        <v>198</v>
      </c>
      <c r="L106" s="3">
        <v>4</v>
      </c>
      <c r="M106" s="3">
        <v>23</v>
      </c>
      <c r="N106" s="3" t="s">
        <v>357</v>
      </c>
      <c r="P106" s="3">
        <v>23</v>
      </c>
      <c r="AB106" s="3">
        <v>5</v>
      </c>
      <c r="AC106" s="3">
        <v>1</v>
      </c>
      <c r="AD106" s="3">
        <v>6</v>
      </c>
      <c r="AG106" s="3">
        <v>11</v>
      </c>
      <c r="BK106" s="3">
        <v>2</v>
      </c>
      <c r="BM106" s="3">
        <v>22</v>
      </c>
      <c r="BZ106" s="3">
        <v>2</v>
      </c>
      <c r="CG106" s="3"/>
      <c r="CH106" s="3">
        <v>24</v>
      </c>
      <c r="EJ106" s="3">
        <v>18</v>
      </c>
      <c r="EK106" s="3">
        <v>1</v>
      </c>
      <c r="FB106" s="3">
        <v>4</v>
      </c>
      <c r="FF106" s="3">
        <v>16</v>
      </c>
      <c r="FR106" s="3">
        <v>3</v>
      </c>
      <c r="FS106" s="3">
        <v>157</v>
      </c>
      <c r="FU106" s="3">
        <v>3</v>
      </c>
      <c r="GH106" s="3">
        <f t="shared" si="44"/>
        <v>15</v>
      </c>
      <c r="GI106" s="3">
        <f t="shared" si="45"/>
        <v>13</v>
      </c>
      <c r="GJ106" s="3">
        <f t="shared" si="46"/>
        <v>8</v>
      </c>
      <c r="GK106" s="3">
        <f t="shared" si="47"/>
        <v>275</v>
      </c>
      <c r="GL106" s="3">
        <f t="shared" si="48"/>
        <v>575</v>
      </c>
      <c r="GM106" s="3">
        <f t="shared" si="49"/>
        <v>300</v>
      </c>
    </row>
    <row r="107" spans="1:217" ht="13" x14ac:dyDescent="0.15">
      <c r="A107" s="13">
        <v>42838</v>
      </c>
      <c r="B107" s="3" t="s">
        <v>259</v>
      </c>
      <c r="C107" s="16">
        <f t="shared" si="13"/>
        <v>104</v>
      </c>
      <c r="D107" s="3">
        <v>19.737894000000001</v>
      </c>
      <c r="E107" s="3">
        <v>-155.03405799999999</v>
      </c>
      <c r="F107" s="3" t="s">
        <v>358</v>
      </c>
      <c r="G107" s="14">
        <v>0.40277777777777779</v>
      </c>
      <c r="H107" s="14">
        <v>0.47847222222222224</v>
      </c>
      <c r="I107" s="3">
        <v>4</v>
      </c>
      <c r="J107" s="3">
        <v>60</v>
      </c>
      <c r="K107" s="3" t="s">
        <v>360</v>
      </c>
      <c r="L107" s="3">
        <v>10</v>
      </c>
      <c r="M107" s="3">
        <v>27</v>
      </c>
      <c r="N107" s="3" t="s">
        <v>361</v>
      </c>
      <c r="P107" s="3">
        <v>27</v>
      </c>
      <c r="AC107" s="3">
        <v>27</v>
      </c>
      <c r="AF107" s="3">
        <v>2</v>
      </c>
      <c r="AI107" s="3">
        <v>1</v>
      </c>
      <c r="BK107" s="3">
        <v>11</v>
      </c>
      <c r="BM107" s="3">
        <v>31</v>
      </c>
      <c r="BN107" s="3">
        <v>21</v>
      </c>
      <c r="BQ107" s="3">
        <v>3</v>
      </c>
      <c r="CG107" s="3"/>
      <c r="CH107" s="3">
        <v>1</v>
      </c>
      <c r="CO107" s="3">
        <v>5</v>
      </c>
      <c r="ED107" s="3">
        <v>18</v>
      </c>
      <c r="FB107" s="3">
        <v>7</v>
      </c>
      <c r="FF107" s="3">
        <v>2</v>
      </c>
      <c r="FS107" s="3">
        <v>230</v>
      </c>
      <c r="FU107" s="3">
        <v>3</v>
      </c>
      <c r="FV107" s="3"/>
      <c r="FW107" s="3">
        <v>35</v>
      </c>
      <c r="GH107" s="3">
        <f t="shared" si="44"/>
        <v>15</v>
      </c>
      <c r="GI107" s="3">
        <f t="shared" si="45"/>
        <v>13</v>
      </c>
      <c r="GJ107" s="3">
        <f t="shared" si="46"/>
        <v>9</v>
      </c>
      <c r="GK107" s="3">
        <f t="shared" si="47"/>
        <v>397</v>
      </c>
      <c r="GL107" s="3">
        <f t="shared" si="48"/>
        <v>675</v>
      </c>
      <c r="GM107" s="3">
        <f t="shared" si="49"/>
        <v>278</v>
      </c>
    </row>
    <row r="108" spans="1:217" ht="13" x14ac:dyDescent="0.15">
      <c r="A108" s="13">
        <v>42838</v>
      </c>
      <c r="B108" s="3" t="s">
        <v>352</v>
      </c>
      <c r="C108" s="16">
        <f t="shared" si="13"/>
        <v>105</v>
      </c>
      <c r="D108" s="3">
        <v>21.7057</v>
      </c>
      <c r="E108" s="3">
        <v>-157.99569700000001</v>
      </c>
      <c r="F108" s="3" t="s">
        <v>353</v>
      </c>
      <c r="G108" s="14">
        <v>0.4375</v>
      </c>
      <c r="H108" s="14">
        <v>0.47916666666666669</v>
      </c>
      <c r="I108" s="3">
        <v>9</v>
      </c>
      <c r="J108" s="3">
        <v>16</v>
      </c>
      <c r="K108" s="3" t="s">
        <v>198</v>
      </c>
      <c r="L108" s="3">
        <v>10</v>
      </c>
      <c r="M108" s="3">
        <v>40</v>
      </c>
      <c r="N108" s="3" t="s">
        <v>363</v>
      </c>
      <c r="O108" s="3" t="s">
        <v>364</v>
      </c>
      <c r="P108" s="3">
        <v>40</v>
      </c>
      <c r="AI108" s="3">
        <v>1</v>
      </c>
      <c r="AN108" s="3">
        <v>1</v>
      </c>
      <c r="AU108" s="3">
        <v>1</v>
      </c>
      <c r="BM108" s="3">
        <v>4</v>
      </c>
      <c r="BN108" s="3">
        <v>2</v>
      </c>
      <c r="BV108" s="3">
        <v>1</v>
      </c>
      <c r="CC108" s="3">
        <v>8</v>
      </c>
      <c r="CD108" s="3">
        <v>3</v>
      </c>
      <c r="CS108" s="3">
        <v>7</v>
      </c>
      <c r="DM108" s="3">
        <v>9</v>
      </c>
      <c r="DU108" s="3"/>
      <c r="DV108" s="3">
        <v>6</v>
      </c>
      <c r="DZ108" s="3">
        <v>2</v>
      </c>
      <c r="EJ108" s="3">
        <v>344</v>
      </c>
      <c r="FB108" s="3">
        <v>2</v>
      </c>
      <c r="FH108" s="3">
        <v>2</v>
      </c>
      <c r="FR108" s="3">
        <v>25</v>
      </c>
      <c r="FS108" s="3">
        <v>133</v>
      </c>
      <c r="GC108" s="3">
        <v>3</v>
      </c>
      <c r="GH108" s="3">
        <f t="shared" si="44"/>
        <v>18</v>
      </c>
      <c r="GI108" s="3">
        <f t="shared" si="45"/>
        <v>14</v>
      </c>
      <c r="GJ108" s="3">
        <f t="shared" si="46"/>
        <v>7</v>
      </c>
      <c r="GK108" s="3">
        <f t="shared" si="47"/>
        <v>554</v>
      </c>
      <c r="GL108" s="3">
        <f t="shared" si="48"/>
        <v>1000</v>
      </c>
      <c r="GM108" s="3">
        <f t="shared" si="49"/>
        <v>446</v>
      </c>
    </row>
    <row r="109" spans="1:217" ht="13" x14ac:dyDescent="0.15">
      <c r="A109" s="27">
        <v>42838</v>
      </c>
      <c r="B109" s="28" t="s">
        <v>226</v>
      </c>
      <c r="C109" s="16">
        <f t="shared" si="13"/>
        <v>106</v>
      </c>
      <c r="D109" s="28">
        <v>21.706499000000001</v>
      </c>
      <c r="E109" s="28">
        <v>-157.99850499999999</v>
      </c>
      <c r="F109" s="28" t="s">
        <v>353</v>
      </c>
      <c r="G109" s="29">
        <v>0.4375</v>
      </c>
      <c r="H109" s="29">
        <v>0.45833333333333331</v>
      </c>
      <c r="I109" s="28">
        <v>5</v>
      </c>
      <c r="J109" s="28">
        <v>10</v>
      </c>
      <c r="K109" s="28" t="s">
        <v>198</v>
      </c>
      <c r="L109" s="28">
        <v>3</v>
      </c>
      <c r="M109" s="28">
        <v>7</v>
      </c>
      <c r="N109" s="28" t="s">
        <v>439</v>
      </c>
      <c r="O109" s="28"/>
      <c r="P109" s="28"/>
      <c r="Q109" s="28"/>
      <c r="R109" s="28">
        <v>1</v>
      </c>
      <c r="S109" s="28"/>
      <c r="T109" s="28"/>
      <c r="U109" s="28"/>
      <c r="V109" s="28"/>
      <c r="W109" s="28"/>
      <c r="X109" s="28"/>
      <c r="Y109" s="28"/>
      <c r="Z109" s="28"/>
      <c r="AA109" s="28"/>
      <c r="AB109" s="28">
        <v>1</v>
      </c>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v>3</v>
      </c>
      <c r="BC109" s="28"/>
      <c r="BD109" s="28"/>
      <c r="BE109" s="28"/>
      <c r="BF109" s="28"/>
      <c r="BG109" s="28"/>
      <c r="BH109" s="28"/>
      <c r="BI109" s="28"/>
      <c r="BJ109" s="28"/>
      <c r="BK109" s="28">
        <v>3</v>
      </c>
      <c r="BL109" s="28"/>
      <c r="BM109" s="28"/>
      <c r="BN109" s="28"/>
      <c r="BO109" s="28"/>
      <c r="BP109" s="28"/>
      <c r="BQ109" s="28"/>
      <c r="BR109" s="28"/>
      <c r="BS109" s="28"/>
      <c r="BT109" s="28"/>
      <c r="BU109" s="28"/>
      <c r="BV109" s="28"/>
      <c r="BW109" s="28"/>
      <c r="BX109" s="28"/>
      <c r="BY109" s="28"/>
      <c r="BZ109" s="28"/>
      <c r="CA109" s="28"/>
      <c r="CB109" s="28"/>
      <c r="CC109" s="28"/>
      <c r="CD109" s="28"/>
      <c r="CE109" s="28"/>
      <c r="CF109" s="28"/>
      <c r="CG109" s="28"/>
      <c r="CH109" s="28"/>
      <c r="CI109" s="28"/>
      <c r="CJ109" s="28"/>
      <c r="CK109" s="28"/>
      <c r="CL109" s="28"/>
      <c r="CM109" s="28"/>
      <c r="CN109" s="28"/>
      <c r="CO109" s="28"/>
      <c r="CP109" s="28"/>
      <c r="CQ109" s="28"/>
      <c r="CR109" s="28"/>
      <c r="CS109" s="28">
        <v>14</v>
      </c>
      <c r="CT109" s="28"/>
      <c r="CU109" s="28"/>
      <c r="CV109" s="28"/>
      <c r="CW109" s="28"/>
      <c r="CX109" s="28"/>
      <c r="CY109" s="28"/>
      <c r="CZ109" s="28"/>
      <c r="DA109" s="28"/>
      <c r="DB109" s="28"/>
      <c r="DC109" s="28"/>
      <c r="DD109" s="28"/>
      <c r="DE109" s="28"/>
      <c r="DF109" s="28"/>
      <c r="DG109" s="28"/>
      <c r="DH109" s="28"/>
      <c r="DI109" s="28"/>
      <c r="DJ109" s="28"/>
      <c r="DK109" s="28"/>
      <c r="DL109" s="28"/>
      <c r="DM109" s="28"/>
      <c r="DN109" s="28"/>
      <c r="DO109" s="28"/>
      <c r="DP109" s="28"/>
      <c r="DQ109" s="28"/>
      <c r="DR109" s="28"/>
      <c r="DS109" s="28"/>
      <c r="DT109" s="28"/>
      <c r="DU109" s="28"/>
      <c r="DV109" s="28">
        <v>6</v>
      </c>
      <c r="DW109" s="28"/>
      <c r="DX109" s="28"/>
      <c r="DY109" s="28"/>
      <c r="DZ109" s="28"/>
      <c r="EA109" s="28"/>
      <c r="EB109" s="28"/>
      <c r="EC109" s="28"/>
      <c r="ED109" s="28">
        <v>1</v>
      </c>
      <c r="EE109" s="28"/>
      <c r="EF109" s="28"/>
      <c r="EG109" s="28"/>
      <c r="EH109" s="28"/>
      <c r="EI109" s="28"/>
      <c r="EJ109" s="28">
        <v>4</v>
      </c>
      <c r="EK109" s="28">
        <v>5</v>
      </c>
      <c r="EL109" s="28"/>
      <c r="EM109" s="28"/>
      <c r="EN109" s="28"/>
      <c r="EO109" s="28"/>
      <c r="EP109" s="28"/>
      <c r="EQ109" s="28"/>
      <c r="ER109" s="28"/>
      <c r="ES109" s="28"/>
      <c r="ET109" s="28"/>
      <c r="EU109" s="28"/>
      <c r="EV109" s="28">
        <v>2</v>
      </c>
      <c r="EW109" s="28">
        <v>1</v>
      </c>
      <c r="EX109" s="28"/>
      <c r="EY109" s="28"/>
      <c r="EZ109" s="28"/>
      <c r="FA109" s="28"/>
      <c r="FB109" s="28">
        <v>4</v>
      </c>
      <c r="FC109" s="28"/>
      <c r="FD109" s="28"/>
      <c r="FE109" s="28"/>
      <c r="FF109" s="28"/>
      <c r="FG109" s="28"/>
      <c r="FH109" s="28"/>
      <c r="FI109" s="28"/>
      <c r="FJ109" s="28"/>
      <c r="FK109" s="28"/>
      <c r="FL109" s="28"/>
      <c r="FM109" s="28"/>
      <c r="FN109" s="28"/>
      <c r="FO109" s="28"/>
      <c r="FP109" s="28"/>
      <c r="FQ109" s="28"/>
      <c r="FR109" s="28"/>
      <c r="FS109" s="28">
        <v>24</v>
      </c>
      <c r="FT109" s="28"/>
      <c r="FU109" s="28"/>
      <c r="FV109" s="28"/>
      <c r="FW109" s="28"/>
      <c r="FX109" s="28"/>
      <c r="FY109" s="28"/>
      <c r="FZ109" s="28"/>
      <c r="GA109" s="28"/>
      <c r="GB109" s="28"/>
      <c r="GC109" s="28"/>
      <c r="GD109" s="28"/>
      <c r="GE109" s="28"/>
      <c r="GF109" s="28"/>
      <c r="GG109" s="28"/>
      <c r="GH109" s="28"/>
      <c r="GI109" s="28"/>
      <c r="GJ109" s="28"/>
      <c r="GK109" s="28"/>
      <c r="GL109" s="28"/>
      <c r="GM109" s="28"/>
      <c r="GN109" s="28"/>
      <c r="GO109" s="28"/>
      <c r="GP109" s="28"/>
      <c r="GQ109" s="28"/>
      <c r="GR109" s="28"/>
      <c r="GS109" s="28"/>
      <c r="GT109" s="28"/>
      <c r="GU109" s="28"/>
      <c r="GV109" s="28"/>
      <c r="GW109" s="28"/>
      <c r="GX109" s="28"/>
      <c r="GY109" s="28"/>
      <c r="GZ109" s="28"/>
      <c r="HA109" s="28"/>
      <c r="HB109" s="28"/>
      <c r="HC109" s="28"/>
      <c r="HD109" s="28"/>
      <c r="HE109" s="28"/>
      <c r="HF109" s="28"/>
      <c r="HG109" s="28"/>
      <c r="HH109" s="28"/>
      <c r="HI109" s="28"/>
    </row>
    <row r="110" spans="1:217" ht="13" x14ac:dyDescent="0.15">
      <c r="A110" s="13">
        <v>42844</v>
      </c>
      <c r="B110" s="3" t="s">
        <v>244</v>
      </c>
      <c r="C110" s="16">
        <f t="shared" si="13"/>
        <v>107</v>
      </c>
      <c r="D110" s="3">
        <v>21.310611999999999</v>
      </c>
      <c r="E110" s="3">
        <v>-158.00441000000001</v>
      </c>
      <c r="F110" s="3" t="s">
        <v>278</v>
      </c>
      <c r="G110" s="14">
        <v>0.38541666666666669</v>
      </c>
      <c r="H110" s="14">
        <v>0.46875</v>
      </c>
      <c r="I110" s="3">
        <v>6</v>
      </c>
      <c r="J110" s="3">
        <v>6</v>
      </c>
      <c r="K110" s="3" t="s">
        <v>198</v>
      </c>
      <c r="L110" s="3">
        <v>5</v>
      </c>
      <c r="M110" s="3">
        <v>24</v>
      </c>
      <c r="N110" s="3" t="s">
        <v>365</v>
      </c>
      <c r="O110" s="3" t="s">
        <v>295</v>
      </c>
      <c r="P110" s="3">
        <v>24</v>
      </c>
      <c r="R110" s="3">
        <v>9</v>
      </c>
      <c r="AE110" s="3">
        <v>2</v>
      </c>
      <c r="AI110" s="3">
        <v>8</v>
      </c>
      <c r="AW110" s="3">
        <v>2</v>
      </c>
      <c r="BA110" s="3"/>
      <c r="BB110" s="3">
        <v>1</v>
      </c>
      <c r="BM110" s="3">
        <v>2</v>
      </c>
      <c r="BV110" s="3">
        <v>3</v>
      </c>
      <c r="BZ110" s="3">
        <v>95</v>
      </c>
      <c r="DF110" s="3"/>
      <c r="DG110" s="3">
        <v>4</v>
      </c>
      <c r="DM110" s="3">
        <v>30</v>
      </c>
      <c r="DR110" s="3"/>
      <c r="DS110" s="3">
        <v>1</v>
      </c>
      <c r="EC110" s="3">
        <v>3</v>
      </c>
      <c r="EJ110" s="3">
        <v>288</v>
      </c>
      <c r="EX110" s="3">
        <v>1</v>
      </c>
      <c r="FF110" s="3">
        <v>1</v>
      </c>
      <c r="FI110" s="3">
        <v>33</v>
      </c>
      <c r="FS110" s="3">
        <v>20</v>
      </c>
      <c r="FV110" s="3"/>
      <c r="FW110" s="3">
        <v>1</v>
      </c>
      <c r="GH110" s="3">
        <f t="shared" ref="GH110:GH120" si="50">COUNT(R110:GG110)</f>
        <v>18</v>
      </c>
      <c r="GI110" s="3">
        <f t="shared" ref="GI110:GI120" si="51">COUNTIF(R110:GG110,"&gt;=2")</f>
        <v>13</v>
      </c>
      <c r="GJ110" s="3">
        <f t="shared" ref="GJ110:GJ120" si="52">COUNTIF(R110:GG110,"&gt;=5")</f>
        <v>7</v>
      </c>
      <c r="GK110" s="3">
        <f t="shared" ref="GK110:GK120" si="53">SUM(R110:GG110)</f>
        <v>504</v>
      </c>
      <c r="GL110" s="3">
        <f t="shared" ref="GL110:GL120" si="54">25*P110</f>
        <v>600</v>
      </c>
      <c r="GM110" s="3">
        <f t="shared" ref="GM110:GM120" si="55">GL110-GK110</f>
        <v>96</v>
      </c>
    </row>
    <row r="111" spans="1:217" ht="13" x14ac:dyDescent="0.15">
      <c r="A111" s="13">
        <v>42844</v>
      </c>
      <c r="B111" s="3" t="s">
        <v>369</v>
      </c>
      <c r="C111" s="16">
        <f t="shared" si="13"/>
        <v>108</v>
      </c>
      <c r="D111" s="3">
        <v>21.888725000000001</v>
      </c>
      <c r="E111" s="3">
        <v>-159.41641200000001</v>
      </c>
      <c r="F111" s="3" t="s">
        <v>321</v>
      </c>
      <c r="G111" s="14">
        <v>0.35416666666666669</v>
      </c>
      <c r="H111" s="14">
        <v>0.5</v>
      </c>
      <c r="I111" s="3">
        <v>5</v>
      </c>
      <c r="J111" s="3">
        <v>18</v>
      </c>
      <c r="K111" s="3" t="s">
        <v>217</v>
      </c>
      <c r="L111" s="3">
        <v>5</v>
      </c>
      <c r="M111" s="3">
        <v>19</v>
      </c>
      <c r="N111" s="3" t="s">
        <v>370</v>
      </c>
      <c r="P111" s="3">
        <v>19</v>
      </c>
      <c r="AB111" s="3">
        <v>26</v>
      </c>
      <c r="AI111" s="3">
        <v>1</v>
      </c>
      <c r="AN111" s="3">
        <v>5</v>
      </c>
      <c r="BH111" s="3">
        <v>12</v>
      </c>
      <c r="BO111" s="3"/>
      <c r="BP111" s="3">
        <v>2</v>
      </c>
      <c r="BV111" s="3">
        <v>4</v>
      </c>
      <c r="BZ111" s="3">
        <v>28</v>
      </c>
      <c r="CS111" s="3">
        <v>1</v>
      </c>
      <c r="DR111" s="3"/>
      <c r="DS111" s="3">
        <v>30</v>
      </c>
      <c r="DU111" s="3"/>
      <c r="DV111" s="3">
        <v>45</v>
      </c>
      <c r="EJ111" s="3">
        <v>73</v>
      </c>
      <c r="FI111" s="3">
        <v>7</v>
      </c>
      <c r="FS111" s="3">
        <v>150</v>
      </c>
      <c r="GH111" s="3">
        <f t="shared" si="50"/>
        <v>13</v>
      </c>
      <c r="GI111" s="3">
        <f t="shared" si="51"/>
        <v>11</v>
      </c>
      <c r="GJ111" s="3">
        <f t="shared" si="52"/>
        <v>9</v>
      </c>
      <c r="GK111" s="3">
        <f t="shared" si="53"/>
        <v>384</v>
      </c>
      <c r="GL111" s="3">
        <f t="shared" si="54"/>
        <v>475</v>
      </c>
      <c r="GM111" s="3">
        <f t="shared" si="55"/>
        <v>91</v>
      </c>
    </row>
    <row r="112" spans="1:217" ht="13" x14ac:dyDescent="0.15">
      <c r="A112" s="13">
        <v>42850</v>
      </c>
      <c r="B112" s="3" t="s">
        <v>244</v>
      </c>
      <c r="C112" s="16">
        <f t="shared" si="13"/>
        <v>109</v>
      </c>
      <c r="D112" s="3">
        <v>21.310611999999999</v>
      </c>
      <c r="E112" s="3">
        <v>-158.00441000000001</v>
      </c>
      <c r="F112" s="3" t="s">
        <v>326</v>
      </c>
      <c r="G112" s="14">
        <v>0.39583333333333331</v>
      </c>
      <c r="H112" s="14">
        <v>0.45833333333333331</v>
      </c>
      <c r="I112" s="3">
        <v>7</v>
      </c>
      <c r="J112" s="3">
        <v>10</v>
      </c>
      <c r="K112" s="3" t="s">
        <v>318</v>
      </c>
      <c r="L112" s="3">
        <v>5</v>
      </c>
      <c r="M112" s="3">
        <v>34</v>
      </c>
      <c r="N112" s="3" t="s">
        <v>371</v>
      </c>
      <c r="P112" s="3">
        <v>34</v>
      </c>
      <c r="R112" s="3">
        <v>14</v>
      </c>
      <c r="AB112" s="3">
        <v>1</v>
      </c>
      <c r="AC112" s="3">
        <v>14</v>
      </c>
      <c r="AE112" s="3">
        <v>7</v>
      </c>
      <c r="AI112" s="3">
        <v>1</v>
      </c>
      <c r="AM112" s="3">
        <v>2</v>
      </c>
      <c r="AN112" s="3">
        <v>11</v>
      </c>
      <c r="AT112" s="3">
        <v>1</v>
      </c>
      <c r="BA112" s="3"/>
      <c r="BB112" s="3">
        <v>3</v>
      </c>
      <c r="BM112" s="3">
        <v>1</v>
      </c>
      <c r="BV112" s="3">
        <v>60</v>
      </c>
      <c r="BZ112" s="3">
        <v>53</v>
      </c>
      <c r="CP112" s="3"/>
      <c r="CQ112" s="3"/>
      <c r="CR112" s="3">
        <v>4</v>
      </c>
      <c r="CW112" s="3"/>
      <c r="CX112" s="3"/>
      <c r="CY112" s="3">
        <v>2</v>
      </c>
      <c r="DF112" s="3"/>
      <c r="DG112" s="3">
        <v>12</v>
      </c>
      <c r="DM112" s="3">
        <v>22</v>
      </c>
      <c r="DO112" s="3">
        <v>2</v>
      </c>
      <c r="DU112" s="3"/>
      <c r="DV112" s="3">
        <v>9</v>
      </c>
      <c r="EJ112" s="3">
        <v>293</v>
      </c>
      <c r="EK112" s="3">
        <v>28</v>
      </c>
      <c r="EO112" s="3">
        <v>14</v>
      </c>
      <c r="FB112" s="3">
        <v>10</v>
      </c>
      <c r="FS112" s="3">
        <v>87</v>
      </c>
      <c r="FV112" s="3"/>
      <c r="FW112" s="3">
        <v>1</v>
      </c>
      <c r="GH112" s="3">
        <f t="shared" si="50"/>
        <v>24</v>
      </c>
      <c r="GI112" s="3">
        <f t="shared" si="51"/>
        <v>19</v>
      </c>
      <c r="GJ112" s="3">
        <f t="shared" si="52"/>
        <v>14</v>
      </c>
      <c r="GK112" s="3">
        <f t="shared" si="53"/>
        <v>652</v>
      </c>
      <c r="GL112" s="3">
        <f t="shared" si="54"/>
        <v>850</v>
      </c>
      <c r="GM112" s="3">
        <f t="shared" si="55"/>
        <v>198</v>
      </c>
    </row>
    <row r="113" spans="1:217" ht="13" x14ac:dyDescent="0.15">
      <c r="A113" s="13">
        <v>42850</v>
      </c>
      <c r="B113" s="3" t="s">
        <v>250</v>
      </c>
      <c r="C113" s="16">
        <f t="shared" si="13"/>
        <v>110</v>
      </c>
      <c r="D113" s="3">
        <v>21.410399999999999</v>
      </c>
      <c r="E113" s="3">
        <v>-158.17770400000001</v>
      </c>
      <c r="F113" s="3" t="s">
        <v>372</v>
      </c>
      <c r="G113" s="14">
        <v>0.3888888888888889</v>
      </c>
      <c r="H113" s="14">
        <v>0.47916666666666669</v>
      </c>
      <c r="I113" s="3">
        <v>6</v>
      </c>
      <c r="J113" s="3">
        <v>20</v>
      </c>
      <c r="K113" s="3" t="s">
        <v>198</v>
      </c>
      <c r="L113" s="3">
        <v>5</v>
      </c>
      <c r="M113" s="3">
        <v>23</v>
      </c>
      <c r="N113" s="3" t="s">
        <v>373</v>
      </c>
      <c r="P113" s="3">
        <v>23</v>
      </c>
      <c r="R113" s="3">
        <v>104</v>
      </c>
      <c r="AC113" s="3">
        <v>1</v>
      </c>
      <c r="BS113" s="3">
        <v>3</v>
      </c>
      <c r="BZ113" s="3">
        <v>42</v>
      </c>
      <c r="CC113" s="3">
        <v>2</v>
      </c>
      <c r="CK113" s="3">
        <v>96</v>
      </c>
      <c r="CN113" s="3">
        <v>6</v>
      </c>
      <c r="CO113" s="3">
        <v>5</v>
      </c>
      <c r="DF113" s="3"/>
      <c r="DG113" s="3">
        <v>12</v>
      </c>
      <c r="DJ113" s="3">
        <v>3</v>
      </c>
      <c r="DL113" s="3">
        <v>1</v>
      </c>
      <c r="DM113" s="3">
        <v>33</v>
      </c>
      <c r="DR113" s="3"/>
      <c r="DS113" s="3">
        <v>5</v>
      </c>
      <c r="EK113" s="3">
        <v>13</v>
      </c>
      <c r="EX113" s="3">
        <v>55</v>
      </c>
      <c r="EY113" s="3">
        <v>1</v>
      </c>
      <c r="FR113" s="3">
        <v>1</v>
      </c>
      <c r="FS113" s="3">
        <v>160</v>
      </c>
      <c r="GC113" s="3">
        <v>1</v>
      </c>
      <c r="GF113" s="3">
        <v>2</v>
      </c>
      <c r="GH113" s="3">
        <f t="shared" si="50"/>
        <v>20</v>
      </c>
      <c r="GI113" s="3">
        <f t="shared" si="51"/>
        <v>15</v>
      </c>
      <c r="GJ113" s="3">
        <f t="shared" si="52"/>
        <v>11</v>
      </c>
      <c r="GK113" s="3">
        <f t="shared" si="53"/>
        <v>546</v>
      </c>
      <c r="GL113" s="3">
        <f t="shared" si="54"/>
        <v>575</v>
      </c>
      <c r="GM113" s="3">
        <f t="shared" si="55"/>
        <v>29</v>
      </c>
    </row>
    <row r="114" spans="1:217" ht="13" x14ac:dyDescent="0.15">
      <c r="A114" s="13">
        <v>42850</v>
      </c>
      <c r="B114" s="3" t="s">
        <v>374</v>
      </c>
      <c r="C114" s="16">
        <f t="shared" si="13"/>
        <v>111</v>
      </c>
      <c r="D114" s="3">
        <v>20.738001000000001</v>
      </c>
      <c r="E114" s="3">
        <v>-156.895004</v>
      </c>
      <c r="F114" s="3" t="s">
        <v>375</v>
      </c>
      <c r="G114" s="14">
        <v>0.40625</v>
      </c>
      <c r="H114" s="14">
        <v>0.46875</v>
      </c>
      <c r="I114" s="3">
        <v>5</v>
      </c>
      <c r="J114" s="3">
        <v>20</v>
      </c>
      <c r="K114" s="3" t="s">
        <v>318</v>
      </c>
      <c r="L114" s="3">
        <v>5</v>
      </c>
      <c r="M114" s="3">
        <v>20</v>
      </c>
      <c r="N114" s="3" t="s">
        <v>376</v>
      </c>
      <c r="P114" s="3">
        <v>20</v>
      </c>
      <c r="R114" s="3">
        <v>7</v>
      </c>
      <c r="S114" s="3">
        <v>3</v>
      </c>
      <c r="AB114" s="3">
        <v>19</v>
      </c>
      <c r="AD114" s="3">
        <v>1</v>
      </c>
      <c r="AH114" s="3">
        <v>10</v>
      </c>
      <c r="AM114" s="3">
        <v>7</v>
      </c>
      <c r="AZ114" s="3">
        <v>6</v>
      </c>
      <c r="BE114" s="3">
        <v>5</v>
      </c>
      <c r="BM114" s="3">
        <v>35</v>
      </c>
      <c r="BV114" s="3">
        <v>2</v>
      </c>
      <c r="BW114" s="3">
        <v>2</v>
      </c>
      <c r="BY114" s="3">
        <v>3</v>
      </c>
      <c r="BZ114" s="3">
        <v>10</v>
      </c>
      <c r="CC114" s="3">
        <v>20</v>
      </c>
      <c r="CP114" s="3">
        <v>1</v>
      </c>
      <c r="CZ114" s="3">
        <v>15</v>
      </c>
      <c r="DB114" s="3">
        <v>3</v>
      </c>
      <c r="DF114" s="3"/>
      <c r="DG114" s="3">
        <v>5</v>
      </c>
      <c r="DJ114" s="3">
        <v>5</v>
      </c>
      <c r="DP114" s="3">
        <v>5</v>
      </c>
      <c r="DW114" s="3">
        <v>2</v>
      </c>
      <c r="ED114" s="3">
        <v>23</v>
      </c>
      <c r="EJ114" s="3">
        <v>21</v>
      </c>
      <c r="EZ114" s="3">
        <v>4</v>
      </c>
      <c r="FB114" s="3">
        <v>18</v>
      </c>
      <c r="FF114" s="3">
        <v>1</v>
      </c>
      <c r="FR114" s="3">
        <v>1</v>
      </c>
      <c r="FS114" s="3">
        <v>55</v>
      </c>
      <c r="GH114" s="3">
        <f t="shared" si="50"/>
        <v>28</v>
      </c>
      <c r="GI114" s="3">
        <f t="shared" si="51"/>
        <v>24</v>
      </c>
      <c r="GJ114" s="3">
        <f t="shared" si="52"/>
        <v>17</v>
      </c>
      <c r="GK114" s="3">
        <f t="shared" si="53"/>
        <v>289</v>
      </c>
      <c r="GL114" s="3">
        <f t="shared" si="54"/>
        <v>500</v>
      </c>
      <c r="GM114" s="3">
        <f t="shared" si="55"/>
        <v>211</v>
      </c>
    </row>
    <row r="115" spans="1:217" ht="13" x14ac:dyDescent="0.15">
      <c r="A115" s="13">
        <v>42851</v>
      </c>
      <c r="B115" s="3" t="s">
        <v>369</v>
      </c>
      <c r="C115" s="16">
        <f t="shared" si="13"/>
        <v>112</v>
      </c>
      <c r="D115" s="3">
        <v>21.888725000000001</v>
      </c>
      <c r="E115" s="3">
        <v>-159.41641200000001</v>
      </c>
      <c r="F115" s="3" t="s">
        <v>321</v>
      </c>
      <c r="G115" s="14">
        <v>0.375</v>
      </c>
      <c r="H115" s="14">
        <v>0.5625</v>
      </c>
      <c r="I115" s="3">
        <v>5</v>
      </c>
      <c r="J115" s="3">
        <v>10</v>
      </c>
      <c r="K115" s="3" t="s">
        <v>217</v>
      </c>
      <c r="L115" s="3">
        <v>5</v>
      </c>
      <c r="M115" s="3">
        <v>23</v>
      </c>
      <c r="N115" s="3" t="s">
        <v>380</v>
      </c>
      <c r="P115" s="3">
        <v>23</v>
      </c>
      <c r="AB115" s="3">
        <v>78</v>
      </c>
      <c r="AC115" s="3">
        <v>1</v>
      </c>
      <c r="AH115" s="3">
        <v>1</v>
      </c>
      <c r="AI115" s="3">
        <v>5</v>
      </c>
      <c r="BA115" s="3"/>
      <c r="BB115" s="3">
        <v>4</v>
      </c>
      <c r="BH115" s="3">
        <v>5</v>
      </c>
      <c r="BM115" s="3">
        <v>28</v>
      </c>
      <c r="BO115" s="3"/>
      <c r="BP115" s="3">
        <v>1</v>
      </c>
      <c r="BV115" s="3">
        <v>10</v>
      </c>
      <c r="BZ115" s="3">
        <v>6</v>
      </c>
      <c r="CS115" s="3">
        <v>9</v>
      </c>
      <c r="DF115" s="3"/>
      <c r="DG115" s="3">
        <v>5</v>
      </c>
      <c r="DM115" s="3">
        <v>27</v>
      </c>
      <c r="DR115" s="3"/>
      <c r="DS115" s="3">
        <v>33</v>
      </c>
      <c r="DU115" s="3"/>
      <c r="DV115" s="3">
        <v>52</v>
      </c>
      <c r="EJ115" s="3">
        <v>50</v>
      </c>
      <c r="FB115" s="3">
        <v>9</v>
      </c>
      <c r="FI115" s="3">
        <v>1</v>
      </c>
      <c r="FS115" s="3">
        <v>112</v>
      </c>
      <c r="GH115" s="3">
        <f t="shared" si="50"/>
        <v>19</v>
      </c>
      <c r="GI115" s="3">
        <f t="shared" si="51"/>
        <v>15</v>
      </c>
      <c r="GJ115" s="3">
        <f t="shared" si="52"/>
        <v>14</v>
      </c>
      <c r="GK115" s="3">
        <f t="shared" si="53"/>
        <v>437</v>
      </c>
      <c r="GL115" s="3">
        <f t="shared" si="54"/>
        <v>575</v>
      </c>
      <c r="GM115" s="3">
        <f t="shared" si="55"/>
        <v>138</v>
      </c>
    </row>
    <row r="116" spans="1:217" ht="13" x14ac:dyDescent="0.15">
      <c r="A116" s="13">
        <v>42851</v>
      </c>
      <c r="B116" s="3" t="s">
        <v>340</v>
      </c>
      <c r="C116" s="16">
        <f t="shared" ref="C116:C147" si="56">C115+1</f>
        <v>113</v>
      </c>
      <c r="D116" s="3">
        <v>19.643276</v>
      </c>
      <c r="E116" s="3">
        <v>-156.01019299999999</v>
      </c>
      <c r="F116" s="3" t="s">
        <v>381</v>
      </c>
      <c r="G116" s="14">
        <v>0.38541666666666669</v>
      </c>
      <c r="H116" s="14">
        <v>0.45833333333333331</v>
      </c>
      <c r="I116" s="3">
        <v>7</v>
      </c>
      <c r="J116" s="3">
        <v>21</v>
      </c>
      <c r="K116" s="3" t="s">
        <v>198</v>
      </c>
      <c r="L116" s="3">
        <v>11</v>
      </c>
      <c r="M116" s="3">
        <v>75</v>
      </c>
      <c r="N116" s="3" t="s">
        <v>382</v>
      </c>
      <c r="P116" s="3">
        <v>75</v>
      </c>
      <c r="T116" s="3">
        <v>1</v>
      </c>
      <c r="AG116" s="3">
        <v>1</v>
      </c>
      <c r="AM116" s="3">
        <v>12</v>
      </c>
      <c r="BM116" s="3">
        <v>25</v>
      </c>
      <c r="BR116" s="3">
        <v>1</v>
      </c>
      <c r="CC116" s="3">
        <v>16</v>
      </c>
      <c r="EJ116" s="3">
        <v>11</v>
      </c>
      <c r="EZ116" s="3">
        <v>3</v>
      </c>
      <c r="FF116" s="3">
        <v>1</v>
      </c>
      <c r="FM116" s="3">
        <v>5</v>
      </c>
      <c r="FR116" s="3">
        <v>680</v>
      </c>
      <c r="FS116" s="3">
        <v>920</v>
      </c>
      <c r="GC116" s="3">
        <v>1</v>
      </c>
      <c r="GH116" s="3">
        <f t="shared" si="50"/>
        <v>13</v>
      </c>
      <c r="GI116" s="3">
        <f t="shared" si="51"/>
        <v>8</v>
      </c>
      <c r="GJ116" s="3">
        <f t="shared" si="52"/>
        <v>7</v>
      </c>
      <c r="GK116" s="3">
        <f t="shared" si="53"/>
        <v>1677</v>
      </c>
      <c r="GL116" s="3">
        <f t="shared" si="54"/>
        <v>1875</v>
      </c>
      <c r="GM116" s="3">
        <f t="shared" si="55"/>
        <v>198</v>
      </c>
    </row>
    <row r="117" spans="1:217" ht="13" x14ac:dyDescent="0.15">
      <c r="A117" s="13">
        <v>42851</v>
      </c>
      <c r="B117" s="3" t="s">
        <v>293</v>
      </c>
      <c r="C117" s="16">
        <f t="shared" si="56"/>
        <v>114</v>
      </c>
      <c r="D117" s="3">
        <v>19.738602</v>
      </c>
      <c r="E117" s="3">
        <v>-155.03887900000001</v>
      </c>
      <c r="F117" s="3" t="s">
        <v>383</v>
      </c>
      <c r="G117" s="14">
        <v>0.39930555555555558</v>
      </c>
      <c r="H117" s="14">
        <v>0.4548611111111111</v>
      </c>
      <c r="I117" s="3">
        <v>5</v>
      </c>
      <c r="J117" s="3">
        <v>22</v>
      </c>
      <c r="K117" s="3" t="s">
        <v>198</v>
      </c>
      <c r="L117" s="3">
        <v>6</v>
      </c>
      <c r="M117" s="3">
        <v>28</v>
      </c>
      <c r="N117" s="3" t="s">
        <v>384</v>
      </c>
      <c r="P117" s="3">
        <v>28</v>
      </c>
      <c r="BK117" s="3">
        <v>12</v>
      </c>
      <c r="BM117" s="3">
        <v>222</v>
      </c>
      <c r="CC117" s="3">
        <v>5</v>
      </c>
      <c r="CO117" s="3">
        <v>2</v>
      </c>
      <c r="EJ117" s="3">
        <v>4</v>
      </c>
      <c r="EP117" s="3">
        <v>1</v>
      </c>
      <c r="FS117" s="3">
        <v>377</v>
      </c>
      <c r="FT117" s="3">
        <v>5</v>
      </c>
      <c r="GH117" s="3">
        <f t="shared" si="50"/>
        <v>8</v>
      </c>
      <c r="GI117" s="3">
        <f t="shared" si="51"/>
        <v>7</v>
      </c>
      <c r="GJ117" s="3">
        <f t="shared" si="52"/>
        <v>5</v>
      </c>
      <c r="GK117" s="3">
        <f t="shared" si="53"/>
        <v>628</v>
      </c>
      <c r="GL117" s="3">
        <f t="shared" si="54"/>
        <v>700</v>
      </c>
      <c r="GM117" s="3">
        <f t="shared" si="55"/>
        <v>72</v>
      </c>
    </row>
    <row r="118" spans="1:217" ht="13" x14ac:dyDescent="0.15">
      <c r="A118" s="13">
        <v>42851</v>
      </c>
      <c r="B118" s="3" t="s">
        <v>216</v>
      </c>
      <c r="C118" s="16">
        <f t="shared" si="56"/>
        <v>115</v>
      </c>
      <c r="D118" s="3">
        <v>21.3002</v>
      </c>
      <c r="E118" s="3">
        <v>-157.882599</v>
      </c>
      <c r="F118" s="3" t="s">
        <v>385</v>
      </c>
      <c r="G118" s="14">
        <v>0.40277777777777779</v>
      </c>
      <c r="H118" s="14">
        <v>0.44791666666666669</v>
      </c>
      <c r="I118" s="3">
        <v>7</v>
      </c>
      <c r="J118" s="3">
        <v>16</v>
      </c>
      <c r="K118" s="3" t="s">
        <v>217</v>
      </c>
      <c r="L118" s="3">
        <v>5</v>
      </c>
      <c r="M118" s="3">
        <v>28</v>
      </c>
      <c r="N118" s="3" t="s">
        <v>386</v>
      </c>
      <c r="O118" s="3" t="s">
        <v>387</v>
      </c>
      <c r="P118" s="3">
        <v>28</v>
      </c>
      <c r="AB118" s="3">
        <v>2</v>
      </c>
      <c r="AM118" s="3">
        <v>39</v>
      </c>
      <c r="BM118" s="3">
        <v>28</v>
      </c>
      <c r="BW118" s="3">
        <v>2</v>
      </c>
      <c r="CC118" s="3">
        <v>15</v>
      </c>
      <c r="CD118" s="3">
        <v>7</v>
      </c>
      <c r="DI118" s="3">
        <v>1</v>
      </c>
      <c r="DO118" s="3">
        <v>4</v>
      </c>
      <c r="DR118" s="3"/>
      <c r="DS118" s="3">
        <v>2</v>
      </c>
      <c r="EC118" s="3">
        <v>2</v>
      </c>
      <c r="EJ118" s="3">
        <v>17</v>
      </c>
      <c r="FI118" s="3">
        <v>5</v>
      </c>
      <c r="FS118" s="3">
        <v>285</v>
      </c>
      <c r="GH118" s="3">
        <f t="shared" si="50"/>
        <v>13</v>
      </c>
      <c r="GI118" s="3">
        <f t="shared" si="51"/>
        <v>12</v>
      </c>
      <c r="GJ118" s="3">
        <f t="shared" si="52"/>
        <v>7</v>
      </c>
      <c r="GK118" s="3">
        <f t="shared" si="53"/>
        <v>409</v>
      </c>
      <c r="GL118" s="3">
        <f t="shared" si="54"/>
        <v>700</v>
      </c>
      <c r="GM118" s="3">
        <f t="shared" si="55"/>
        <v>291</v>
      </c>
    </row>
    <row r="119" spans="1:217" ht="13" x14ac:dyDescent="0.15">
      <c r="A119" s="13">
        <v>42852</v>
      </c>
      <c r="B119" s="3" t="s">
        <v>293</v>
      </c>
      <c r="C119" s="16">
        <f t="shared" si="56"/>
        <v>116</v>
      </c>
      <c r="D119" s="3">
        <v>19.738602</v>
      </c>
      <c r="E119" s="3">
        <v>-155.03887900000001</v>
      </c>
      <c r="G119" s="14">
        <v>0.3611111111111111</v>
      </c>
      <c r="H119" s="14">
        <v>0.45833333333333331</v>
      </c>
      <c r="I119" s="3">
        <v>3</v>
      </c>
      <c r="J119" s="3">
        <v>10</v>
      </c>
      <c r="K119" s="3" t="s">
        <v>198</v>
      </c>
      <c r="L119" s="3">
        <v>5</v>
      </c>
      <c r="M119" s="3">
        <v>8</v>
      </c>
      <c r="N119" s="3" t="s">
        <v>388</v>
      </c>
      <c r="O119" s="3" t="s">
        <v>295</v>
      </c>
      <c r="P119" s="3">
        <v>8</v>
      </c>
      <c r="BK119" s="3">
        <v>3</v>
      </c>
      <c r="BM119" s="3">
        <v>3</v>
      </c>
      <c r="CC119" s="3">
        <v>3</v>
      </c>
      <c r="CO119" s="3">
        <v>6</v>
      </c>
      <c r="DM119" s="3">
        <v>5</v>
      </c>
      <c r="DR119" s="3">
        <v>4</v>
      </c>
      <c r="ET119" s="3"/>
      <c r="EU119" s="3"/>
      <c r="EV119" s="3">
        <v>5</v>
      </c>
      <c r="FB119" s="3">
        <v>10</v>
      </c>
      <c r="FS119" s="3">
        <v>60</v>
      </c>
      <c r="FV119" s="3"/>
      <c r="FW119" s="3">
        <v>15</v>
      </c>
      <c r="GH119" s="3">
        <f t="shared" si="50"/>
        <v>10</v>
      </c>
      <c r="GI119" s="3">
        <f t="shared" si="51"/>
        <v>10</v>
      </c>
      <c r="GJ119" s="3">
        <f t="shared" si="52"/>
        <v>6</v>
      </c>
      <c r="GK119" s="3">
        <f t="shared" si="53"/>
        <v>114</v>
      </c>
      <c r="GL119" s="3">
        <f t="shared" si="54"/>
        <v>200</v>
      </c>
      <c r="GM119" s="3">
        <f t="shared" si="55"/>
        <v>86</v>
      </c>
    </row>
    <row r="120" spans="1:217" ht="13" x14ac:dyDescent="0.15">
      <c r="A120" s="13">
        <v>42852</v>
      </c>
      <c r="B120" s="3" t="s">
        <v>201</v>
      </c>
      <c r="C120" s="16">
        <f t="shared" si="56"/>
        <v>117</v>
      </c>
      <c r="D120" s="3">
        <v>21.25544</v>
      </c>
      <c r="E120" s="3">
        <v>-157.810303</v>
      </c>
      <c r="F120" s="3" t="s">
        <v>389</v>
      </c>
      <c r="G120" s="14">
        <v>0.37847222222222221</v>
      </c>
      <c r="H120" s="14">
        <v>0.4236111111111111</v>
      </c>
      <c r="I120" s="3">
        <v>7</v>
      </c>
      <c r="J120" s="3">
        <v>12</v>
      </c>
      <c r="K120" s="3" t="s">
        <v>198</v>
      </c>
      <c r="L120" s="3">
        <v>6</v>
      </c>
      <c r="M120" s="3">
        <v>31</v>
      </c>
      <c r="N120" s="3" t="s">
        <v>390</v>
      </c>
      <c r="P120" s="3">
        <v>31</v>
      </c>
      <c r="AF120" s="3">
        <v>1</v>
      </c>
      <c r="AZ120" s="3">
        <v>15</v>
      </c>
      <c r="BV120" s="3">
        <v>5</v>
      </c>
      <c r="BZ120" s="3">
        <v>6</v>
      </c>
      <c r="DF120" s="3"/>
      <c r="DG120" s="3">
        <v>9</v>
      </c>
      <c r="DS120" s="3">
        <v>27</v>
      </c>
      <c r="EJ120" s="3">
        <v>252</v>
      </c>
      <c r="FB120" s="3">
        <v>26</v>
      </c>
      <c r="FD120" s="3"/>
      <c r="FE120" s="3">
        <v>2</v>
      </c>
      <c r="FR120" s="3">
        <v>53</v>
      </c>
      <c r="FS120" s="3">
        <v>178</v>
      </c>
      <c r="GH120" s="3">
        <f t="shared" si="50"/>
        <v>11</v>
      </c>
      <c r="GI120" s="3">
        <f t="shared" si="51"/>
        <v>10</v>
      </c>
      <c r="GJ120" s="3">
        <f t="shared" si="52"/>
        <v>9</v>
      </c>
      <c r="GK120" s="3">
        <f t="shared" si="53"/>
        <v>574</v>
      </c>
      <c r="GL120" s="3">
        <f t="shared" si="54"/>
        <v>775</v>
      </c>
      <c r="GM120" s="3">
        <f t="shared" si="55"/>
        <v>201</v>
      </c>
    </row>
    <row r="121" spans="1:217" ht="13" x14ac:dyDescent="0.15">
      <c r="A121" s="27">
        <v>42852</v>
      </c>
      <c r="B121" s="28" t="s">
        <v>201</v>
      </c>
      <c r="C121" s="16">
        <f t="shared" si="56"/>
        <v>118</v>
      </c>
      <c r="D121" s="28">
        <v>21.25544</v>
      </c>
      <c r="E121" s="28">
        <v>-157.810303</v>
      </c>
      <c r="F121" s="28" t="s">
        <v>453</v>
      </c>
      <c r="G121" s="29">
        <v>0.4236111111111111</v>
      </c>
      <c r="H121" s="29">
        <v>0.47222222222222221</v>
      </c>
      <c r="I121" s="28">
        <v>6</v>
      </c>
      <c r="J121" s="28">
        <v>15</v>
      </c>
      <c r="K121" s="28" t="s">
        <v>227</v>
      </c>
      <c r="L121" s="28">
        <v>5</v>
      </c>
      <c r="M121" s="28">
        <v>10</v>
      </c>
      <c r="N121" s="28" t="s">
        <v>454</v>
      </c>
      <c r="O121" s="28"/>
      <c r="P121" s="28"/>
      <c r="Q121" s="28"/>
      <c r="R121" s="28"/>
      <c r="S121" s="28"/>
      <c r="T121" s="28"/>
      <c r="U121" s="28"/>
      <c r="V121" s="28"/>
      <c r="W121" s="28"/>
      <c r="X121" s="28"/>
      <c r="Y121" s="28"/>
      <c r="Z121" s="28"/>
      <c r="AA121" s="28"/>
      <c r="AB121" s="28"/>
      <c r="AC121" s="28"/>
      <c r="AD121" s="28"/>
      <c r="AE121" s="28"/>
      <c r="AF121" s="28"/>
      <c r="AG121" s="28"/>
      <c r="AH121" s="28"/>
      <c r="AI121" s="28">
        <v>1</v>
      </c>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v>10</v>
      </c>
      <c r="BW121" s="28"/>
      <c r="BX121" s="28"/>
      <c r="BY121" s="28"/>
      <c r="BZ121" s="28">
        <v>5</v>
      </c>
      <c r="CA121" s="28"/>
      <c r="CB121" s="28"/>
      <c r="CC121" s="28"/>
      <c r="CD121" s="28"/>
      <c r="CE121" s="28"/>
      <c r="CF121" s="28"/>
      <c r="CG121" s="28"/>
      <c r="CH121" s="28"/>
      <c r="CI121" s="28"/>
      <c r="CJ121" s="28"/>
      <c r="CK121" s="28"/>
      <c r="CL121" s="28"/>
      <c r="CM121" s="28"/>
      <c r="CN121" s="28"/>
      <c r="CO121" s="28"/>
      <c r="CP121" s="28"/>
      <c r="CQ121" s="28"/>
      <c r="CR121" s="28"/>
      <c r="CS121" s="28"/>
      <c r="CT121" s="28"/>
      <c r="CU121" s="28"/>
      <c r="CV121" s="28"/>
      <c r="CW121" s="28"/>
      <c r="CX121" s="28"/>
      <c r="CY121" s="28"/>
      <c r="CZ121" s="28"/>
      <c r="DA121" s="28"/>
      <c r="DB121" s="28"/>
      <c r="DC121" s="28"/>
      <c r="DD121" s="28"/>
      <c r="DE121" s="28"/>
      <c r="DF121" s="28"/>
      <c r="DG121" s="28"/>
      <c r="DH121" s="28"/>
      <c r="DI121" s="28"/>
      <c r="DJ121" s="28"/>
      <c r="DK121" s="28"/>
      <c r="DL121" s="28"/>
      <c r="DM121" s="28">
        <v>1</v>
      </c>
      <c r="DN121" s="28"/>
      <c r="DO121" s="28"/>
      <c r="DP121" s="28"/>
      <c r="DQ121" s="28"/>
      <c r="DR121" s="28"/>
      <c r="DS121" s="28"/>
      <c r="DT121" s="28"/>
      <c r="DU121" s="28"/>
      <c r="DV121" s="28"/>
      <c r="DW121" s="28"/>
      <c r="DX121" s="28"/>
      <c r="DY121" s="28"/>
      <c r="DZ121" s="28"/>
      <c r="EA121" s="28"/>
      <c r="EB121" s="28"/>
      <c r="EC121" s="28"/>
      <c r="ED121" s="28"/>
      <c r="EE121" s="28"/>
      <c r="EF121" s="28"/>
      <c r="EG121" s="28"/>
      <c r="EH121" s="28"/>
      <c r="EI121" s="28"/>
      <c r="EJ121" s="28">
        <v>108</v>
      </c>
      <c r="EK121" s="28"/>
      <c r="EL121" s="28"/>
      <c r="EM121" s="28"/>
      <c r="EN121" s="28"/>
      <c r="EO121" s="28"/>
      <c r="EP121" s="28"/>
      <c r="EQ121" s="28"/>
      <c r="ER121" s="28"/>
      <c r="ES121" s="28"/>
      <c r="ET121" s="28"/>
      <c r="EU121" s="28"/>
      <c r="EV121" s="28"/>
      <c r="EW121" s="28"/>
      <c r="EX121" s="28"/>
      <c r="EY121" s="28"/>
      <c r="EZ121" s="28"/>
      <c r="FA121" s="28"/>
      <c r="FB121" s="28"/>
      <c r="FC121" s="28"/>
      <c r="FD121" s="28"/>
      <c r="FE121" s="28"/>
      <c r="FF121" s="28"/>
      <c r="FG121" s="28"/>
      <c r="FH121" s="28"/>
      <c r="FI121" s="28"/>
      <c r="FJ121" s="28"/>
      <c r="FK121" s="28"/>
      <c r="FL121" s="28"/>
      <c r="FM121" s="28"/>
      <c r="FN121" s="28"/>
      <c r="FO121" s="28"/>
      <c r="FP121" s="28"/>
      <c r="FQ121" s="28"/>
      <c r="FR121" s="28">
        <v>2</v>
      </c>
      <c r="FS121" s="28">
        <v>51</v>
      </c>
      <c r="FT121" s="28"/>
      <c r="FU121" s="28"/>
      <c r="FV121" s="28"/>
      <c r="FW121" s="28"/>
      <c r="FX121" s="28"/>
      <c r="FY121" s="28"/>
      <c r="FZ121" s="28"/>
      <c r="GA121" s="28"/>
      <c r="GB121" s="28"/>
      <c r="GC121" s="28"/>
      <c r="GD121" s="28"/>
      <c r="GE121" s="28"/>
      <c r="GF121" s="28"/>
      <c r="GG121" s="28"/>
      <c r="GH121" s="28"/>
      <c r="GI121" s="28"/>
      <c r="GJ121" s="28"/>
      <c r="GK121" s="28"/>
      <c r="GL121" s="28"/>
      <c r="GM121" s="28"/>
      <c r="GN121" s="28"/>
      <c r="GO121" s="28"/>
      <c r="GP121" s="28"/>
      <c r="GQ121" s="28"/>
      <c r="GR121" s="28"/>
      <c r="GS121" s="28"/>
      <c r="GT121" s="28"/>
      <c r="GU121" s="28"/>
      <c r="GV121" s="28"/>
      <c r="GW121" s="28"/>
      <c r="GX121" s="28"/>
      <c r="GY121" s="28"/>
      <c r="GZ121" s="28"/>
      <c r="HA121" s="28"/>
      <c r="HB121" s="28"/>
      <c r="HC121" s="28"/>
      <c r="HD121" s="28"/>
      <c r="HE121" s="28"/>
      <c r="HF121" s="28"/>
      <c r="HG121" s="28"/>
      <c r="HH121" s="28"/>
      <c r="HI121" s="28"/>
    </row>
    <row r="122" spans="1:217" ht="13" x14ac:dyDescent="0.15">
      <c r="A122" s="13">
        <v>42853</v>
      </c>
      <c r="B122" s="3" t="s">
        <v>374</v>
      </c>
      <c r="C122" s="16">
        <f t="shared" si="56"/>
        <v>119</v>
      </c>
      <c r="D122" s="3">
        <v>20.738001000000001</v>
      </c>
      <c r="E122" s="3">
        <v>-156.895004</v>
      </c>
      <c r="F122" s="3" t="s">
        <v>391</v>
      </c>
      <c r="G122" s="14">
        <v>0.47083333333333333</v>
      </c>
      <c r="H122" s="14">
        <v>0.49861111111111112</v>
      </c>
      <c r="I122" s="3">
        <v>2</v>
      </c>
      <c r="J122" s="3">
        <v>25</v>
      </c>
      <c r="K122" s="3" t="s">
        <v>198</v>
      </c>
      <c r="L122" s="3">
        <v>13</v>
      </c>
      <c r="M122" s="3">
        <v>11</v>
      </c>
      <c r="N122" s="3" t="s">
        <v>392</v>
      </c>
      <c r="P122" s="3">
        <v>11</v>
      </c>
      <c r="BM122" s="3">
        <v>60</v>
      </c>
      <c r="CG122" s="3"/>
      <c r="CH122" s="3">
        <v>7</v>
      </c>
      <c r="CU122" s="3">
        <v>1</v>
      </c>
      <c r="EJ122" s="3">
        <v>8</v>
      </c>
      <c r="FM122" s="3">
        <v>2</v>
      </c>
      <c r="FS122" s="3">
        <v>73</v>
      </c>
      <c r="FU122" s="3">
        <v>16</v>
      </c>
      <c r="GH122" s="3">
        <f>COUNT(R122:GG122)</f>
        <v>7</v>
      </c>
      <c r="GI122" s="3">
        <f>COUNTIF(R122:GG122,"&gt;=2")</f>
        <v>6</v>
      </c>
      <c r="GJ122" s="3">
        <f>COUNTIF(R122:GG122,"&gt;=5")</f>
        <v>5</v>
      </c>
      <c r="GK122" s="3">
        <f>SUM(R122:GG122)</f>
        <v>167</v>
      </c>
      <c r="GL122" s="3">
        <f>25*P122</f>
        <v>275</v>
      </c>
      <c r="GM122" s="3">
        <f>GL122-GK122</f>
        <v>108</v>
      </c>
    </row>
    <row r="123" spans="1:217" ht="13" x14ac:dyDescent="0.15">
      <c r="A123" s="27">
        <v>42853</v>
      </c>
      <c r="B123" s="28" t="s">
        <v>266</v>
      </c>
      <c r="C123" s="16">
        <f t="shared" si="56"/>
        <v>120</v>
      </c>
      <c r="D123" s="28">
        <v>22.060683999999998</v>
      </c>
      <c r="E123" s="28">
        <v>-159.318512</v>
      </c>
      <c r="F123" s="28" t="s">
        <v>367</v>
      </c>
      <c r="G123" s="29">
        <v>0.44791666666666669</v>
      </c>
      <c r="H123" s="29">
        <v>0.50486111111111109</v>
      </c>
      <c r="I123" s="28">
        <v>4</v>
      </c>
      <c r="J123" s="28">
        <v>20</v>
      </c>
      <c r="K123" s="28" t="s">
        <v>198</v>
      </c>
      <c r="L123" s="28">
        <v>10</v>
      </c>
      <c r="M123" s="28">
        <v>31</v>
      </c>
      <c r="N123" s="28" t="s">
        <v>455</v>
      </c>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v>5</v>
      </c>
      <c r="BO123" s="28"/>
      <c r="BP123" s="28"/>
      <c r="BQ123" s="28"/>
      <c r="BR123" s="28"/>
      <c r="BS123" s="28"/>
      <c r="BT123" s="28"/>
      <c r="BU123" s="28"/>
      <c r="BV123" s="28">
        <v>6</v>
      </c>
      <c r="BW123" s="28"/>
      <c r="BX123" s="28"/>
      <c r="BY123" s="28"/>
      <c r="BZ123" s="28"/>
      <c r="CA123" s="28"/>
      <c r="CB123" s="28"/>
      <c r="CC123" s="28"/>
      <c r="CD123" s="28"/>
      <c r="CE123" s="28"/>
      <c r="CF123" s="28"/>
      <c r="CG123" s="28"/>
      <c r="CH123" s="28"/>
      <c r="CI123" s="28"/>
      <c r="CJ123" s="28"/>
      <c r="CK123" s="28"/>
      <c r="CL123" s="28"/>
      <c r="CM123" s="28"/>
      <c r="CN123" s="28"/>
      <c r="CO123" s="28"/>
      <c r="CP123" s="28"/>
      <c r="CQ123" s="28"/>
      <c r="CR123" s="28"/>
      <c r="CS123" s="28"/>
      <c r="CT123" s="28"/>
      <c r="CU123" s="28"/>
      <c r="CV123" s="28">
        <v>1</v>
      </c>
      <c r="CW123" s="28"/>
      <c r="CX123" s="28"/>
      <c r="CY123" s="28"/>
      <c r="CZ123" s="28"/>
      <c r="DA123" s="28"/>
      <c r="DB123" s="28"/>
      <c r="DC123" s="28"/>
      <c r="DD123" s="28"/>
      <c r="DE123" s="28"/>
      <c r="DF123" s="28"/>
      <c r="DG123" s="28"/>
      <c r="DH123" s="28"/>
      <c r="DI123" s="28"/>
      <c r="DJ123" s="28"/>
      <c r="DK123" s="28"/>
      <c r="DL123" s="28"/>
      <c r="DM123" s="28">
        <v>4</v>
      </c>
      <c r="DN123" s="28"/>
      <c r="DO123" s="28"/>
      <c r="DP123" s="28"/>
      <c r="DQ123" s="28"/>
      <c r="DR123" s="28"/>
      <c r="DS123" s="28"/>
      <c r="DT123" s="28"/>
      <c r="DU123" s="28"/>
      <c r="DV123" s="28">
        <v>10</v>
      </c>
      <c r="DW123" s="28"/>
      <c r="DX123" s="28"/>
      <c r="DY123" s="28"/>
      <c r="DZ123" s="28"/>
      <c r="EA123" s="28"/>
      <c r="EB123" s="28"/>
      <c r="EC123" s="28"/>
      <c r="ED123" s="28"/>
      <c r="EE123" s="28"/>
      <c r="EF123" s="28"/>
      <c r="EG123" s="28"/>
      <c r="EH123" s="28"/>
      <c r="EI123" s="28"/>
      <c r="EJ123" s="28">
        <v>91</v>
      </c>
      <c r="EK123" s="28"/>
      <c r="EL123" s="28"/>
      <c r="EM123" s="28"/>
      <c r="EN123" s="28"/>
      <c r="EO123" s="28"/>
      <c r="EP123" s="28"/>
      <c r="EQ123" s="28"/>
      <c r="ER123" s="28"/>
      <c r="ES123" s="28"/>
      <c r="ET123" s="28"/>
      <c r="EU123" s="28"/>
      <c r="EV123" s="28"/>
      <c r="EW123" s="28"/>
      <c r="EX123" s="28"/>
      <c r="EY123" s="28"/>
      <c r="EZ123" s="28"/>
      <c r="FA123" s="28"/>
      <c r="FB123" s="28">
        <v>1</v>
      </c>
      <c r="FC123" s="28"/>
      <c r="FD123" s="28"/>
      <c r="FE123" s="28"/>
      <c r="FF123" s="28"/>
      <c r="FG123" s="28"/>
      <c r="FH123" s="28"/>
      <c r="FI123" s="28"/>
      <c r="FJ123" s="28"/>
      <c r="FK123" s="28"/>
      <c r="FL123" s="28"/>
      <c r="FM123" s="28"/>
      <c r="FN123" s="28"/>
      <c r="FO123" s="28"/>
      <c r="FP123" s="28"/>
      <c r="FQ123" s="28"/>
      <c r="FR123" s="28"/>
      <c r="FS123" s="28">
        <v>431</v>
      </c>
      <c r="FT123" s="28"/>
      <c r="FU123" s="28"/>
      <c r="FV123" s="28"/>
      <c r="FW123" s="28"/>
      <c r="FX123" s="28"/>
      <c r="FY123" s="28"/>
      <c r="FZ123" s="28"/>
      <c r="GA123" s="28"/>
      <c r="GB123" s="28"/>
      <c r="GC123" s="28"/>
      <c r="GD123" s="28"/>
      <c r="GE123" s="28"/>
      <c r="GF123" s="28"/>
      <c r="GG123" s="28"/>
      <c r="GH123" s="28"/>
      <c r="GI123" s="28"/>
      <c r="GJ123" s="28"/>
      <c r="GK123" s="28"/>
      <c r="GL123" s="28"/>
      <c r="GM123" s="28"/>
      <c r="GN123" s="28"/>
      <c r="GO123" s="28"/>
      <c r="GP123" s="28"/>
      <c r="GQ123" s="28"/>
      <c r="GR123" s="28"/>
      <c r="GS123" s="28"/>
      <c r="GT123" s="28"/>
      <c r="GU123" s="28"/>
      <c r="GV123" s="28"/>
      <c r="GW123" s="28"/>
      <c r="GX123" s="28"/>
      <c r="GY123" s="28"/>
      <c r="GZ123" s="28"/>
      <c r="HA123" s="28"/>
      <c r="HB123" s="28"/>
      <c r="HC123" s="28"/>
      <c r="HD123" s="28"/>
      <c r="HE123" s="28"/>
      <c r="HF123" s="28"/>
      <c r="HG123" s="28"/>
      <c r="HH123" s="28"/>
      <c r="HI123" s="28"/>
    </row>
    <row r="124" spans="1:217" ht="13" x14ac:dyDescent="0.15">
      <c r="A124" s="27">
        <v>42853</v>
      </c>
      <c r="B124" s="28" t="s">
        <v>293</v>
      </c>
      <c r="C124" s="16">
        <f t="shared" si="56"/>
        <v>121</v>
      </c>
      <c r="D124" s="28">
        <v>19.738602</v>
      </c>
      <c r="E124" s="28">
        <v>-155.03887900000001</v>
      </c>
      <c r="F124" s="28" t="s">
        <v>459</v>
      </c>
      <c r="G124" s="29">
        <v>0.3888888888888889</v>
      </c>
      <c r="H124" s="29">
        <v>0.44791666666666669</v>
      </c>
      <c r="I124" s="28">
        <v>4</v>
      </c>
      <c r="J124" s="28">
        <v>8</v>
      </c>
      <c r="K124" s="28" t="s">
        <v>460</v>
      </c>
      <c r="L124" s="28">
        <v>8</v>
      </c>
      <c r="M124" s="28">
        <v>29</v>
      </c>
      <c r="N124" s="28" t="s">
        <v>461</v>
      </c>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v>3</v>
      </c>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v>39</v>
      </c>
      <c r="BL124" s="28"/>
      <c r="BM124" s="28">
        <v>26</v>
      </c>
      <c r="BN124" s="28"/>
      <c r="BO124" s="28"/>
      <c r="BP124" s="28"/>
      <c r="BQ124" s="28"/>
      <c r="BR124" s="28"/>
      <c r="BS124" s="28"/>
      <c r="BT124" s="28"/>
      <c r="BU124" s="28"/>
      <c r="BV124" s="28"/>
      <c r="BW124" s="28"/>
      <c r="BX124" s="28"/>
      <c r="BY124" s="28"/>
      <c r="BZ124" s="28"/>
      <c r="CA124" s="28"/>
      <c r="CB124" s="28"/>
      <c r="CC124" s="28">
        <v>23</v>
      </c>
      <c r="CD124" s="28">
        <v>12</v>
      </c>
      <c r="CE124" s="28"/>
      <c r="CF124" s="28"/>
      <c r="CG124" s="28"/>
      <c r="CH124" s="28"/>
      <c r="CI124" s="28"/>
      <c r="CJ124" s="28"/>
      <c r="CK124" s="28"/>
      <c r="CL124" s="28"/>
      <c r="CM124" s="28"/>
      <c r="CN124" s="28"/>
      <c r="CO124" s="28">
        <v>66</v>
      </c>
      <c r="CP124" s="28"/>
      <c r="CQ124" s="28"/>
      <c r="CR124" s="28"/>
      <c r="CS124" s="28"/>
      <c r="CT124" s="28"/>
      <c r="CU124" s="28"/>
      <c r="CV124" s="28"/>
      <c r="CW124" s="28"/>
      <c r="CX124" s="28"/>
      <c r="CY124" s="28"/>
      <c r="CZ124" s="28"/>
      <c r="DA124" s="28"/>
      <c r="DB124" s="28"/>
      <c r="DC124" s="28"/>
      <c r="DD124" s="28"/>
      <c r="DE124" s="28"/>
      <c r="DF124" s="28"/>
      <c r="DG124" s="28"/>
      <c r="DH124" s="28">
        <v>1</v>
      </c>
      <c r="DI124" s="28"/>
      <c r="DJ124" s="28"/>
      <c r="DK124" s="28"/>
      <c r="DL124" s="28"/>
      <c r="DM124" s="28"/>
      <c r="DN124" s="28"/>
      <c r="DO124" s="28"/>
      <c r="DP124" s="28"/>
      <c r="DQ124" s="28"/>
      <c r="DR124" s="28"/>
      <c r="DS124" s="28"/>
      <c r="DT124" s="28"/>
      <c r="DU124" s="28"/>
      <c r="DV124" s="28"/>
      <c r="DW124" s="28"/>
      <c r="DX124" s="28"/>
      <c r="DY124" s="28"/>
      <c r="DZ124" s="28"/>
      <c r="EA124" s="28"/>
      <c r="EB124" s="28"/>
      <c r="EC124" s="28"/>
      <c r="ED124" s="28"/>
      <c r="EE124" s="28"/>
      <c r="EF124" s="28"/>
      <c r="EG124" s="28"/>
      <c r="EH124" s="28"/>
      <c r="EI124" s="28"/>
      <c r="EJ124" s="28"/>
      <c r="EK124" s="28"/>
      <c r="EL124" s="28"/>
      <c r="EM124" s="28"/>
      <c r="EN124" s="28"/>
      <c r="EO124" s="28"/>
      <c r="EP124" s="28"/>
      <c r="EQ124" s="28"/>
      <c r="ER124" s="28"/>
      <c r="ES124" s="28"/>
      <c r="ET124" s="28"/>
      <c r="EU124" s="28"/>
      <c r="EV124" s="28"/>
      <c r="EW124" s="28"/>
      <c r="EX124" s="28"/>
      <c r="EY124" s="28"/>
      <c r="EZ124" s="28"/>
      <c r="FA124" s="28"/>
      <c r="FB124" s="28"/>
      <c r="FC124" s="28"/>
      <c r="FD124" s="28"/>
      <c r="FE124" s="28"/>
      <c r="FF124" s="28"/>
      <c r="FG124" s="28"/>
      <c r="FH124" s="28"/>
      <c r="FI124" s="28"/>
      <c r="FJ124" s="28"/>
      <c r="FK124" s="28"/>
      <c r="FL124" s="28"/>
      <c r="FM124" s="28">
        <v>35</v>
      </c>
      <c r="FN124" s="28"/>
      <c r="FO124" s="28"/>
      <c r="FP124" s="28"/>
      <c r="FQ124" s="28"/>
      <c r="FR124" s="28"/>
      <c r="FS124" s="28">
        <v>419</v>
      </c>
      <c r="FT124" s="28"/>
      <c r="FU124" s="28"/>
      <c r="FV124" s="28"/>
      <c r="FW124" s="28"/>
      <c r="FX124" s="28"/>
      <c r="FY124" s="28"/>
      <c r="FZ124" s="28"/>
      <c r="GA124" s="28"/>
      <c r="GB124" s="28"/>
      <c r="GC124" s="28"/>
      <c r="GD124" s="28"/>
      <c r="GE124" s="28"/>
      <c r="GF124" s="28"/>
      <c r="GG124" s="28"/>
      <c r="GH124" s="28"/>
      <c r="GI124" s="28"/>
      <c r="GJ124" s="28"/>
      <c r="GK124" s="28"/>
      <c r="GL124" s="28"/>
      <c r="GM124" s="28"/>
      <c r="GN124" s="28"/>
      <c r="GO124" s="28"/>
      <c r="GP124" s="28"/>
      <c r="GQ124" s="28"/>
      <c r="GR124" s="28"/>
      <c r="GS124" s="28"/>
      <c r="GT124" s="28"/>
      <c r="GU124" s="28"/>
      <c r="GV124" s="28"/>
      <c r="GW124" s="28"/>
      <c r="GX124" s="28"/>
      <c r="GY124" s="28"/>
      <c r="GZ124" s="28"/>
      <c r="HA124" s="28"/>
      <c r="HB124" s="28"/>
      <c r="HC124" s="28"/>
      <c r="HD124" s="28"/>
      <c r="HE124" s="28"/>
      <c r="HF124" s="28"/>
      <c r="HG124" s="28"/>
      <c r="HH124" s="28"/>
      <c r="HI124" s="28"/>
    </row>
    <row r="125" spans="1:217" ht="13" x14ac:dyDescent="0.15">
      <c r="A125" s="13">
        <v>42860</v>
      </c>
      <c r="B125" s="3" t="s">
        <v>244</v>
      </c>
      <c r="C125" s="16">
        <f t="shared" si="56"/>
        <v>122</v>
      </c>
      <c r="D125" s="3">
        <v>21.310611999999999</v>
      </c>
      <c r="E125" s="3">
        <v>-158.00441000000001</v>
      </c>
      <c r="F125" s="3" t="s">
        <v>278</v>
      </c>
      <c r="G125" s="14">
        <v>0.38541666666666669</v>
      </c>
      <c r="H125" s="14">
        <v>0.45833333333333331</v>
      </c>
      <c r="I125" s="3">
        <v>6</v>
      </c>
      <c r="J125" s="3">
        <v>12</v>
      </c>
      <c r="K125" s="3" t="s">
        <v>198</v>
      </c>
      <c r="L125" s="3">
        <v>5</v>
      </c>
      <c r="M125" s="3">
        <v>25</v>
      </c>
      <c r="N125" s="3" t="s">
        <v>393</v>
      </c>
      <c r="P125" s="3">
        <v>25</v>
      </c>
      <c r="R125" s="3">
        <v>2</v>
      </c>
      <c r="AB125" s="3">
        <v>2</v>
      </c>
      <c r="AC125" s="3">
        <v>4</v>
      </c>
      <c r="AE125" s="3">
        <v>4</v>
      </c>
      <c r="AI125" s="3">
        <v>1</v>
      </c>
      <c r="BA125" s="3"/>
      <c r="BB125" s="3">
        <v>1</v>
      </c>
      <c r="BE125" s="3">
        <v>1</v>
      </c>
      <c r="BF125" s="3">
        <v>1</v>
      </c>
      <c r="BM125" s="3">
        <v>30</v>
      </c>
      <c r="BS125" s="3">
        <v>3</v>
      </c>
      <c r="BV125" s="3">
        <v>2</v>
      </c>
      <c r="BZ125" s="3">
        <v>54</v>
      </c>
      <c r="CS125" s="3">
        <v>5</v>
      </c>
      <c r="DF125" s="3"/>
      <c r="DG125" s="3">
        <v>3</v>
      </c>
      <c r="DM125" s="3">
        <v>27</v>
      </c>
      <c r="DO125" s="3">
        <v>5</v>
      </c>
      <c r="DU125" s="3"/>
      <c r="DV125" s="3">
        <v>1</v>
      </c>
      <c r="EJ125" s="3">
        <v>305</v>
      </c>
      <c r="FI125" s="3">
        <v>24</v>
      </c>
      <c r="FN125" s="3">
        <v>1</v>
      </c>
      <c r="FS125" s="3">
        <v>40</v>
      </c>
      <c r="GH125" s="3">
        <f t="shared" ref="GH125:GH127" si="57">COUNT(R125:GG125)</f>
        <v>21</v>
      </c>
      <c r="GI125" s="3">
        <f t="shared" ref="GI125:GI127" si="58">COUNTIF(R125:GG125,"&gt;=2")</f>
        <v>15</v>
      </c>
      <c r="GJ125" s="3">
        <f t="shared" ref="GJ125:GJ127" si="59">COUNTIF(R125:GG125,"&gt;=5")</f>
        <v>8</v>
      </c>
      <c r="GK125" s="3">
        <f t="shared" ref="GK125:GK127" si="60">SUM(R125:GG125)</f>
        <v>516</v>
      </c>
      <c r="GL125" s="3">
        <f t="shared" ref="GL125:GL127" si="61">25*P125</f>
        <v>625</v>
      </c>
      <c r="GM125" s="3">
        <f t="shared" ref="GM125:GM127" si="62">GL125-GK125</f>
        <v>109</v>
      </c>
    </row>
    <row r="126" spans="1:217" ht="13" x14ac:dyDescent="0.15">
      <c r="A126" s="13">
        <v>42860</v>
      </c>
      <c r="B126" s="3" t="s">
        <v>394</v>
      </c>
      <c r="C126" s="16">
        <f t="shared" si="56"/>
        <v>123</v>
      </c>
      <c r="D126" s="3">
        <v>19.637501</v>
      </c>
      <c r="E126" s="3">
        <v>-155.99389600000001</v>
      </c>
      <c r="F126" s="3" t="s">
        <v>367</v>
      </c>
      <c r="G126" s="14">
        <v>0.51041666666666663</v>
      </c>
      <c r="H126" s="14">
        <v>0.51041666666666663</v>
      </c>
      <c r="I126" s="3">
        <v>5</v>
      </c>
      <c r="J126" s="3">
        <v>25</v>
      </c>
      <c r="K126" s="3" t="s">
        <v>198</v>
      </c>
      <c r="L126" s="3">
        <v>10</v>
      </c>
      <c r="M126" s="3">
        <v>44</v>
      </c>
      <c r="N126" s="3" t="s">
        <v>547</v>
      </c>
      <c r="O126" s="3"/>
      <c r="P126" s="3">
        <v>44</v>
      </c>
      <c r="S126" s="3">
        <v>6</v>
      </c>
      <c r="AM126" s="3">
        <v>61</v>
      </c>
      <c r="AX126" s="3">
        <v>51</v>
      </c>
      <c r="BA126" s="3"/>
      <c r="BB126" s="3">
        <v>3</v>
      </c>
      <c r="BM126" s="3">
        <v>11</v>
      </c>
      <c r="BR126" s="3">
        <v>12</v>
      </c>
      <c r="CC126" s="3">
        <v>24</v>
      </c>
      <c r="CD126" s="3">
        <v>7</v>
      </c>
      <c r="CS126" s="3">
        <v>6</v>
      </c>
      <c r="EJ126" s="3">
        <v>10</v>
      </c>
      <c r="EX126" s="3">
        <v>5</v>
      </c>
      <c r="EZ126" s="3">
        <v>5</v>
      </c>
      <c r="FB126" s="3">
        <v>35</v>
      </c>
      <c r="FS126" s="3">
        <v>495</v>
      </c>
      <c r="FV126" s="3"/>
      <c r="FW126" s="3">
        <v>55</v>
      </c>
      <c r="GA126" s="3">
        <v>1</v>
      </c>
      <c r="GD126" s="3">
        <v>4</v>
      </c>
      <c r="GH126" s="3">
        <f t="shared" si="57"/>
        <v>17</v>
      </c>
      <c r="GI126" s="3">
        <f t="shared" si="58"/>
        <v>16</v>
      </c>
      <c r="GJ126" s="3">
        <f t="shared" si="59"/>
        <v>14</v>
      </c>
      <c r="GK126" s="3">
        <f t="shared" si="60"/>
        <v>791</v>
      </c>
      <c r="GL126" s="3">
        <f t="shared" si="61"/>
        <v>1100</v>
      </c>
      <c r="GM126" s="3">
        <f t="shared" si="62"/>
        <v>309</v>
      </c>
    </row>
    <row r="127" spans="1:217" ht="13" x14ac:dyDescent="0.15">
      <c r="A127" s="13">
        <v>42865</v>
      </c>
      <c r="B127" s="3" t="s">
        <v>230</v>
      </c>
      <c r="C127" s="16">
        <f t="shared" si="56"/>
        <v>124</v>
      </c>
      <c r="D127" s="3">
        <v>20.753699999999998</v>
      </c>
      <c r="E127" s="3">
        <v>-156.46090699999999</v>
      </c>
      <c r="F127" s="3" t="s">
        <v>397</v>
      </c>
      <c r="G127" s="14">
        <v>0.39583333333333331</v>
      </c>
      <c r="H127" s="14">
        <v>0.46527777777777779</v>
      </c>
      <c r="I127" s="3">
        <v>4</v>
      </c>
      <c r="J127" s="3">
        <v>15</v>
      </c>
      <c r="K127" s="3" t="s">
        <v>398</v>
      </c>
      <c r="L127" s="3">
        <v>7</v>
      </c>
      <c r="M127" s="3">
        <v>24</v>
      </c>
      <c r="N127" s="3" t="s">
        <v>399</v>
      </c>
      <c r="P127" s="3">
        <v>24</v>
      </c>
      <c r="R127" s="3">
        <v>170</v>
      </c>
      <c r="BM127" s="3">
        <v>148</v>
      </c>
      <c r="CU127" s="3">
        <v>1</v>
      </c>
      <c r="DF127" s="3">
        <v>3</v>
      </c>
      <c r="DG127" s="3">
        <v>4</v>
      </c>
      <c r="DO127" s="3">
        <v>1</v>
      </c>
      <c r="ET127" s="3"/>
      <c r="EU127" s="3"/>
      <c r="EV127" s="3">
        <v>4</v>
      </c>
      <c r="FS127" s="3">
        <v>17</v>
      </c>
      <c r="FV127" s="3"/>
      <c r="FW127" s="3">
        <v>1</v>
      </c>
      <c r="GH127" s="3">
        <f t="shared" si="57"/>
        <v>9</v>
      </c>
      <c r="GI127" s="3">
        <f t="shared" si="58"/>
        <v>6</v>
      </c>
      <c r="GJ127" s="3">
        <f t="shared" si="59"/>
        <v>3</v>
      </c>
      <c r="GK127" s="3">
        <f t="shared" si="60"/>
        <v>349</v>
      </c>
      <c r="GL127" s="3">
        <f t="shared" si="61"/>
        <v>600</v>
      </c>
      <c r="GM127" s="3">
        <f t="shared" si="62"/>
        <v>251</v>
      </c>
    </row>
    <row r="128" spans="1:217" ht="13" x14ac:dyDescent="0.15">
      <c r="A128" s="19">
        <v>42865</v>
      </c>
      <c r="B128" s="20" t="s">
        <v>467</v>
      </c>
      <c r="C128" s="16">
        <f t="shared" si="56"/>
        <v>125</v>
      </c>
      <c r="D128" s="20">
        <v>20.726389000000001</v>
      </c>
      <c r="E128" s="20">
        <v>-155.984161</v>
      </c>
      <c r="F128" s="20" t="s">
        <v>468</v>
      </c>
      <c r="G128" s="21">
        <v>0.36319444444444443</v>
      </c>
      <c r="H128" s="21">
        <v>0.37083333333333335</v>
      </c>
      <c r="I128" s="20">
        <v>3</v>
      </c>
      <c r="J128" s="20">
        <v>29</v>
      </c>
      <c r="K128" s="20" t="s">
        <v>198</v>
      </c>
      <c r="L128" s="20">
        <v>10</v>
      </c>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c r="DA128" s="20"/>
      <c r="DB128" s="20"/>
      <c r="DC128" s="20"/>
      <c r="DD128" s="20"/>
      <c r="DE128" s="20"/>
      <c r="DF128" s="20"/>
      <c r="DG128" s="20"/>
      <c r="DH128" s="20"/>
      <c r="DI128" s="20"/>
      <c r="DJ128" s="20"/>
      <c r="DK128" s="20"/>
      <c r="DL128" s="20"/>
      <c r="DM128" s="20"/>
      <c r="DN128" s="20"/>
      <c r="DO128" s="20"/>
      <c r="DP128" s="20"/>
      <c r="DQ128" s="20"/>
      <c r="DR128" s="20"/>
      <c r="DS128" s="20"/>
      <c r="DT128" s="20"/>
      <c r="DU128" s="20"/>
      <c r="DV128" s="20"/>
      <c r="DW128" s="20"/>
      <c r="DX128" s="20"/>
      <c r="DY128" s="20"/>
      <c r="DZ128" s="20"/>
      <c r="EA128" s="20"/>
      <c r="EB128" s="20"/>
      <c r="EC128" s="20"/>
      <c r="ED128" s="20"/>
      <c r="EE128" s="20"/>
      <c r="EF128" s="20"/>
      <c r="EG128" s="20"/>
      <c r="EH128" s="20"/>
      <c r="EI128" s="20"/>
      <c r="EJ128" s="20"/>
      <c r="EK128" s="20"/>
      <c r="EL128" s="20"/>
      <c r="EM128" s="20"/>
      <c r="EN128" s="20"/>
      <c r="EO128" s="20"/>
      <c r="EP128" s="20"/>
      <c r="EQ128" s="20"/>
      <c r="ER128" s="20"/>
      <c r="ES128" s="20"/>
      <c r="ET128" s="20"/>
      <c r="EU128" s="20"/>
      <c r="EV128" s="20"/>
      <c r="EW128" s="20"/>
      <c r="EX128" s="20"/>
      <c r="EY128" s="20"/>
      <c r="EZ128" s="20"/>
      <c r="FA128" s="20"/>
      <c r="FB128" s="20"/>
      <c r="FC128" s="20"/>
      <c r="FD128" s="20"/>
      <c r="FE128" s="20"/>
      <c r="FF128" s="20"/>
      <c r="FG128" s="20"/>
      <c r="FH128" s="20"/>
      <c r="FI128" s="20"/>
      <c r="FJ128" s="20"/>
      <c r="FK128" s="20"/>
      <c r="FL128" s="20"/>
      <c r="FM128" s="20"/>
      <c r="FN128" s="20"/>
      <c r="FO128" s="20"/>
      <c r="FP128" s="20"/>
      <c r="FQ128" s="20"/>
      <c r="FR128" s="20"/>
      <c r="FS128" s="20"/>
      <c r="FT128" s="20"/>
      <c r="FU128" s="20"/>
      <c r="FV128" s="20"/>
      <c r="FW128" s="20"/>
      <c r="FX128" s="20"/>
      <c r="FY128" s="20"/>
      <c r="FZ128" s="20"/>
      <c r="GA128" s="20"/>
      <c r="GB128" s="20"/>
      <c r="GC128" s="20"/>
      <c r="GD128" s="20"/>
      <c r="GE128" s="20"/>
      <c r="GF128" s="20"/>
      <c r="GG128" s="20"/>
      <c r="GH128" s="20"/>
      <c r="GI128" s="20"/>
      <c r="GJ128" s="20"/>
      <c r="GK128" s="20"/>
      <c r="GL128" s="20"/>
      <c r="GM128" s="20"/>
      <c r="GN128" s="20"/>
      <c r="GO128" s="20"/>
      <c r="GP128" s="20"/>
      <c r="GQ128" s="20"/>
      <c r="GR128" s="20"/>
      <c r="GS128" s="20"/>
      <c r="GT128" s="20"/>
      <c r="GU128" s="20"/>
      <c r="GV128" s="20"/>
      <c r="GW128" s="20"/>
      <c r="GX128" s="20"/>
      <c r="GY128" s="20"/>
      <c r="GZ128" s="20"/>
      <c r="HA128" s="20"/>
      <c r="HB128" s="20"/>
      <c r="HC128" s="20"/>
      <c r="HD128" s="20"/>
      <c r="HE128" s="20"/>
      <c r="HF128" s="20"/>
      <c r="HG128" s="20"/>
      <c r="HH128" s="20"/>
      <c r="HI128" s="20"/>
    </row>
    <row r="129" spans="1:217" ht="13" x14ac:dyDescent="0.15">
      <c r="A129" s="13">
        <v>42866</v>
      </c>
      <c r="B129" s="3" t="s">
        <v>400</v>
      </c>
      <c r="C129" s="16">
        <f t="shared" si="56"/>
        <v>126</v>
      </c>
      <c r="D129" s="3">
        <v>21.900562000000001</v>
      </c>
      <c r="E129" s="3">
        <v>-159.60981799999999</v>
      </c>
      <c r="F129" s="3" t="s">
        <v>401</v>
      </c>
      <c r="G129" s="14">
        <v>0.36805555555555558</v>
      </c>
      <c r="H129" s="14">
        <v>0.41319444444444442</v>
      </c>
      <c r="I129" s="3">
        <v>6</v>
      </c>
      <c r="J129" s="3">
        <v>15</v>
      </c>
      <c r="K129" s="3" t="s">
        <v>198</v>
      </c>
      <c r="L129" s="3">
        <v>5</v>
      </c>
      <c r="M129" s="3">
        <v>25</v>
      </c>
      <c r="N129" s="3" t="s">
        <v>402</v>
      </c>
      <c r="P129" s="3">
        <v>25</v>
      </c>
      <c r="AB129" s="3">
        <v>2</v>
      </c>
      <c r="AC129" s="3">
        <v>1</v>
      </c>
      <c r="BM129" s="3">
        <v>1</v>
      </c>
      <c r="BV129" s="3">
        <v>16</v>
      </c>
      <c r="BW129" s="3">
        <v>38</v>
      </c>
      <c r="CK129" s="3">
        <v>5</v>
      </c>
      <c r="DE129" s="3">
        <v>1</v>
      </c>
      <c r="DJ129" s="3">
        <v>3</v>
      </c>
      <c r="DN129" s="3">
        <v>2</v>
      </c>
      <c r="DS129" s="3">
        <v>2</v>
      </c>
      <c r="EJ129" s="3">
        <v>69</v>
      </c>
      <c r="FB129" s="3">
        <v>2</v>
      </c>
      <c r="FC129" s="3">
        <v>1</v>
      </c>
      <c r="FS129" s="3">
        <v>112</v>
      </c>
      <c r="FU129" s="3">
        <v>1</v>
      </c>
      <c r="GH129" s="3">
        <f t="shared" ref="GH129:GH130" si="63">COUNT(R129:GG129)</f>
        <v>15</v>
      </c>
      <c r="GI129" s="3">
        <f t="shared" ref="GI129:GI130" si="64">COUNTIF(R129:GG129,"&gt;=2")</f>
        <v>10</v>
      </c>
      <c r="GJ129" s="3">
        <f t="shared" ref="GJ129:GJ130" si="65">COUNTIF(R129:GG129,"&gt;=5")</f>
        <v>5</v>
      </c>
      <c r="GK129" s="3">
        <f t="shared" ref="GK129:GK130" si="66">SUM(R129:GG129)</f>
        <v>256</v>
      </c>
      <c r="GL129" s="3">
        <f t="shared" ref="GL129:GL130" si="67">25*P129</f>
        <v>625</v>
      </c>
      <c r="GM129" s="3">
        <f t="shared" ref="GM129:GM130" si="68">GL129-GK129</f>
        <v>369</v>
      </c>
    </row>
    <row r="130" spans="1:217" ht="13" x14ac:dyDescent="0.15">
      <c r="A130" s="13">
        <v>42866</v>
      </c>
      <c r="B130" s="3" t="s">
        <v>244</v>
      </c>
      <c r="C130" s="16">
        <f t="shared" si="56"/>
        <v>127</v>
      </c>
      <c r="D130" s="3">
        <v>21.310611999999999</v>
      </c>
      <c r="E130" s="3">
        <v>-158.00441000000001</v>
      </c>
      <c r="F130" s="3" t="s">
        <v>278</v>
      </c>
      <c r="G130" s="14">
        <v>0.38541666666666669</v>
      </c>
      <c r="H130" s="14">
        <v>0.45833333333333331</v>
      </c>
      <c r="I130" s="3">
        <v>6</v>
      </c>
      <c r="J130" s="3">
        <v>11</v>
      </c>
      <c r="K130" s="3" t="s">
        <v>198</v>
      </c>
      <c r="L130" s="3">
        <v>5</v>
      </c>
      <c r="M130" s="3">
        <v>24</v>
      </c>
      <c r="N130" s="3" t="s">
        <v>403</v>
      </c>
      <c r="P130" s="3">
        <v>24</v>
      </c>
      <c r="R130" s="3">
        <v>35</v>
      </c>
      <c r="AB130" s="3">
        <v>10</v>
      </c>
      <c r="AE130" s="3">
        <v>5</v>
      </c>
      <c r="AI130" s="3">
        <v>9</v>
      </c>
      <c r="AN130" s="3">
        <v>1</v>
      </c>
      <c r="BA130" s="3"/>
      <c r="BB130" s="3">
        <v>5</v>
      </c>
      <c r="BE130" s="3">
        <v>5</v>
      </c>
      <c r="BM130" s="3">
        <v>1</v>
      </c>
      <c r="BO130" s="3"/>
      <c r="BP130" s="3">
        <v>1</v>
      </c>
      <c r="BQ130" s="3">
        <v>1</v>
      </c>
      <c r="BV130" s="3">
        <v>11</v>
      </c>
      <c r="BZ130" s="3">
        <v>2</v>
      </c>
      <c r="CK130" s="3">
        <v>1</v>
      </c>
      <c r="CO130" s="3">
        <v>7</v>
      </c>
      <c r="DG130" s="3">
        <v>12</v>
      </c>
      <c r="DM130" s="3">
        <v>32</v>
      </c>
      <c r="DO130" s="3">
        <v>4</v>
      </c>
      <c r="DU130" s="3"/>
      <c r="DV130" s="3">
        <v>6</v>
      </c>
      <c r="EC130" s="3">
        <v>4</v>
      </c>
      <c r="EJ130" s="3">
        <v>122</v>
      </c>
      <c r="EX130" s="3">
        <v>9</v>
      </c>
      <c r="FB130" s="3">
        <v>13</v>
      </c>
      <c r="FH130" s="3">
        <v>1</v>
      </c>
      <c r="FI130" s="3">
        <v>10</v>
      </c>
      <c r="FS130" s="3">
        <v>32</v>
      </c>
      <c r="FV130" s="3"/>
      <c r="FW130" s="3">
        <v>6</v>
      </c>
      <c r="GG130" s="3">
        <v>35</v>
      </c>
      <c r="GH130" s="3">
        <f t="shared" si="63"/>
        <v>27</v>
      </c>
      <c r="GI130" s="3">
        <f t="shared" si="64"/>
        <v>21</v>
      </c>
      <c r="GJ130" s="3">
        <f t="shared" si="65"/>
        <v>18</v>
      </c>
      <c r="GK130" s="3">
        <f t="shared" si="66"/>
        <v>380</v>
      </c>
      <c r="GL130" s="3">
        <f t="shared" si="67"/>
        <v>600</v>
      </c>
      <c r="GM130" s="3">
        <f t="shared" si="68"/>
        <v>220</v>
      </c>
    </row>
    <row r="131" spans="1:217" ht="13" x14ac:dyDescent="0.15">
      <c r="A131" s="27">
        <v>42866</v>
      </c>
      <c r="B131" s="28" t="s">
        <v>219</v>
      </c>
      <c r="C131" s="16">
        <f t="shared" si="56"/>
        <v>128</v>
      </c>
      <c r="D131" s="28">
        <v>21.295798999999999</v>
      </c>
      <c r="E131" s="28">
        <v>-158.10369900000001</v>
      </c>
      <c r="F131" s="28" t="s">
        <v>479</v>
      </c>
      <c r="G131" s="29">
        <v>0.4</v>
      </c>
      <c r="H131" s="29">
        <v>0.45833333333333331</v>
      </c>
      <c r="I131" s="28">
        <v>7</v>
      </c>
      <c r="J131" s="28">
        <v>10</v>
      </c>
      <c r="K131" s="28" t="s">
        <v>415</v>
      </c>
      <c r="L131" s="28">
        <v>1</v>
      </c>
      <c r="M131" s="28">
        <v>6</v>
      </c>
      <c r="N131" s="28" t="s">
        <v>480</v>
      </c>
      <c r="O131" s="28"/>
      <c r="P131" s="28"/>
      <c r="Q131" s="28"/>
      <c r="R131" s="28">
        <v>1</v>
      </c>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v>1</v>
      </c>
      <c r="BF131" s="28"/>
      <c r="BG131" s="28"/>
      <c r="BH131" s="28"/>
      <c r="BI131" s="28"/>
      <c r="BJ131" s="28"/>
      <c r="BK131" s="28"/>
      <c r="BL131" s="28"/>
      <c r="BM131" s="28"/>
      <c r="BN131" s="28"/>
      <c r="BO131" s="28"/>
      <c r="BP131" s="28"/>
      <c r="BQ131" s="28"/>
      <c r="BR131" s="28"/>
      <c r="BS131" s="28"/>
      <c r="BT131" s="28"/>
      <c r="BU131" s="28"/>
      <c r="BV131" s="28">
        <v>1</v>
      </c>
      <c r="BW131" s="28"/>
      <c r="BX131" s="28"/>
      <c r="BY131" s="28"/>
      <c r="BZ131" s="28">
        <v>3</v>
      </c>
      <c r="CA131" s="28"/>
      <c r="CB131" s="28"/>
      <c r="CC131" s="28"/>
      <c r="CD131" s="28"/>
      <c r="CE131" s="28"/>
      <c r="CF131" s="28"/>
      <c r="CG131" s="28"/>
      <c r="CH131" s="28"/>
      <c r="CI131" s="28"/>
      <c r="CJ131" s="28"/>
      <c r="CK131" s="28"/>
      <c r="CL131" s="28"/>
      <c r="CM131" s="28"/>
      <c r="CN131" s="28"/>
      <c r="CO131" s="28"/>
      <c r="CP131" s="28"/>
      <c r="CQ131" s="28"/>
      <c r="CR131" s="28"/>
      <c r="CS131" s="28">
        <v>2</v>
      </c>
      <c r="CT131" s="28"/>
      <c r="CU131" s="28"/>
      <c r="CV131" s="28"/>
      <c r="CW131" s="28"/>
      <c r="CX131" s="28"/>
      <c r="CY131" s="28"/>
      <c r="CZ131" s="28"/>
      <c r="DA131" s="28"/>
      <c r="DB131" s="28"/>
      <c r="DC131" s="28"/>
      <c r="DD131" s="28"/>
      <c r="DE131" s="28"/>
      <c r="DF131" s="28"/>
      <c r="DG131" s="28"/>
      <c r="DH131" s="28"/>
      <c r="DI131" s="28"/>
      <c r="DJ131" s="28"/>
      <c r="DK131" s="28"/>
      <c r="DL131" s="28"/>
      <c r="DM131" s="28">
        <v>13</v>
      </c>
      <c r="DN131" s="28"/>
      <c r="DO131" s="28"/>
      <c r="DP131" s="28"/>
      <c r="DQ131" s="28"/>
      <c r="DR131" s="28"/>
      <c r="DS131" s="28">
        <v>2</v>
      </c>
      <c r="DT131" s="28"/>
      <c r="DU131" s="28"/>
      <c r="DV131" s="28"/>
      <c r="DW131" s="28"/>
      <c r="DX131" s="28"/>
      <c r="DY131" s="28"/>
      <c r="DZ131" s="28"/>
      <c r="EA131" s="28"/>
      <c r="EB131" s="28"/>
      <c r="EC131" s="28"/>
      <c r="ED131" s="28"/>
      <c r="EE131" s="28"/>
      <c r="EF131" s="28"/>
      <c r="EG131" s="28"/>
      <c r="EH131" s="28"/>
      <c r="EI131" s="28"/>
      <c r="EJ131" s="28">
        <v>58</v>
      </c>
      <c r="EK131" s="28"/>
      <c r="EL131" s="28"/>
      <c r="EM131" s="28"/>
      <c r="EN131" s="28"/>
      <c r="EO131" s="28"/>
      <c r="EP131" s="28"/>
      <c r="EQ131" s="28"/>
      <c r="ER131" s="28"/>
      <c r="ES131" s="28"/>
      <c r="ET131" s="28"/>
      <c r="EU131" s="28"/>
      <c r="EV131" s="28"/>
      <c r="EW131" s="28"/>
      <c r="EX131" s="28"/>
      <c r="EY131" s="28"/>
      <c r="EZ131" s="28"/>
      <c r="FA131" s="28"/>
      <c r="FB131" s="28">
        <v>10</v>
      </c>
      <c r="FC131" s="28"/>
      <c r="FD131" s="28"/>
      <c r="FE131" s="28"/>
      <c r="FF131" s="28">
        <v>1</v>
      </c>
      <c r="FG131" s="28"/>
      <c r="FH131" s="28"/>
      <c r="FI131" s="28"/>
      <c r="FJ131" s="28"/>
      <c r="FK131" s="28"/>
      <c r="FL131" s="28"/>
      <c r="FM131" s="28"/>
      <c r="FN131" s="28"/>
      <c r="FO131" s="28"/>
      <c r="FP131" s="28"/>
      <c r="FQ131" s="28"/>
      <c r="FR131" s="28"/>
      <c r="FS131" s="28">
        <v>7</v>
      </c>
      <c r="FT131" s="28"/>
      <c r="FU131" s="28"/>
      <c r="FV131" s="28"/>
      <c r="FW131" s="28"/>
      <c r="FX131" s="28"/>
      <c r="FY131" s="28"/>
      <c r="FZ131" s="28"/>
      <c r="GA131" s="28"/>
      <c r="GB131" s="28"/>
      <c r="GC131" s="28"/>
      <c r="GD131" s="28"/>
      <c r="GE131" s="28"/>
      <c r="GF131" s="28"/>
      <c r="GG131" s="28"/>
      <c r="GH131" s="28"/>
      <c r="GI131" s="28"/>
      <c r="GJ131" s="28"/>
      <c r="GK131" s="28"/>
      <c r="GL131" s="28"/>
      <c r="GM131" s="28"/>
      <c r="GN131" s="28"/>
      <c r="GO131" s="28"/>
      <c r="GP131" s="28"/>
      <c r="GQ131" s="28"/>
      <c r="GR131" s="28"/>
      <c r="GS131" s="28"/>
      <c r="GT131" s="28"/>
      <c r="GU131" s="28"/>
      <c r="GV131" s="28"/>
      <c r="GW131" s="28"/>
      <c r="GX131" s="28"/>
      <c r="GY131" s="28"/>
      <c r="GZ131" s="28"/>
      <c r="HA131" s="28"/>
      <c r="HB131" s="28"/>
      <c r="HC131" s="28"/>
      <c r="HD131" s="28"/>
      <c r="HE131" s="28"/>
      <c r="HF131" s="28"/>
      <c r="HG131" s="28"/>
      <c r="HH131" s="28"/>
      <c r="HI131" s="28"/>
    </row>
    <row r="132" spans="1:217" ht="13" x14ac:dyDescent="0.15">
      <c r="A132" s="27">
        <v>42866</v>
      </c>
      <c r="B132" s="28" t="s">
        <v>377</v>
      </c>
      <c r="C132" s="16">
        <f t="shared" si="56"/>
        <v>129</v>
      </c>
      <c r="D132" s="28">
        <v>20.704999999999998</v>
      </c>
      <c r="E132" s="28">
        <v>-156.446945</v>
      </c>
      <c r="F132" s="28" t="s">
        <v>378</v>
      </c>
      <c r="G132" s="29">
        <v>0.36458333333333331</v>
      </c>
      <c r="H132" s="29">
        <v>0.44791666666666669</v>
      </c>
      <c r="I132" s="28">
        <v>11</v>
      </c>
      <c r="J132" s="28">
        <v>20</v>
      </c>
      <c r="K132" s="28" t="s">
        <v>227</v>
      </c>
      <c r="L132" s="28">
        <v>7</v>
      </c>
      <c r="M132" s="28">
        <v>7</v>
      </c>
      <c r="N132" s="28" t="s">
        <v>485</v>
      </c>
      <c r="O132" s="28"/>
      <c r="P132" s="28"/>
      <c r="Q132" s="28"/>
      <c r="R132" s="28">
        <v>7</v>
      </c>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v>2</v>
      </c>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v>24</v>
      </c>
      <c r="CL132" s="28"/>
      <c r="CM132" s="28"/>
      <c r="CN132" s="28"/>
      <c r="CO132" s="28"/>
      <c r="CP132" s="28"/>
      <c r="CQ132" s="28"/>
      <c r="CR132" s="28"/>
      <c r="CS132" s="28"/>
      <c r="CT132" s="28"/>
      <c r="CU132" s="28"/>
      <c r="CV132" s="28"/>
      <c r="CW132" s="28"/>
      <c r="CX132" s="28"/>
      <c r="CY132" s="28"/>
      <c r="CZ132" s="28"/>
      <c r="DA132" s="28"/>
      <c r="DB132" s="28"/>
      <c r="DC132" s="28"/>
      <c r="DD132" s="28"/>
      <c r="DE132" s="28"/>
      <c r="DF132" s="28"/>
      <c r="DG132" s="28"/>
      <c r="DH132" s="28">
        <v>4</v>
      </c>
      <c r="DI132" s="28"/>
      <c r="DJ132" s="28"/>
      <c r="DK132" s="28"/>
      <c r="DL132" s="28"/>
      <c r="DM132" s="28"/>
      <c r="DN132" s="28"/>
      <c r="DO132" s="28"/>
      <c r="DP132" s="28"/>
      <c r="DQ132" s="28"/>
      <c r="DR132" s="28"/>
      <c r="DS132" s="28"/>
      <c r="DT132" s="28"/>
      <c r="DU132" s="28"/>
      <c r="DV132" s="28"/>
      <c r="DW132" s="28"/>
      <c r="DX132" s="28"/>
      <c r="DY132" s="28"/>
      <c r="DZ132" s="28"/>
      <c r="EA132" s="28"/>
      <c r="EB132" s="28"/>
      <c r="EC132" s="28"/>
      <c r="ED132" s="28"/>
      <c r="EE132" s="28"/>
      <c r="EF132" s="28"/>
      <c r="EG132" s="28"/>
      <c r="EH132" s="28"/>
      <c r="EI132" s="28"/>
      <c r="EJ132" s="28"/>
      <c r="EK132" s="28"/>
      <c r="EL132" s="28"/>
      <c r="EM132" s="28"/>
      <c r="EN132" s="28"/>
      <c r="EO132" s="28"/>
      <c r="EP132" s="28"/>
      <c r="EQ132" s="28"/>
      <c r="ER132" s="28"/>
      <c r="ES132" s="28"/>
      <c r="ET132" s="28"/>
      <c r="EU132" s="28"/>
      <c r="EV132" s="28"/>
      <c r="EW132" s="28"/>
      <c r="EX132" s="28">
        <v>3</v>
      </c>
      <c r="EY132" s="28"/>
      <c r="EZ132" s="28"/>
      <c r="FA132" s="28"/>
      <c r="FB132" s="28"/>
      <c r="FC132" s="28"/>
      <c r="FD132" s="28"/>
      <c r="FE132" s="28"/>
      <c r="FF132" s="28"/>
      <c r="FG132" s="28"/>
      <c r="FH132" s="28"/>
      <c r="FI132" s="28"/>
      <c r="FJ132" s="28"/>
      <c r="FK132" s="28"/>
      <c r="FL132" s="28"/>
      <c r="FM132" s="28"/>
      <c r="FN132" s="28"/>
      <c r="FO132" s="28"/>
      <c r="FP132" s="28"/>
      <c r="FQ132" s="28"/>
      <c r="FR132" s="28"/>
      <c r="FS132" s="28"/>
      <c r="FT132" s="28"/>
      <c r="FU132" s="28"/>
      <c r="FV132" s="28"/>
      <c r="FW132" s="28"/>
      <c r="FX132" s="28"/>
      <c r="FY132" s="28"/>
      <c r="FZ132" s="28"/>
      <c r="GA132" s="28"/>
      <c r="GB132" s="28"/>
      <c r="GC132" s="28"/>
      <c r="GD132" s="28">
        <v>10</v>
      </c>
      <c r="GE132" s="28"/>
      <c r="GF132" s="28"/>
      <c r="GG132" s="28"/>
      <c r="GH132" s="28"/>
      <c r="GI132" s="28"/>
      <c r="GJ132" s="28"/>
      <c r="GK132" s="28"/>
      <c r="GL132" s="28"/>
      <c r="GM132" s="28"/>
      <c r="GN132" s="28"/>
      <c r="GO132" s="28"/>
      <c r="GP132" s="28"/>
      <c r="GQ132" s="28"/>
      <c r="GR132" s="28"/>
      <c r="GS132" s="28"/>
      <c r="GT132" s="28"/>
      <c r="GU132" s="28"/>
      <c r="GV132" s="28"/>
      <c r="GW132" s="28"/>
      <c r="GX132" s="28"/>
      <c r="GY132" s="28"/>
      <c r="GZ132" s="28"/>
      <c r="HA132" s="28"/>
      <c r="HB132" s="28"/>
      <c r="HC132" s="28"/>
      <c r="HD132" s="28"/>
      <c r="HE132" s="28"/>
      <c r="HF132" s="28"/>
      <c r="HG132" s="28"/>
      <c r="HH132" s="28"/>
      <c r="HI132" s="28"/>
    </row>
    <row r="133" spans="1:217" ht="13" x14ac:dyDescent="0.15">
      <c r="A133" s="13">
        <v>42867</v>
      </c>
      <c r="B133" s="3" t="s">
        <v>216</v>
      </c>
      <c r="C133" s="16">
        <f t="shared" si="56"/>
        <v>130</v>
      </c>
      <c r="D133" s="3">
        <v>21.3002</v>
      </c>
      <c r="E133" s="3">
        <v>-157.882599</v>
      </c>
      <c r="F133" s="3" t="s">
        <v>299</v>
      </c>
      <c r="G133" s="14">
        <v>0.45833333333333331</v>
      </c>
      <c r="H133" s="14">
        <v>0.51041666666666663</v>
      </c>
      <c r="I133" s="3">
        <v>4</v>
      </c>
      <c r="J133" s="3">
        <v>20</v>
      </c>
      <c r="K133" s="3" t="s">
        <v>217</v>
      </c>
      <c r="L133" s="3">
        <v>10</v>
      </c>
      <c r="M133" s="3">
        <v>32</v>
      </c>
      <c r="N133" s="3" t="s">
        <v>404</v>
      </c>
      <c r="P133" s="3">
        <v>32</v>
      </c>
      <c r="S133" s="3">
        <v>2</v>
      </c>
      <c r="AI133" s="3">
        <v>1</v>
      </c>
      <c r="AM133" s="3">
        <v>6</v>
      </c>
      <c r="BM133" s="3">
        <v>45</v>
      </c>
      <c r="BN133" s="3">
        <v>16</v>
      </c>
      <c r="BQ133" s="3">
        <v>7</v>
      </c>
      <c r="CC133" s="3">
        <v>2</v>
      </c>
      <c r="DS133" s="3">
        <v>6</v>
      </c>
      <c r="EC133" s="3">
        <v>17</v>
      </c>
      <c r="EJ133" s="3">
        <v>2</v>
      </c>
      <c r="FJ133" s="3"/>
      <c r="FK133" s="3"/>
      <c r="FL133" s="3">
        <v>1</v>
      </c>
      <c r="FR133" s="3">
        <v>4</v>
      </c>
      <c r="FS133" s="3">
        <v>455</v>
      </c>
      <c r="GH133" s="3">
        <f>COUNT(R133:GG133)</f>
        <v>13</v>
      </c>
      <c r="GI133" s="3">
        <f>COUNTIF(R133:GG133,"&gt;=2")</f>
        <v>11</v>
      </c>
      <c r="GJ133" s="3">
        <f>COUNTIF(R133:GG133,"&gt;=5")</f>
        <v>7</v>
      </c>
      <c r="GK133" s="3">
        <f>SUM(R133:GG133)</f>
        <v>564</v>
      </c>
      <c r="GL133" s="3">
        <f>25*P133</f>
        <v>800</v>
      </c>
      <c r="GM133" s="3">
        <f>GL133-GK133</f>
        <v>236</v>
      </c>
    </row>
    <row r="134" spans="1:217" ht="13" x14ac:dyDescent="0.15">
      <c r="A134" s="27">
        <v>42874</v>
      </c>
      <c r="B134" s="28" t="s">
        <v>400</v>
      </c>
      <c r="C134" s="16">
        <f t="shared" si="56"/>
        <v>131</v>
      </c>
      <c r="D134" s="28">
        <v>21.900562000000001</v>
      </c>
      <c r="E134" s="28">
        <v>-159.60981799999999</v>
      </c>
      <c r="F134" s="28" t="s">
        <v>401</v>
      </c>
      <c r="G134" s="29">
        <v>0.36249999999999999</v>
      </c>
      <c r="H134" s="29">
        <v>0.41111111111111109</v>
      </c>
      <c r="I134" s="28">
        <v>6</v>
      </c>
      <c r="J134" s="28">
        <v>15</v>
      </c>
      <c r="K134" s="28" t="s">
        <v>198</v>
      </c>
      <c r="L134" s="28">
        <v>5</v>
      </c>
      <c r="M134" s="28">
        <v>22</v>
      </c>
      <c r="N134" s="28" t="s">
        <v>490</v>
      </c>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v>61</v>
      </c>
      <c r="BW134" s="28"/>
      <c r="BX134" s="28"/>
      <c r="BY134" s="28"/>
      <c r="BZ134" s="28"/>
      <c r="CA134" s="28"/>
      <c r="CB134" s="28"/>
      <c r="CC134" s="28"/>
      <c r="CD134" s="28">
        <v>1</v>
      </c>
      <c r="CE134" s="28"/>
      <c r="CF134" s="28"/>
      <c r="CG134" s="28"/>
      <c r="CH134" s="28">
        <v>25</v>
      </c>
      <c r="CI134" s="28"/>
      <c r="CJ134" s="28"/>
      <c r="CK134" s="28"/>
      <c r="CL134" s="28"/>
      <c r="CM134" s="28"/>
      <c r="CN134" s="28"/>
      <c r="CO134" s="28"/>
      <c r="CP134" s="28"/>
      <c r="CQ134" s="28"/>
      <c r="CR134" s="28"/>
      <c r="CS134" s="28"/>
      <c r="CT134" s="28"/>
      <c r="CU134" s="28"/>
      <c r="CV134" s="28">
        <v>2</v>
      </c>
      <c r="CW134" s="28"/>
      <c r="CX134" s="28"/>
      <c r="CY134" s="28"/>
      <c r="CZ134" s="28"/>
      <c r="DA134" s="28"/>
      <c r="DB134" s="28"/>
      <c r="DC134" s="28"/>
      <c r="DD134" s="28"/>
      <c r="DE134" s="28"/>
      <c r="DF134" s="28"/>
      <c r="DG134" s="28"/>
      <c r="DH134" s="28"/>
      <c r="DI134" s="28"/>
      <c r="DJ134" s="28"/>
      <c r="DK134" s="28"/>
      <c r="DL134" s="28"/>
      <c r="DM134" s="28"/>
      <c r="DN134" s="28"/>
      <c r="DO134" s="28"/>
      <c r="DP134" s="28"/>
      <c r="DQ134" s="28"/>
      <c r="DR134" s="28"/>
      <c r="DS134" s="28"/>
      <c r="DT134" s="28"/>
      <c r="DU134" s="28"/>
      <c r="DV134" s="28"/>
      <c r="DW134" s="28"/>
      <c r="DX134" s="28"/>
      <c r="DY134" s="28"/>
      <c r="DZ134" s="28"/>
      <c r="EA134" s="28"/>
      <c r="EB134" s="28"/>
      <c r="EC134" s="28"/>
      <c r="ED134" s="28"/>
      <c r="EE134" s="28"/>
      <c r="EF134" s="28"/>
      <c r="EG134" s="28"/>
      <c r="EH134" s="28"/>
      <c r="EI134" s="28"/>
      <c r="EJ134" s="28"/>
      <c r="EK134" s="28"/>
      <c r="EL134" s="28"/>
      <c r="EM134" s="28"/>
      <c r="EN134" s="28"/>
      <c r="EO134" s="28"/>
      <c r="EP134" s="28"/>
      <c r="EQ134" s="28"/>
      <c r="ER134" s="28"/>
      <c r="ES134" s="28"/>
      <c r="ET134" s="28"/>
      <c r="EU134" s="28"/>
      <c r="EV134" s="28"/>
      <c r="EW134" s="28"/>
      <c r="EX134" s="28">
        <v>3</v>
      </c>
      <c r="EY134" s="28"/>
      <c r="EZ134" s="28"/>
      <c r="FA134" s="28"/>
      <c r="FB134" s="28"/>
      <c r="FC134" s="28"/>
      <c r="FD134" s="28"/>
      <c r="FE134" s="28"/>
      <c r="FF134" s="28"/>
      <c r="FG134" s="28"/>
      <c r="FH134" s="28"/>
      <c r="FI134" s="28"/>
      <c r="FJ134" s="28"/>
      <c r="FK134" s="28"/>
      <c r="FL134" s="28"/>
      <c r="FM134" s="28"/>
      <c r="FN134" s="28"/>
      <c r="FO134" s="28"/>
      <c r="FP134" s="28"/>
      <c r="FQ134" s="28"/>
      <c r="FR134" s="28"/>
      <c r="FS134" s="28">
        <v>123</v>
      </c>
      <c r="FT134" s="28"/>
      <c r="FU134" s="28"/>
      <c r="FV134" s="28"/>
      <c r="FW134" s="28"/>
      <c r="FX134" s="28"/>
      <c r="FY134" s="28"/>
      <c r="FZ134" s="28"/>
      <c r="GA134" s="28"/>
      <c r="GB134" s="28"/>
      <c r="GC134" s="28"/>
      <c r="GD134" s="28"/>
      <c r="GE134" s="28"/>
      <c r="GF134" s="28">
        <v>11</v>
      </c>
      <c r="GG134" s="28"/>
      <c r="GH134" s="28"/>
      <c r="GI134" s="28"/>
      <c r="GJ134" s="28"/>
      <c r="GK134" s="28"/>
      <c r="GL134" s="28"/>
      <c r="GM134" s="28"/>
      <c r="GN134" s="28"/>
      <c r="GO134" s="28"/>
      <c r="GP134" s="28"/>
      <c r="GQ134" s="28"/>
      <c r="GR134" s="28"/>
      <c r="GS134" s="28"/>
      <c r="GT134" s="28"/>
      <c r="GU134" s="28"/>
      <c r="GV134" s="28"/>
      <c r="GW134" s="28"/>
      <c r="GX134" s="28"/>
      <c r="GY134" s="28"/>
      <c r="GZ134" s="28"/>
      <c r="HA134" s="28"/>
      <c r="HB134" s="28"/>
      <c r="HC134" s="28"/>
      <c r="HD134" s="28"/>
      <c r="HE134" s="28"/>
      <c r="HF134" s="28"/>
      <c r="HG134" s="28"/>
      <c r="HH134" s="28"/>
      <c r="HI134" s="28"/>
    </row>
    <row r="135" spans="1:217" ht="13" x14ac:dyDescent="0.15">
      <c r="A135" s="13">
        <v>42879</v>
      </c>
      <c r="B135" s="3" t="s">
        <v>247</v>
      </c>
      <c r="C135" s="16">
        <f t="shared" si="56"/>
        <v>132</v>
      </c>
      <c r="D135" s="3">
        <v>19.488199000000002</v>
      </c>
      <c r="E135" s="3">
        <v>-154.81930500000001</v>
      </c>
      <c r="F135" s="3" t="s">
        <v>289</v>
      </c>
      <c r="G135" s="14">
        <v>0.38541666666666669</v>
      </c>
      <c r="H135" s="14">
        <v>0.46875</v>
      </c>
      <c r="I135" s="3">
        <v>5</v>
      </c>
      <c r="J135" s="3">
        <v>20</v>
      </c>
      <c r="K135" s="3" t="s">
        <v>198</v>
      </c>
      <c r="L135" s="3">
        <v>5</v>
      </c>
      <c r="M135" s="3">
        <v>25</v>
      </c>
      <c r="P135" s="3">
        <v>25</v>
      </c>
      <c r="AF135" s="3">
        <v>3</v>
      </c>
      <c r="AI135" s="3">
        <v>1</v>
      </c>
      <c r="AM135" s="3">
        <v>22</v>
      </c>
      <c r="BM135" s="3">
        <v>22</v>
      </c>
      <c r="BN135" s="3">
        <v>3</v>
      </c>
      <c r="CC135" s="3">
        <v>3</v>
      </c>
      <c r="EK135" s="3">
        <v>2</v>
      </c>
      <c r="EP135" s="3">
        <v>2</v>
      </c>
      <c r="ER135" s="3">
        <v>4</v>
      </c>
      <c r="FF135" s="3">
        <v>1</v>
      </c>
      <c r="FI135" s="3">
        <v>1</v>
      </c>
      <c r="FM135" s="3">
        <v>15</v>
      </c>
      <c r="FS135" s="3">
        <v>514</v>
      </c>
      <c r="GH135" s="3">
        <f t="shared" ref="GH135:GH139" si="69">COUNT(R135:GG135)</f>
        <v>13</v>
      </c>
      <c r="GI135" s="3">
        <f t="shared" ref="GI135:GI139" si="70">COUNTIF(R135:GG135,"&gt;=2")</f>
        <v>10</v>
      </c>
      <c r="GJ135" s="3">
        <f t="shared" ref="GJ135:GJ139" si="71">COUNTIF(R135:GG135,"&gt;=5")</f>
        <v>4</v>
      </c>
      <c r="GK135" s="3">
        <f t="shared" ref="GK135:GK139" si="72">SUM(R135:GG135)</f>
        <v>593</v>
      </c>
      <c r="GL135" s="3">
        <f t="shared" ref="GL135:GL139" si="73">25*P135</f>
        <v>625</v>
      </c>
      <c r="GM135" s="3">
        <f t="shared" ref="GM135:GM139" si="74">GL135-GK135</f>
        <v>32</v>
      </c>
    </row>
    <row r="136" spans="1:217" ht="13" x14ac:dyDescent="0.15">
      <c r="A136" s="13">
        <v>42908</v>
      </c>
      <c r="B136" s="3" t="s">
        <v>246</v>
      </c>
      <c r="C136" s="16">
        <f t="shared" si="56"/>
        <v>133</v>
      </c>
      <c r="D136" s="3">
        <v>21.2882</v>
      </c>
      <c r="E136" s="3">
        <v>-157.66799900000001</v>
      </c>
      <c r="F136" s="3" t="s">
        <v>197</v>
      </c>
      <c r="G136" s="14">
        <v>0.31944444444444442</v>
      </c>
      <c r="H136" s="14">
        <v>0.39583333333333331</v>
      </c>
      <c r="I136" s="3">
        <v>3</v>
      </c>
      <c r="J136" s="3">
        <v>20</v>
      </c>
      <c r="K136" s="3" t="s">
        <v>217</v>
      </c>
      <c r="L136" s="3">
        <v>10</v>
      </c>
      <c r="M136" s="3">
        <v>26</v>
      </c>
      <c r="N136" s="3" t="s">
        <v>405</v>
      </c>
      <c r="P136" s="3">
        <v>26</v>
      </c>
      <c r="U136" s="3">
        <v>1</v>
      </c>
      <c r="W136" s="3"/>
      <c r="X136" s="3">
        <v>1</v>
      </c>
      <c r="AB136" s="3">
        <v>111</v>
      </c>
      <c r="AH136" s="3">
        <v>3</v>
      </c>
      <c r="AM136" s="3">
        <v>4</v>
      </c>
      <c r="AW136" s="3">
        <v>10</v>
      </c>
      <c r="BA136" s="3"/>
      <c r="BB136" s="3">
        <v>1</v>
      </c>
      <c r="BD136" s="3">
        <v>3</v>
      </c>
      <c r="BF136" s="3">
        <v>9</v>
      </c>
      <c r="BK136" s="3">
        <v>16</v>
      </c>
      <c r="BM136" s="3">
        <v>7</v>
      </c>
      <c r="BN136" s="3">
        <v>18</v>
      </c>
      <c r="BQ136" s="3">
        <v>4</v>
      </c>
      <c r="BZ136" s="3">
        <v>22</v>
      </c>
      <c r="CC136" s="3">
        <v>1</v>
      </c>
      <c r="CG136" s="3"/>
      <c r="CH136" s="3">
        <v>4</v>
      </c>
      <c r="CK136" s="3">
        <v>42</v>
      </c>
      <c r="CL136" s="3">
        <v>3</v>
      </c>
      <c r="CQ136" s="3"/>
      <c r="CR136" s="3">
        <v>3</v>
      </c>
      <c r="CU136" s="3">
        <v>2</v>
      </c>
      <c r="DE136" s="3">
        <v>2</v>
      </c>
      <c r="DG136" s="3">
        <v>1</v>
      </c>
      <c r="DM136" s="3">
        <v>8</v>
      </c>
      <c r="DN136" s="3">
        <v>3</v>
      </c>
      <c r="DO136" s="3">
        <v>3</v>
      </c>
      <c r="DU136" s="3"/>
      <c r="DV136" s="3">
        <v>27</v>
      </c>
      <c r="EJ136" s="3">
        <v>1</v>
      </c>
      <c r="EK136" s="3">
        <v>3</v>
      </c>
      <c r="EL136" s="3"/>
      <c r="EM136" s="3">
        <v>1</v>
      </c>
      <c r="ET136" s="3"/>
      <c r="EU136" s="3"/>
      <c r="EV136" s="3">
        <v>52</v>
      </c>
      <c r="FD136" s="3"/>
      <c r="FE136" s="3">
        <v>1</v>
      </c>
      <c r="FF136" s="3">
        <v>3</v>
      </c>
      <c r="FM136" s="3">
        <v>7</v>
      </c>
      <c r="FR136" s="3">
        <v>3</v>
      </c>
      <c r="FS136" s="3">
        <v>218</v>
      </c>
      <c r="FX136" s="3"/>
      <c r="FY136" s="3">
        <v>1</v>
      </c>
      <c r="GE136" s="3">
        <v>6</v>
      </c>
      <c r="GH136" s="3">
        <f t="shared" si="69"/>
        <v>37</v>
      </c>
      <c r="GI136" s="3">
        <f t="shared" si="70"/>
        <v>28</v>
      </c>
      <c r="GJ136" s="3">
        <f t="shared" si="71"/>
        <v>14</v>
      </c>
      <c r="GK136" s="3">
        <f t="shared" si="72"/>
        <v>605</v>
      </c>
      <c r="GL136" s="3">
        <f t="shared" si="73"/>
        <v>650</v>
      </c>
      <c r="GM136" s="3">
        <f t="shared" si="74"/>
        <v>45</v>
      </c>
    </row>
    <row r="137" spans="1:217" ht="13" x14ac:dyDescent="0.15">
      <c r="A137" s="13">
        <v>42910</v>
      </c>
      <c r="B137" s="3" t="s">
        <v>219</v>
      </c>
      <c r="C137" s="16">
        <f t="shared" si="56"/>
        <v>134</v>
      </c>
      <c r="D137" s="3">
        <v>21.295798999999999</v>
      </c>
      <c r="E137" s="3">
        <v>-158.10369900000001</v>
      </c>
      <c r="F137" s="3" t="s">
        <v>197</v>
      </c>
      <c r="G137" s="14">
        <v>0.34722222222222221</v>
      </c>
      <c r="H137" s="14">
        <v>0.45833333333333331</v>
      </c>
      <c r="I137" s="3">
        <v>4</v>
      </c>
      <c r="J137" s="3">
        <v>24</v>
      </c>
      <c r="K137" s="3" t="s">
        <v>227</v>
      </c>
      <c r="L137" s="3">
        <v>8</v>
      </c>
      <c r="M137" s="3">
        <v>27</v>
      </c>
      <c r="N137" s="3" t="s">
        <v>406</v>
      </c>
      <c r="P137" s="3">
        <v>27</v>
      </c>
      <c r="R137" s="3">
        <v>6</v>
      </c>
      <c r="W137" s="3"/>
      <c r="X137" s="3">
        <v>3</v>
      </c>
      <c r="AB137" s="3">
        <v>27</v>
      </c>
      <c r="AE137" s="3">
        <v>1</v>
      </c>
      <c r="AI137" s="3">
        <v>8</v>
      </c>
      <c r="AM137" s="3">
        <v>10</v>
      </c>
      <c r="AW137" s="3">
        <v>3</v>
      </c>
      <c r="BA137" s="3">
        <v>7</v>
      </c>
      <c r="BB137" s="3">
        <v>42</v>
      </c>
      <c r="BC137" s="3">
        <v>3</v>
      </c>
      <c r="BD137" s="3">
        <v>5</v>
      </c>
      <c r="BE137" s="3">
        <v>2</v>
      </c>
      <c r="BH137" s="3">
        <v>2</v>
      </c>
      <c r="BM137" s="3">
        <v>7</v>
      </c>
      <c r="BN137" s="3">
        <v>4</v>
      </c>
      <c r="BQ137" s="3">
        <v>6</v>
      </c>
      <c r="BV137" s="3">
        <v>8</v>
      </c>
      <c r="BW137" s="3">
        <v>10</v>
      </c>
      <c r="BX137" s="3">
        <v>3</v>
      </c>
      <c r="BY137" s="3">
        <v>4</v>
      </c>
      <c r="BZ137" s="3">
        <v>34</v>
      </c>
      <c r="CQ137" s="3"/>
      <c r="CR137" s="3">
        <v>6</v>
      </c>
      <c r="CS137" s="3">
        <v>29</v>
      </c>
      <c r="DA137" s="3">
        <v>1</v>
      </c>
      <c r="DD137" s="3">
        <v>4</v>
      </c>
      <c r="DE137" s="3">
        <v>6</v>
      </c>
      <c r="DG137" s="3">
        <v>20</v>
      </c>
      <c r="DJ137" s="3">
        <v>1</v>
      </c>
      <c r="DK137" s="3">
        <v>6</v>
      </c>
      <c r="DL137" s="3">
        <v>28</v>
      </c>
      <c r="DM137" s="3">
        <v>105</v>
      </c>
      <c r="DO137" s="3">
        <v>2</v>
      </c>
      <c r="DQ137" s="3">
        <v>5</v>
      </c>
      <c r="DS137" s="3">
        <v>1</v>
      </c>
      <c r="DU137" s="3"/>
      <c r="DV137" s="3">
        <v>2</v>
      </c>
      <c r="EC137" s="3">
        <v>3</v>
      </c>
      <c r="EJ137" s="3">
        <v>61</v>
      </c>
      <c r="EK137" s="3">
        <v>23</v>
      </c>
      <c r="EL137" s="3">
        <v>4</v>
      </c>
      <c r="ET137" s="3">
        <v>2</v>
      </c>
      <c r="FA137" s="3">
        <v>9</v>
      </c>
      <c r="FB137" s="3">
        <v>38</v>
      </c>
      <c r="FD137" s="3"/>
      <c r="FE137" s="3">
        <v>1</v>
      </c>
      <c r="FF137" s="3">
        <v>21</v>
      </c>
      <c r="FI137" s="3">
        <v>9</v>
      </c>
      <c r="FM137" s="3">
        <v>3</v>
      </c>
      <c r="FR137" s="3">
        <v>2</v>
      </c>
      <c r="FS137" s="3">
        <v>18</v>
      </c>
      <c r="FX137" s="3"/>
      <c r="FY137" s="3">
        <v>7</v>
      </c>
      <c r="GH137" s="3">
        <f t="shared" si="69"/>
        <v>49</v>
      </c>
      <c r="GI137" s="3">
        <f t="shared" si="70"/>
        <v>44</v>
      </c>
      <c r="GJ137" s="3">
        <f t="shared" si="71"/>
        <v>28</v>
      </c>
      <c r="GK137" s="3">
        <f t="shared" si="72"/>
        <v>612</v>
      </c>
      <c r="GL137" s="3">
        <f t="shared" si="73"/>
        <v>675</v>
      </c>
      <c r="GM137" s="3">
        <f t="shared" si="74"/>
        <v>63</v>
      </c>
    </row>
    <row r="138" spans="1:217" ht="13" x14ac:dyDescent="0.15">
      <c r="A138" s="13">
        <v>42911</v>
      </c>
      <c r="B138" s="3" t="s">
        <v>250</v>
      </c>
      <c r="C138" s="16">
        <f t="shared" si="56"/>
        <v>135</v>
      </c>
      <c r="D138" s="3">
        <v>21.410399999999999</v>
      </c>
      <c r="E138" s="3">
        <v>-158.17770400000001</v>
      </c>
      <c r="F138" s="3" t="s">
        <v>197</v>
      </c>
      <c r="G138" s="14">
        <v>0.375</v>
      </c>
      <c r="H138" s="14">
        <v>0.45833333333333331</v>
      </c>
      <c r="I138" s="3">
        <v>3</v>
      </c>
      <c r="J138" s="3">
        <v>33</v>
      </c>
      <c r="K138" s="3" t="s">
        <v>227</v>
      </c>
      <c r="L138" s="3">
        <v>12</v>
      </c>
      <c r="M138" s="3">
        <v>26</v>
      </c>
      <c r="N138" s="3" t="s">
        <v>407</v>
      </c>
      <c r="P138" s="3">
        <v>26</v>
      </c>
      <c r="R138" s="3">
        <v>159</v>
      </c>
      <c r="AB138" s="3">
        <v>5</v>
      </c>
      <c r="AD138" s="3">
        <v>7</v>
      </c>
      <c r="AM138" s="3">
        <v>1</v>
      </c>
      <c r="AW138" s="3">
        <v>2</v>
      </c>
      <c r="AY138" s="3">
        <v>1</v>
      </c>
      <c r="BB138" s="3">
        <v>5</v>
      </c>
      <c r="BK138" s="3">
        <v>2</v>
      </c>
      <c r="BM138" s="3">
        <v>8</v>
      </c>
      <c r="BN138" s="3">
        <v>7</v>
      </c>
      <c r="BQ138" s="3">
        <v>6</v>
      </c>
      <c r="BZ138" s="3">
        <v>42</v>
      </c>
      <c r="CC138" s="3">
        <v>2</v>
      </c>
      <c r="CD138" s="3">
        <v>1</v>
      </c>
      <c r="CJ138" s="3">
        <v>10</v>
      </c>
      <c r="CK138" s="3">
        <v>64</v>
      </c>
      <c r="CL138" s="3">
        <v>11</v>
      </c>
      <c r="CN138" s="3">
        <v>6</v>
      </c>
      <c r="CO138" s="3">
        <v>29</v>
      </c>
      <c r="CQ138" s="3">
        <v>1</v>
      </c>
      <c r="DA138" s="3">
        <v>1</v>
      </c>
      <c r="DE138" s="3">
        <v>1</v>
      </c>
      <c r="DF138" s="3">
        <v>8</v>
      </c>
      <c r="DG138" s="3">
        <v>30</v>
      </c>
      <c r="DM138" s="3">
        <v>34</v>
      </c>
      <c r="EK138" s="3">
        <v>1</v>
      </c>
      <c r="EL138" s="3">
        <v>1</v>
      </c>
      <c r="EU138" s="3"/>
      <c r="EV138" s="3">
        <v>25</v>
      </c>
      <c r="EX138" s="3">
        <v>150</v>
      </c>
      <c r="FJ138" s="3"/>
      <c r="FK138" s="3"/>
      <c r="FL138" s="3">
        <v>1</v>
      </c>
      <c r="FS138" s="3">
        <v>13</v>
      </c>
      <c r="FT138" s="3">
        <v>2</v>
      </c>
      <c r="GH138" s="3">
        <f t="shared" si="69"/>
        <v>32</v>
      </c>
      <c r="GI138" s="3">
        <f t="shared" si="70"/>
        <v>23</v>
      </c>
      <c r="GJ138" s="3">
        <f t="shared" si="71"/>
        <v>19</v>
      </c>
      <c r="GK138" s="3">
        <f t="shared" si="72"/>
        <v>636</v>
      </c>
      <c r="GL138" s="3">
        <f t="shared" si="73"/>
        <v>650</v>
      </c>
      <c r="GM138" s="3">
        <f t="shared" si="74"/>
        <v>14</v>
      </c>
    </row>
    <row r="139" spans="1:217" ht="13" x14ac:dyDescent="0.15">
      <c r="A139" s="13">
        <v>43134</v>
      </c>
      <c r="B139" s="3" t="s">
        <v>201</v>
      </c>
      <c r="C139" s="16">
        <f t="shared" si="56"/>
        <v>136</v>
      </c>
      <c r="D139" s="3">
        <v>21.25544</v>
      </c>
      <c r="E139" s="3">
        <v>-157.810303</v>
      </c>
      <c r="F139" s="3" t="s">
        <v>197</v>
      </c>
      <c r="G139" s="14">
        <v>0.48958333333333331</v>
      </c>
      <c r="H139" s="14">
        <v>0.5625</v>
      </c>
      <c r="I139" s="3">
        <v>3</v>
      </c>
      <c r="J139" s="3">
        <v>13</v>
      </c>
      <c r="K139" s="3" t="s">
        <v>198</v>
      </c>
      <c r="L139" s="3">
        <v>13</v>
      </c>
      <c r="M139" s="3">
        <v>35</v>
      </c>
      <c r="N139" s="3" t="s">
        <v>408</v>
      </c>
      <c r="P139" s="3">
        <v>35</v>
      </c>
      <c r="R139" s="3">
        <v>11</v>
      </c>
      <c r="AE139" s="3">
        <v>1</v>
      </c>
      <c r="AF139" s="3">
        <v>1</v>
      </c>
      <c r="AI139" s="3">
        <v>4</v>
      </c>
      <c r="BE139" s="3">
        <v>3</v>
      </c>
      <c r="BM139" s="3">
        <v>29</v>
      </c>
      <c r="BQ139" s="3">
        <v>8</v>
      </c>
      <c r="BV139" s="3">
        <v>6</v>
      </c>
      <c r="BY139" s="3">
        <v>10</v>
      </c>
      <c r="BZ139" s="3">
        <v>6</v>
      </c>
      <c r="CP139" s="3"/>
      <c r="CQ139" s="3"/>
      <c r="CR139" s="3"/>
      <c r="CS139" s="3">
        <v>4</v>
      </c>
      <c r="DF139" s="3"/>
      <c r="DG139" s="3">
        <v>1</v>
      </c>
      <c r="DM139" s="3">
        <v>58</v>
      </c>
      <c r="DR139" s="3"/>
      <c r="DS139" s="3">
        <v>28</v>
      </c>
      <c r="DT139" s="3"/>
      <c r="DU139" s="3"/>
      <c r="DV139" s="3">
        <v>9</v>
      </c>
      <c r="EA139" s="3">
        <v>1</v>
      </c>
      <c r="EC139" s="3">
        <v>3</v>
      </c>
      <c r="EE139" s="3"/>
      <c r="EF139" s="3"/>
      <c r="EG139" s="3"/>
      <c r="EH139" s="3"/>
      <c r="EI139" s="3"/>
      <c r="EJ139" s="3">
        <v>145</v>
      </c>
      <c r="EL139" s="3"/>
      <c r="EM139" s="3"/>
      <c r="EN139" s="3">
        <v>4</v>
      </c>
      <c r="FB139" s="3">
        <v>47</v>
      </c>
      <c r="FC139" s="3">
        <v>2</v>
      </c>
      <c r="FI139" s="3">
        <v>5</v>
      </c>
      <c r="FR139" s="3">
        <v>84</v>
      </c>
      <c r="FS139" s="3">
        <v>139</v>
      </c>
      <c r="GG139" s="3">
        <v>1</v>
      </c>
      <c r="GH139" s="3">
        <f t="shared" si="69"/>
        <v>25</v>
      </c>
      <c r="GI139" s="3">
        <f t="shared" si="70"/>
        <v>20</v>
      </c>
      <c r="GJ139" s="3">
        <f t="shared" si="71"/>
        <v>14</v>
      </c>
      <c r="GK139" s="3">
        <f t="shared" si="72"/>
        <v>610</v>
      </c>
      <c r="GL139" s="3">
        <f t="shared" si="73"/>
        <v>875</v>
      </c>
      <c r="GM139" s="3">
        <f t="shared" si="74"/>
        <v>265</v>
      </c>
    </row>
    <row r="140" spans="1:217" ht="13" x14ac:dyDescent="0.15">
      <c r="A140" s="19">
        <v>43147</v>
      </c>
      <c r="B140" s="20" t="s">
        <v>201</v>
      </c>
      <c r="C140" s="16">
        <f t="shared" si="56"/>
        <v>137</v>
      </c>
      <c r="D140" s="20">
        <v>21.25544</v>
      </c>
      <c r="E140" s="20">
        <v>-157.810303</v>
      </c>
      <c r="F140" s="20" t="s">
        <v>389</v>
      </c>
      <c r="G140" s="21">
        <v>0.45833333333333331</v>
      </c>
      <c r="H140" s="21">
        <v>0.52083333333333337</v>
      </c>
      <c r="I140" s="20">
        <v>10</v>
      </c>
      <c r="J140" s="20">
        <v>15</v>
      </c>
      <c r="K140" s="20" t="s">
        <v>198</v>
      </c>
      <c r="L140" s="20">
        <v>5</v>
      </c>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c r="CG140" s="20"/>
      <c r="CH140" s="20"/>
      <c r="CI140" s="20"/>
      <c r="CJ140" s="20"/>
      <c r="CK140" s="20"/>
      <c r="CL140" s="20"/>
      <c r="CM140" s="20"/>
      <c r="CN140" s="20"/>
      <c r="CO140" s="20"/>
      <c r="CP140" s="20"/>
      <c r="CQ140" s="20"/>
      <c r="CR140" s="20"/>
      <c r="CS140" s="20"/>
      <c r="CT140" s="20"/>
      <c r="CU140" s="20"/>
      <c r="CV140" s="20"/>
      <c r="CW140" s="20"/>
      <c r="CX140" s="20"/>
      <c r="CY140" s="20"/>
      <c r="CZ140" s="20"/>
      <c r="DA140" s="20"/>
      <c r="DB140" s="20"/>
      <c r="DC140" s="20"/>
      <c r="DD140" s="20"/>
      <c r="DE140" s="20"/>
      <c r="DF140" s="20"/>
      <c r="DG140" s="20"/>
      <c r="DH140" s="20"/>
      <c r="DI140" s="20"/>
      <c r="DJ140" s="20"/>
      <c r="DK140" s="20"/>
      <c r="DL140" s="20"/>
      <c r="DM140" s="20"/>
      <c r="DN140" s="20"/>
      <c r="DO140" s="20"/>
      <c r="DP140" s="20"/>
      <c r="DQ140" s="20"/>
      <c r="DR140" s="20"/>
      <c r="DS140" s="20"/>
      <c r="DT140" s="20"/>
      <c r="DU140" s="20"/>
      <c r="DV140" s="20"/>
      <c r="DW140" s="20"/>
      <c r="DX140" s="20"/>
      <c r="DY140" s="20"/>
      <c r="DZ140" s="20"/>
      <c r="EA140" s="20"/>
      <c r="EB140" s="20"/>
      <c r="EC140" s="20"/>
      <c r="ED140" s="20"/>
      <c r="EE140" s="20"/>
      <c r="EF140" s="20"/>
      <c r="EG140" s="20"/>
      <c r="EH140" s="20"/>
      <c r="EI140" s="20"/>
      <c r="EJ140" s="20"/>
      <c r="EK140" s="20"/>
      <c r="EL140" s="20"/>
      <c r="EM140" s="20"/>
      <c r="EN140" s="20"/>
      <c r="EO140" s="20"/>
      <c r="EP140" s="20"/>
      <c r="EQ140" s="20"/>
      <c r="ER140" s="20"/>
      <c r="ES140" s="20"/>
      <c r="ET140" s="20"/>
      <c r="EU140" s="20"/>
      <c r="EV140" s="20"/>
      <c r="EW140" s="20"/>
      <c r="EX140" s="20"/>
      <c r="EY140" s="20"/>
      <c r="EZ140" s="20"/>
      <c r="FA140" s="20"/>
      <c r="FB140" s="20"/>
      <c r="FC140" s="20"/>
      <c r="FD140" s="20"/>
      <c r="FE140" s="20"/>
      <c r="FF140" s="20"/>
      <c r="FG140" s="20"/>
      <c r="FH140" s="20"/>
      <c r="FI140" s="20"/>
      <c r="FJ140" s="20"/>
      <c r="FK140" s="20"/>
      <c r="FL140" s="20"/>
      <c r="FM140" s="20"/>
      <c r="FN140" s="20"/>
      <c r="FO140" s="20"/>
      <c r="FP140" s="20"/>
      <c r="FQ140" s="20"/>
      <c r="FR140" s="20"/>
      <c r="FS140" s="20"/>
      <c r="FT140" s="20"/>
      <c r="FU140" s="20"/>
      <c r="FV140" s="20"/>
      <c r="FW140" s="20"/>
      <c r="FX140" s="20"/>
      <c r="FY140" s="20"/>
      <c r="FZ140" s="20"/>
      <c r="GA140" s="20"/>
      <c r="GB140" s="20"/>
      <c r="GC140" s="20"/>
      <c r="GD140" s="20"/>
      <c r="GE140" s="20"/>
      <c r="GF140" s="20"/>
      <c r="GG140" s="20"/>
      <c r="GH140" s="20"/>
      <c r="GI140" s="20"/>
      <c r="GJ140" s="20"/>
      <c r="GK140" s="20"/>
      <c r="GL140" s="20"/>
      <c r="GM140" s="20"/>
      <c r="GN140" s="20"/>
      <c r="GO140" s="20"/>
      <c r="GP140" s="20"/>
      <c r="GQ140" s="20"/>
      <c r="GR140" s="20"/>
      <c r="GS140" s="20"/>
      <c r="GT140" s="20"/>
      <c r="GU140" s="20"/>
      <c r="GV140" s="20"/>
      <c r="GW140" s="20"/>
      <c r="GX140" s="20"/>
      <c r="GY140" s="20"/>
      <c r="GZ140" s="20"/>
      <c r="HA140" s="20"/>
      <c r="HB140" s="20"/>
      <c r="HC140" s="20"/>
      <c r="HD140" s="20"/>
      <c r="HE140" s="20"/>
      <c r="HF140" s="20"/>
      <c r="HG140" s="20"/>
      <c r="HH140" s="20"/>
      <c r="HI140" s="20"/>
    </row>
    <row r="141" spans="1:217" ht="13" x14ac:dyDescent="0.15">
      <c r="A141" s="13">
        <v>43148</v>
      </c>
      <c r="B141" s="3" t="s">
        <v>244</v>
      </c>
      <c r="C141" s="16">
        <f t="shared" si="56"/>
        <v>138</v>
      </c>
      <c r="D141" s="3">
        <v>21.310611999999999</v>
      </c>
      <c r="E141" s="3">
        <v>-158.00441000000001</v>
      </c>
      <c r="F141" s="3" t="s">
        <v>197</v>
      </c>
      <c r="G141" s="14">
        <v>0.49861111111111112</v>
      </c>
      <c r="H141" s="14">
        <v>0.56874999999999998</v>
      </c>
      <c r="I141" s="3">
        <v>3</v>
      </c>
      <c r="J141" s="3">
        <v>11</v>
      </c>
      <c r="K141" s="3" t="s">
        <v>198</v>
      </c>
      <c r="L141" s="3">
        <v>11</v>
      </c>
      <c r="M141" s="3">
        <v>29</v>
      </c>
      <c r="N141" s="3" t="s">
        <v>409</v>
      </c>
      <c r="P141" s="3">
        <v>29</v>
      </c>
      <c r="R141" s="3">
        <v>7</v>
      </c>
      <c r="Y141" s="3"/>
      <c r="Z141" s="3"/>
      <c r="AA141" s="3"/>
      <c r="AB141" s="3">
        <v>1</v>
      </c>
      <c r="AE141" s="3">
        <v>19</v>
      </c>
      <c r="AI141" s="3">
        <v>13</v>
      </c>
      <c r="AJ141" s="3"/>
      <c r="AK141" s="3"/>
      <c r="AL141" s="3"/>
      <c r="AM141" s="3">
        <v>7</v>
      </c>
      <c r="AQ141" s="3"/>
      <c r="AR141" s="3">
        <v>2</v>
      </c>
      <c r="AS141" s="3">
        <v>4</v>
      </c>
      <c r="BA141" s="3"/>
      <c r="BB141" s="3">
        <v>5</v>
      </c>
      <c r="BC141" s="3">
        <v>2</v>
      </c>
      <c r="BE141" s="3">
        <v>1</v>
      </c>
      <c r="BM141" s="3">
        <v>30</v>
      </c>
      <c r="BQ141" s="3">
        <v>6</v>
      </c>
      <c r="BU141" s="3">
        <v>4</v>
      </c>
      <c r="BV141" s="3">
        <v>10</v>
      </c>
      <c r="BW141" s="3">
        <v>8</v>
      </c>
      <c r="BX141" s="3">
        <v>7</v>
      </c>
      <c r="BY141" s="3">
        <v>13</v>
      </c>
      <c r="BZ141" s="3">
        <v>36</v>
      </c>
      <c r="CP141" s="3"/>
      <c r="CQ141" s="3"/>
      <c r="CR141" s="3">
        <v>5</v>
      </c>
      <c r="CS141" s="3">
        <v>2</v>
      </c>
      <c r="CT141" s="3">
        <v>3</v>
      </c>
      <c r="CV141" s="3">
        <v>1</v>
      </c>
      <c r="DD141" s="3">
        <v>5</v>
      </c>
      <c r="DF141" s="3"/>
      <c r="DG141" s="3">
        <v>1</v>
      </c>
      <c r="DK141" s="3"/>
      <c r="DL141" s="3">
        <v>2</v>
      </c>
      <c r="DM141" s="3">
        <v>7</v>
      </c>
      <c r="DO141" s="3">
        <v>6</v>
      </c>
      <c r="DT141" s="3"/>
      <c r="DU141" s="3"/>
      <c r="DV141" s="3">
        <v>18</v>
      </c>
      <c r="EC141" s="3">
        <v>4</v>
      </c>
      <c r="EE141" s="3"/>
      <c r="EF141" s="3"/>
      <c r="EG141" s="3"/>
      <c r="EH141" s="3"/>
      <c r="EI141" s="3"/>
      <c r="EJ141" s="3">
        <v>161</v>
      </c>
      <c r="EO141" s="3">
        <v>8</v>
      </c>
      <c r="FS141" s="3">
        <v>154</v>
      </c>
      <c r="FV141" s="3"/>
      <c r="FW141" s="3">
        <v>1</v>
      </c>
      <c r="GH141" s="3">
        <f t="shared" ref="GH141:GH144" si="75">COUNT(R141:GG141)</f>
        <v>33</v>
      </c>
      <c r="GI141" s="3">
        <f t="shared" ref="GI141:GI144" si="76">COUNTIF(R141:GG141,"&gt;=2")</f>
        <v>28</v>
      </c>
      <c r="GJ141" s="3">
        <f t="shared" ref="GJ141:GJ144" si="77">COUNTIF(R141:GG141,"&gt;=5")</f>
        <v>20</v>
      </c>
      <c r="GK141" s="3">
        <f t="shared" ref="GK141:GK144" si="78">SUM(R141:GG141)</f>
        <v>553</v>
      </c>
      <c r="GL141" s="3">
        <f t="shared" ref="GL141:GL144" si="79">25*P141</f>
        <v>725</v>
      </c>
      <c r="GM141" s="3">
        <f t="shared" ref="GM141:GM144" si="80">GL141-GK141</f>
        <v>172</v>
      </c>
    </row>
    <row r="142" spans="1:217" ht="13" x14ac:dyDescent="0.15">
      <c r="A142" s="24">
        <v>43160</v>
      </c>
      <c r="B142" s="25" t="s">
        <v>219</v>
      </c>
      <c r="C142" s="16">
        <f t="shared" si="56"/>
        <v>139</v>
      </c>
      <c r="D142" s="25">
        <v>21.295798999999999</v>
      </c>
      <c r="E142" s="25">
        <v>-158.10369900000001</v>
      </c>
      <c r="F142" s="25" t="s">
        <v>333</v>
      </c>
      <c r="G142" s="26">
        <v>0.375</v>
      </c>
      <c r="H142" s="26">
        <v>0.4513888888888889</v>
      </c>
      <c r="I142" s="25">
        <v>10</v>
      </c>
      <c r="J142" s="25">
        <v>10</v>
      </c>
      <c r="K142" s="25" t="s">
        <v>318</v>
      </c>
      <c r="L142" s="25">
        <v>5</v>
      </c>
      <c r="M142" s="25">
        <v>46</v>
      </c>
      <c r="N142" s="25" t="s">
        <v>410</v>
      </c>
      <c r="O142" s="25"/>
      <c r="P142" s="25"/>
      <c r="Q142" s="25"/>
      <c r="R142" s="25">
        <v>4</v>
      </c>
      <c r="S142" s="25"/>
      <c r="T142" s="25"/>
      <c r="U142" s="25"/>
      <c r="V142" s="25"/>
      <c r="W142" s="25"/>
      <c r="X142" s="25">
        <v>4</v>
      </c>
      <c r="Y142" s="25"/>
      <c r="Z142" s="25">
        <v>12</v>
      </c>
      <c r="AA142" s="25"/>
      <c r="AB142" s="25">
        <v>10</v>
      </c>
      <c r="AC142" s="25">
        <v>20</v>
      </c>
      <c r="AD142" s="25"/>
      <c r="AE142" s="25">
        <v>5</v>
      </c>
      <c r="AF142" s="25"/>
      <c r="AG142" s="25"/>
      <c r="AH142" s="25"/>
      <c r="AI142" s="25">
        <v>10</v>
      </c>
      <c r="AJ142" s="25"/>
      <c r="AK142" s="25"/>
      <c r="AL142" s="25"/>
      <c r="AM142" s="25"/>
      <c r="AN142" s="25">
        <v>11</v>
      </c>
      <c r="AO142" s="25"/>
      <c r="AP142" s="25"/>
      <c r="AQ142" s="25"/>
      <c r="AR142" s="25"/>
      <c r="AS142" s="25"/>
      <c r="AT142" s="25"/>
      <c r="AU142" s="25"/>
      <c r="AV142" s="25"/>
      <c r="AW142" s="25"/>
      <c r="AX142" s="25"/>
      <c r="AY142" s="25"/>
      <c r="AZ142" s="25"/>
      <c r="BA142" s="25"/>
      <c r="BB142" s="25"/>
      <c r="BC142" s="25">
        <v>33</v>
      </c>
      <c r="BD142" s="25">
        <v>8</v>
      </c>
      <c r="BE142" s="25">
        <v>6</v>
      </c>
      <c r="BF142" s="25"/>
      <c r="BG142" s="25"/>
      <c r="BH142" s="25"/>
      <c r="BI142" s="25"/>
      <c r="BJ142" s="25"/>
      <c r="BK142" s="25"/>
      <c r="BL142" s="25"/>
      <c r="BM142" s="25">
        <v>14</v>
      </c>
      <c r="BN142" s="25">
        <v>45</v>
      </c>
      <c r="BO142" s="25"/>
      <c r="BP142" s="25"/>
      <c r="BQ142" s="25">
        <v>42</v>
      </c>
      <c r="BR142" s="25"/>
      <c r="BS142" s="25"/>
      <c r="BT142" s="25"/>
      <c r="BU142" s="25"/>
      <c r="BV142" s="25">
        <v>44</v>
      </c>
      <c r="BW142" s="25"/>
      <c r="BX142" s="25"/>
      <c r="BY142" s="25"/>
      <c r="BZ142" s="25">
        <v>25</v>
      </c>
      <c r="CA142" s="25"/>
      <c r="CB142" s="25"/>
      <c r="CC142" s="25"/>
      <c r="CD142" s="25"/>
      <c r="CE142" s="25"/>
      <c r="CF142" s="25"/>
      <c r="CG142" s="25"/>
      <c r="CH142" s="25"/>
      <c r="CI142" s="25"/>
      <c r="CJ142" s="25"/>
      <c r="CK142" s="25"/>
      <c r="CL142" s="25"/>
      <c r="CM142" s="25"/>
      <c r="CN142" s="25"/>
      <c r="CO142" s="25"/>
      <c r="CP142" s="25"/>
      <c r="CQ142" s="25"/>
      <c r="CR142" s="25"/>
      <c r="CS142" s="25">
        <v>51</v>
      </c>
      <c r="CT142" s="25"/>
      <c r="CU142" s="25">
        <v>1</v>
      </c>
      <c r="CV142" s="25"/>
      <c r="CW142" s="25"/>
      <c r="CX142" s="25"/>
      <c r="CY142" s="25"/>
      <c r="CZ142" s="25"/>
      <c r="DA142" s="25"/>
      <c r="DB142" s="25"/>
      <c r="DC142" s="25"/>
      <c r="DD142" s="25">
        <v>3</v>
      </c>
      <c r="DE142" s="25"/>
      <c r="DF142" s="25"/>
      <c r="DG142" s="25">
        <v>1</v>
      </c>
      <c r="DH142" s="25"/>
      <c r="DI142" s="25"/>
      <c r="DJ142" s="25"/>
      <c r="DK142" s="25"/>
      <c r="DL142" s="25"/>
      <c r="DM142" s="25">
        <v>23</v>
      </c>
      <c r="DN142" s="25">
        <v>1</v>
      </c>
      <c r="DO142" s="25">
        <v>1</v>
      </c>
      <c r="DP142" s="25">
        <v>1</v>
      </c>
      <c r="DQ142" s="25"/>
      <c r="DR142" s="25"/>
      <c r="DS142" s="25">
        <v>5</v>
      </c>
      <c r="DT142" s="25"/>
      <c r="DU142" s="25"/>
      <c r="DV142" s="25">
        <v>4</v>
      </c>
      <c r="DW142" s="25"/>
      <c r="DX142" s="25"/>
      <c r="DY142" s="25"/>
      <c r="DZ142" s="25"/>
      <c r="EA142" s="25"/>
      <c r="EB142" s="25"/>
      <c r="EC142" s="25">
        <v>40</v>
      </c>
      <c r="ED142" s="25"/>
      <c r="EE142" s="25"/>
      <c r="EF142" s="25"/>
      <c r="EG142" s="25"/>
      <c r="EH142" s="25"/>
      <c r="EI142" s="25"/>
      <c r="EJ142" s="25">
        <v>310</v>
      </c>
      <c r="EK142" s="25"/>
      <c r="EL142" s="25"/>
      <c r="EM142" s="25"/>
      <c r="EN142" s="25"/>
      <c r="EO142" s="25"/>
      <c r="EP142" s="25"/>
      <c r="EQ142" s="25"/>
      <c r="ER142" s="25"/>
      <c r="ES142" s="25"/>
      <c r="ET142" s="25"/>
      <c r="EU142" s="25"/>
      <c r="EV142" s="25"/>
      <c r="EW142" s="25"/>
      <c r="EX142" s="25"/>
      <c r="EY142" s="25"/>
      <c r="EZ142" s="25"/>
      <c r="FA142" s="25"/>
      <c r="FB142" s="25">
        <v>15</v>
      </c>
      <c r="FC142" s="25"/>
      <c r="FD142" s="25"/>
      <c r="FE142" s="25"/>
      <c r="FF142" s="25">
        <v>3</v>
      </c>
      <c r="FG142" s="25"/>
      <c r="FH142" s="25"/>
      <c r="FI142" s="25">
        <v>15</v>
      </c>
      <c r="FJ142" s="25"/>
      <c r="FK142" s="25"/>
      <c r="FL142" s="25"/>
      <c r="FM142" s="25"/>
      <c r="FN142" s="25"/>
      <c r="FO142" s="25"/>
      <c r="FP142" s="25"/>
      <c r="FQ142" s="25"/>
      <c r="FR142" s="25"/>
      <c r="FS142" s="25">
        <v>76</v>
      </c>
      <c r="FT142" s="25"/>
      <c r="FU142" s="25"/>
      <c r="FV142" s="25"/>
      <c r="FW142" s="25"/>
      <c r="FX142" s="25"/>
      <c r="FY142" s="25"/>
      <c r="FZ142" s="25"/>
      <c r="GA142" s="25"/>
      <c r="GB142" s="25"/>
      <c r="GC142" s="25"/>
      <c r="GD142" s="25"/>
      <c r="GE142" s="25"/>
      <c r="GF142" s="25"/>
      <c r="GG142" s="25">
        <v>1</v>
      </c>
      <c r="GH142" s="25">
        <f t="shared" si="75"/>
        <v>33</v>
      </c>
      <c r="GI142" s="25">
        <f t="shared" si="76"/>
        <v>27</v>
      </c>
      <c r="GJ142" s="25">
        <f t="shared" si="77"/>
        <v>22</v>
      </c>
      <c r="GK142" s="25">
        <f t="shared" si="78"/>
        <v>844</v>
      </c>
      <c r="GL142" s="25">
        <f t="shared" si="79"/>
        <v>0</v>
      </c>
      <c r="GM142" s="25">
        <f t="shared" si="80"/>
        <v>-844</v>
      </c>
      <c r="GN142" s="25"/>
      <c r="GO142" s="25"/>
      <c r="GP142" s="25"/>
      <c r="GQ142" s="25"/>
      <c r="GR142" s="25"/>
      <c r="GS142" s="25"/>
      <c r="GT142" s="25"/>
      <c r="GU142" s="25"/>
      <c r="GV142" s="25"/>
      <c r="GW142" s="25"/>
      <c r="GX142" s="25"/>
      <c r="GY142" s="25"/>
      <c r="GZ142" s="25"/>
      <c r="HA142" s="25"/>
      <c r="HB142" s="25"/>
      <c r="HC142" s="25"/>
      <c r="HD142" s="25"/>
      <c r="HE142" s="25"/>
      <c r="HF142" s="25"/>
      <c r="HG142" s="25"/>
      <c r="HH142" s="25"/>
      <c r="HI142" s="25"/>
    </row>
    <row r="143" spans="1:217" ht="13" x14ac:dyDescent="0.15">
      <c r="A143" s="13">
        <v>43160</v>
      </c>
      <c r="B143" s="3" t="s">
        <v>233</v>
      </c>
      <c r="C143" s="16">
        <f t="shared" si="56"/>
        <v>140</v>
      </c>
      <c r="D143" s="23">
        <v>21.066799</v>
      </c>
      <c r="E143" s="23">
        <v>-156.804993</v>
      </c>
      <c r="F143" s="3" t="s">
        <v>286</v>
      </c>
      <c r="G143" s="14">
        <v>0.39583333333333331</v>
      </c>
      <c r="H143" s="14">
        <v>0.43888888888888888</v>
      </c>
      <c r="I143" s="3">
        <v>4</v>
      </c>
      <c r="J143" s="3">
        <v>9</v>
      </c>
      <c r="K143" s="3" t="s">
        <v>198</v>
      </c>
      <c r="L143" s="3">
        <v>9</v>
      </c>
      <c r="M143" s="3">
        <v>28</v>
      </c>
      <c r="N143" s="3" t="s">
        <v>412</v>
      </c>
      <c r="P143" s="3">
        <v>28</v>
      </c>
      <c r="Y143" s="3"/>
      <c r="Z143" s="3">
        <v>7</v>
      </c>
      <c r="AQ143" s="3"/>
      <c r="BA143" s="3"/>
      <c r="BB143" s="3">
        <v>15</v>
      </c>
      <c r="BI143" s="3"/>
      <c r="BJ143" s="3"/>
      <c r="BK143" s="3"/>
      <c r="BM143" s="3">
        <v>70</v>
      </c>
      <c r="BV143" s="3"/>
      <c r="BZ143" s="3">
        <v>1</v>
      </c>
      <c r="CC143" s="3"/>
      <c r="CD143" s="3"/>
      <c r="CE143" s="3"/>
      <c r="CF143" s="3"/>
      <c r="CI143" s="3"/>
      <c r="CO143" s="3">
        <v>5</v>
      </c>
      <c r="DM143" s="3">
        <v>25</v>
      </c>
      <c r="DX143" s="3"/>
      <c r="EE143" s="3"/>
      <c r="EF143" s="3"/>
      <c r="EJ143" s="3">
        <v>101</v>
      </c>
      <c r="EP143" s="3"/>
      <c r="ES143" s="3"/>
      <c r="FB143" s="3">
        <v>4</v>
      </c>
      <c r="FF143" s="3">
        <v>11</v>
      </c>
      <c r="FG143" s="3"/>
      <c r="FH143" s="3">
        <v>1</v>
      </c>
      <c r="FM143" s="3"/>
      <c r="FS143" s="3">
        <v>6</v>
      </c>
      <c r="GH143" s="3">
        <f t="shared" si="75"/>
        <v>11</v>
      </c>
      <c r="GI143" s="3">
        <f t="shared" si="76"/>
        <v>9</v>
      </c>
      <c r="GJ143" s="3">
        <f t="shared" si="77"/>
        <v>8</v>
      </c>
      <c r="GK143" s="3">
        <f t="shared" si="78"/>
        <v>246</v>
      </c>
      <c r="GL143" s="3">
        <f t="shared" si="79"/>
        <v>700</v>
      </c>
      <c r="GM143" s="3">
        <f t="shared" si="80"/>
        <v>454</v>
      </c>
    </row>
    <row r="144" spans="1:217" ht="13" x14ac:dyDescent="0.15">
      <c r="A144" s="13">
        <v>43163</v>
      </c>
      <c r="B144" s="3" t="s">
        <v>293</v>
      </c>
      <c r="C144" s="16">
        <f t="shared" si="56"/>
        <v>141</v>
      </c>
      <c r="D144" s="3">
        <v>19.738602</v>
      </c>
      <c r="E144" s="3">
        <v>-155.03887900000001</v>
      </c>
      <c r="F144" s="3" t="s">
        <v>197</v>
      </c>
      <c r="G144" s="14">
        <v>0.42708333333333331</v>
      </c>
      <c r="H144" s="14">
        <v>0.53125</v>
      </c>
      <c r="I144" s="3">
        <v>3</v>
      </c>
      <c r="J144" s="3">
        <v>21</v>
      </c>
      <c r="K144" s="3" t="s">
        <v>415</v>
      </c>
      <c r="L144" s="3">
        <v>14</v>
      </c>
      <c r="M144" s="3">
        <v>25</v>
      </c>
      <c r="N144" s="3" t="s">
        <v>416</v>
      </c>
      <c r="P144" s="3">
        <v>25</v>
      </c>
      <c r="AQ144" s="3">
        <v>1</v>
      </c>
      <c r="BI144" s="3"/>
      <c r="BJ144" s="3"/>
      <c r="BK144" s="3">
        <v>2</v>
      </c>
      <c r="BM144" s="3">
        <v>79</v>
      </c>
      <c r="BV144" s="3">
        <v>2</v>
      </c>
      <c r="CC144" s="3">
        <v>9</v>
      </c>
      <c r="CD144" s="3">
        <v>2</v>
      </c>
      <c r="CE144" s="3">
        <v>2</v>
      </c>
      <c r="CF144" s="3">
        <v>1</v>
      </c>
      <c r="CI144" s="3">
        <v>1</v>
      </c>
      <c r="CO144" s="3">
        <v>8</v>
      </c>
      <c r="DX144" s="3">
        <v>6</v>
      </c>
      <c r="EE144" s="3"/>
      <c r="EF144" s="3">
        <v>2</v>
      </c>
      <c r="EP144" s="3">
        <v>1</v>
      </c>
      <c r="ES144" s="3">
        <v>5</v>
      </c>
      <c r="FG144" s="3">
        <v>1</v>
      </c>
      <c r="FM144" s="3">
        <v>65</v>
      </c>
      <c r="FS144" s="3">
        <v>236</v>
      </c>
      <c r="GH144" s="3">
        <f t="shared" si="75"/>
        <v>17</v>
      </c>
      <c r="GI144" s="3">
        <f t="shared" si="76"/>
        <v>12</v>
      </c>
      <c r="GJ144" s="3">
        <f t="shared" si="77"/>
        <v>7</v>
      </c>
      <c r="GK144" s="3">
        <f t="shared" si="78"/>
        <v>423</v>
      </c>
      <c r="GL144" s="3">
        <f t="shared" si="79"/>
        <v>625</v>
      </c>
      <c r="GM144" s="3">
        <f t="shared" si="80"/>
        <v>202</v>
      </c>
    </row>
    <row r="145" spans="1:217" ht="13" x14ac:dyDescent="0.15">
      <c r="A145" s="27">
        <v>43175</v>
      </c>
      <c r="B145" s="28" t="s">
        <v>230</v>
      </c>
      <c r="C145" s="16">
        <f t="shared" si="56"/>
        <v>142</v>
      </c>
      <c r="D145" s="28">
        <v>20.753699999999998</v>
      </c>
      <c r="E145" s="28">
        <v>-156.46090699999999</v>
      </c>
      <c r="F145" s="28" t="s">
        <v>513</v>
      </c>
      <c r="G145" s="29">
        <v>0.41666666666666669</v>
      </c>
      <c r="H145" s="29">
        <v>0.5</v>
      </c>
      <c r="I145" s="28">
        <v>5</v>
      </c>
      <c r="J145" s="28">
        <v>20</v>
      </c>
      <c r="K145" s="28" t="s">
        <v>198</v>
      </c>
      <c r="L145" s="28">
        <v>8</v>
      </c>
      <c r="M145" s="28">
        <v>5</v>
      </c>
      <c r="N145" s="28" t="s">
        <v>514</v>
      </c>
      <c r="O145" s="28"/>
      <c r="P145" s="28"/>
      <c r="Q145" s="28"/>
      <c r="R145" s="28">
        <v>1</v>
      </c>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v>3</v>
      </c>
      <c r="BL145" s="28"/>
      <c r="BM145" s="28"/>
      <c r="BN145" s="28"/>
      <c r="BO145" s="28"/>
      <c r="BP145" s="28"/>
      <c r="BQ145" s="28"/>
      <c r="BR145" s="28"/>
      <c r="BS145" s="28"/>
      <c r="BT145" s="28"/>
      <c r="BU145" s="28"/>
      <c r="BV145" s="28"/>
      <c r="BW145" s="28"/>
      <c r="BX145" s="28"/>
      <c r="BY145" s="28"/>
      <c r="BZ145" s="28"/>
      <c r="CA145" s="28"/>
      <c r="CB145" s="28"/>
      <c r="CC145" s="28">
        <v>1</v>
      </c>
      <c r="CD145" s="28">
        <v>1</v>
      </c>
      <c r="CE145" s="28"/>
      <c r="CF145" s="28"/>
      <c r="CG145" s="28"/>
      <c r="CH145" s="28"/>
      <c r="CI145" s="28"/>
      <c r="CJ145" s="28"/>
      <c r="CK145" s="28"/>
      <c r="CL145" s="28"/>
      <c r="CM145" s="28"/>
      <c r="CN145" s="28"/>
      <c r="CO145" s="28"/>
      <c r="CP145" s="28"/>
      <c r="CQ145" s="28"/>
      <c r="CR145" s="28"/>
      <c r="CS145" s="28"/>
      <c r="CT145" s="28"/>
      <c r="CU145" s="28"/>
      <c r="CV145" s="28"/>
      <c r="CW145" s="28"/>
      <c r="CX145" s="28"/>
      <c r="CY145" s="28"/>
      <c r="CZ145" s="28"/>
      <c r="DA145" s="28"/>
      <c r="DB145" s="28"/>
      <c r="DC145" s="28"/>
      <c r="DD145" s="28"/>
      <c r="DE145" s="28"/>
      <c r="DF145" s="28"/>
      <c r="DG145" s="28"/>
      <c r="DH145" s="28"/>
      <c r="DI145" s="28"/>
      <c r="DJ145" s="28"/>
      <c r="DK145" s="28"/>
      <c r="DL145" s="28"/>
      <c r="DM145" s="28"/>
      <c r="DN145" s="28"/>
      <c r="DO145" s="28"/>
      <c r="DP145" s="28"/>
      <c r="DQ145" s="28"/>
      <c r="DR145" s="28"/>
      <c r="DS145" s="28"/>
      <c r="DT145" s="28"/>
      <c r="DU145" s="28"/>
      <c r="DV145" s="28"/>
      <c r="DW145" s="28"/>
      <c r="DX145" s="28"/>
      <c r="DY145" s="28"/>
      <c r="DZ145" s="28"/>
      <c r="EA145" s="28"/>
      <c r="EB145" s="28"/>
      <c r="EC145" s="28"/>
      <c r="ED145" s="28"/>
      <c r="EE145" s="28"/>
      <c r="EF145" s="28"/>
      <c r="EG145" s="28"/>
      <c r="EH145" s="28"/>
      <c r="EI145" s="28"/>
      <c r="EJ145" s="28"/>
      <c r="EK145" s="28"/>
      <c r="EL145" s="28"/>
      <c r="EM145" s="28"/>
      <c r="EN145" s="28"/>
      <c r="EO145" s="28"/>
      <c r="EP145" s="28"/>
      <c r="EQ145" s="28"/>
      <c r="ER145" s="28"/>
      <c r="ES145" s="28"/>
      <c r="ET145" s="28"/>
      <c r="EU145" s="28"/>
      <c r="EV145" s="28"/>
      <c r="EW145" s="28"/>
      <c r="EX145" s="28">
        <v>1</v>
      </c>
      <c r="EY145" s="28"/>
      <c r="EZ145" s="28"/>
      <c r="FA145" s="28"/>
      <c r="FB145" s="28"/>
      <c r="FC145" s="28"/>
      <c r="FD145" s="28"/>
      <c r="FE145" s="28"/>
      <c r="FF145" s="28"/>
      <c r="FG145" s="28"/>
      <c r="FH145" s="28"/>
      <c r="FI145" s="28"/>
      <c r="FJ145" s="28"/>
      <c r="FK145" s="28"/>
      <c r="FL145" s="28"/>
      <c r="FM145" s="28"/>
      <c r="FN145" s="28"/>
      <c r="FO145" s="28"/>
      <c r="FP145" s="28"/>
      <c r="FQ145" s="28"/>
      <c r="FR145" s="28"/>
      <c r="FS145" s="28">
        <v>1</v>
      </c>
      <c r="FT145" s="28"/>
      <c r="FU145" s="28"/>
      <c r="FV145" s="28"/>
      <c r="FW145" s="28"/>
      <c r="FX145" s="28"/>
      <c r="FY145" s="28"/>
      <c r="FZ145" s="28"/>
      <c r="GA145" s="28"/>
      <c r="GB145" s="28"/>
      <c r="GC145" s="28"/>
      <c r="GD145" s="28"/>
      <c r="GE145" s="28"/>
      <c r="GF145" s="28"/>
      <c r="GG145" s="28"/>
      <c r="GH145" s="28"/>
      <c r="GI145" s="28"/>
      <c r="GJ145" s="28"/>
      <c r="GK145" s="28"/>
      <c r="GL145" s="28"/>
      <c r="GM145" s="28"/>
      <c r="GN145" s="28"/>
      <c r="GO145" s="28"/>
      <c r="GP145" s="28"/>
      <c r="GQ145" s="28"/>
      <c r="GR145" s="28"/>
      <c r="GS145" s="28"/>
      <c r="GT145" s="28"/>
      <c r="GU145" s="28"/>
      <c r="GV145" s="28"/>
      <c r="GW145" s="28"/>
      <c r="GX145" s="28"/>
      <c r="GY145" s="28"/>
      <c r="GZ145" s="28"/>
      <c r="HA145" s="28"/>
      <c r="HB145" s="28"/>
      <c r="HC145" s="28"/>
      <c r="HD145" s="28"/>
      <c r="HE145" s="28"/>
      <c r="HF145" s="28"/>
      <c r="HG145" s="28"/>
      <c r="HH145" s="28"/>
      <c r="HI145" s="28"/>
    </row>
    <row r="146" spans="1:217" ht="13" x14ac:dyDescent="0.15">
      <c r="A146" s="13">
        <v>43207</v>
      </c>
      <c r="B146" s="3" t="s">
        <v>244</v>
      </c>
      <c r="C146" s="16">
        <f t="shared" si="56"/>
        <v>143</v>
      </c>
      <c r="D146" s="3">
        <v>21.310611999999999</v>
      </c>
      <c r="E146" s="3">
        <v>-158.00441000000001</v>
      </c>
      <c r="F146" s="3" t="s">
        <v>326</v>
      </c>
      <c r="G146" s="14">
        <v>0.38541666666666669</v>
      </c>
      <c r="H146" s="14">
        <v>0.44444444444444442</v>
      </c>
      <c r="I146" s="3">
        <v>9</v>
      </c>
      <c r="J146" s="3">
        <v>8</v>
      </c>
      <c r="K146" s="3" t="s">
        <v>198</v>
      </c>
      <c r="L146" s="3">
        <v>5</v>
      </c>
      <c r="M146" s="3">
        <v>30</v>
      </c>
      <c r="N146" s="3" t="s">
        <v>417</v>
      </c>
      <c r="O146" s="3" t="s">
        <v>396</v>
      </c>
      <c r="P146" s="3">
        <v>30</v>
      </c>
      <c r="U146" s="3"/>
      <c r="V146" s="3"/>
      <c r="W146" s="3"/>
      <c r="X146" s="3">
        <v>2</v>
      </c>
      <c r="AA146" s="3"/>
      <c r="AB146" s="3">
        <v>22</v>
      </c>
      <c r="AE146" s="3">
        <v>6</v>
      </c>
      <c r="AI146" s="3">
        <v>7</v>
      </c>
      <c r="BC146" s="3">
        <v>2</v>
      </c>
      <c r="BE146" s="3">
        <v>24</v>
      </c>
      <c r="BM146" s="3">
        <v>27</v>
      </c>
      <c r="BV146" s="3">
        <v>9</v>
      </c>
      <c r="BZ146" s="3">
        <v>10</v>
      </c>
      <c r="CJ146" s="3"/>
      <c r="CK146" s="3">
        <v>19</v>
      </c>
      <c r="CS146" s="3">
        <v>1</v>
      </c>
      <c r="DM146" s="3">
        <v>7</v>
      </c>
      <c r="DO146" s="3">
        <v>1</v>
      </c>
      <c r="DT146" s="3"/>
      <c r="DU146" s="3"/>
      <c r="DV146" s="3">
        <v>21</v>
      </c>
      <c r="DZ146" s="3">
        <v>1</v>
      </c>
      <c r="EC146" s="3">
        <v>5</v>
      </c>
      <c r="EG146" s="3"/>
      <c r="EH146" s="3"/>
      <c r="EI146" s="3"/>
      <c r="EJ146" s="3">
        <v>306</v>
      </c>
      <c r="FB146" s="3">
        <v>11</v>
      </c>
      <c r="FI146" s="3">
        <v>1</v>
      </c>
      <c r="FS146" s="3">
        <v>90</v>
      </c>
      <c r="FV146" s="3"/>
      <c r="FW146" s="3">
        <v>4</v>
      </c>
      <c r="GH146" s="3">
        <f>COUNT(R146:GG146)</f>
        <v>21</v>
      </c>
      <c r="GI146" s="3">
        <f>COUNTIF(R146:GG146,"&gt;=2")</f>
        <v>17</v>
      </c>
      <c r="GJ146" s="3">
        <f>COUNTIF(R146:GG146,"&gt;=5")</f>
        <v>14</v>
      </c>
      <c r="GK146" s="3">
        <f>SUM(R146:GG146)</f>
        <v>576</v>
      </c>
      <c r="GL146" s="3">
        <f>25*P146</f>
        <v>750</v>
      </c>
      <c r="GM146" s="3">
        <f>GL146-GK146</f>
        <v>174</v>
      </c>
    </row>
    <row r="147" spans="1:217" ht="13" x14ac:dyDescent="0.15">
      <c r="A147" s="27">
        <v>43208</v>
      </c>
      <c r="B147" s="28" t="s">
        <v>515</v>
      </c>
      <c r="C147" s="16">
        <f t="shared" si="56"/>
        <v>144</v>
      </c>
      <c r="D147" s="28">
        <v>19.135919999999999</v>
      </c>
      <c r="E147" s="28">
        <v>-155.504684</v>
      </c>
      <c r="F147" s="28" t="s">
        <v>383</v>
      </c>
      <c r="G147" s="29">
        <v>0.41111111111111109</v>
      </c>
      <c r="H147" s="29">
        <v>0.4513888888888889</v>
      </c>
      <c r="I147" s="28">
        <v>5</v>
      </c>
      <c r="J147" s="28">
        <v>20</v>
      </c>
      <c r="K147" s="28" t="s">
        <v>198</v>
      </c>
      <c r="L147" s="28">
        <v>5</v>
      </c>
      <c r="M147" s="28">
        <v>25</v>
      </c>
      <c r="N147" s="28"/>
      <c r="O147" s="28"/>
      <c r="P147" s="28"/>
      <c r="Q147" s="28"/>
      <c r="R147" s="28"/>
      <c r="S147" s="28"/>
      <c r="T147" s="28">
        <v>9</v>
      </c>
      <c r="U147" s="28"/>
      <c r="V147" s="28"/>
      <c r="W147" s="28"/>
      <c r="X147" s="28"/>
      <c r="Y147" s="28"/>
      <c r="Z147" s="28"/>
      <c r="AA147" s="28"/>
      <c r="AB147" s="28">
        <v>13</v>
      </c>
      <c r="AC147" s="28"/>
      <c r="AD147" s="28"/>
      <c r="AE147" s="28"/>
      <c r="AF147" s="28">
        <v>3</v>
      </c>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v>18</v>
      </c>
      <c r="BC147" s="28"/>
      <c r="BD147" s="28"/>
      <c r="BE147" s="28"/>
      <c r="BF147" s="28"/>
      <c r="BG147" s="28"/>
      <c r="BH147" s="28"/>
      <c r="BI147" s="28"/>
      <c r="BJ147" s="28"/>
      <c r="BK147" s="28"/>
      <c r="BL147" s="28"/>
      <c r="BM147" s="28">
        <v>14</v>
      </c>
      <c r="BN147" s="28"/>
      <c r="BO147" s="28"/>
      <c r="BP147" s="28"/>
      <c r="BQ147" s="28"/>
      <c r="BR147" s="28"/>
      <c r="BS147" s="28"/>
      <c r="BT147" s="28"/>
      <c r="BU147" s="28"/>
      <c r="BV147" s="28"/>
      <c r="BW147" s="28"/>
      <c r="BX147" s="28"/>
      <c r="BY147" s="28"/>
      <c r="BZ147" s="28"/>
      <c r="CA147" s="28"/>
      <c r="CB147" s="28"/>
      <c r="CC147" s="28">
        <v>1</v>
      </c>
      <c r="CD147" s="28"/>
      <c r="CE147" s="28">
        <v>2</v>
      </c>
      <c r="CF147" s="28"/>
      <c r="CG147" s="28"/>
      <c r="CH147" s="28"/>
      <c r="CI147" s="28"/>
      <c r="CJ147" s="28"/>
      <c r="CK147" s="28"/>
      <c r="CL147" s="28"/>
      <c r="CM147" s="28"/>
      <c r="CN147" s="28"/>
      <c r="CO147" s="28"/>
      <c r="CP147" s="28"/>
      <c r="CQ147" s="28"/>
      <c r="CR147" s="28"/>
      <c r="CS147" s="28"/>
      <c r="CT147" s="28"/>
      <c r="CU147" s="28"/>
      <c r="CV147" s="28"/>
      <c r="CW147" s="28"/>
      <c r="CX147" s="28"/>
      <c r="CY147" s="28"/>
      <c r="CZ147" s="28"/>
      <c r="DA147" s="28"/>
      <c r="DB147" s="28"/>
      <c r="DC147" s="28"/>
      <c r="DD147" s="28"/>
      <c r="DE147" s="28"/>
      <c r="DF147" s="28"/>
      <c r="DG147" s="28"/>
      <c r="DH147" s="28">
        <v>38</v>
      </c>
      <c r="DI147" s="28"/>
      <c r="DJ147" s="28"/>
      <c r="DK147" s="28"/>
      <c r="DL147" s="28"/>
      <c r="DM147" s="28"/>
      <c r="DN147" s="28"/>
      <c r="DO147" s="28"/>
      <c r="DP147" s="28">
        <v>14</v>
      </c>
      <c r="DQ147" s="28"/>
      <c r="DR147" s="28"/>
      <c r="DS147" s="28"/>
      <c r="DT147" s="28"/>
      <c r="DU147" s="28"/>
      <c r="DV147" s="28"/>
      <c r="DW147" s="28"/>
      <c r="DX147" s="28"/>
      <c r="DY147" s="28"/>
      <c r="DZ147" s="28"/>
      <c r="EA147" s="28"/>
      <c r="EB147" s="28"/>
      <c r="EC147" s="28"/>
      <c r="ED147" s="28"/>
      <c r="EE147" s="28"/>
      <c r="EF147" s="28">
        <v>5</v>
      </c>
      <c r="EG147" s="28"/>
      <c r="EH147" s="28"/>
      <c r="EI147" s="28"/>
      <c r="EJ147" s="28"/>
      <c r="EK147" s="28"/>
      <c r="EL147" s="28"/>
      <c r="EM147" s="28"/>
      <c r="EN147" s="28"/>
      <c r="EO147" s="28"/>
      <c r="EP147" s="28"/>
      <c r="EQ147" s="28"/>
      <c r="ER147" s="28"/>
      <c r="ES147" s="28"/>
      <c r="ET147" s="28"/>
      <c r="EU147" s="28"/>
      <c r="EV147" s="28"/>
      <c r="EW147" s="28"/>
      <c r="EX147" s="28">
        <v>16</v>
      </c>
      <c r="EY147" s="28"/>
      <c r="EZ147" s="28"/>
      <c r="FA147" s="28"/>
      <c r="FB147" s="28"/>
      <c r="FC147" s="28"/>
      <c r="FD147" s="28"/>
      <c r="FE147" s="28"/>
      <c r="FF147" s="28"/>
      <c r="FG147" s="28"/>
      <c r="FH147" s="28"/>
      <c r="FI147" s="28"/>
      <c r="FJ147" s="28"/>
      <c r="FK147" s="28"/>
      <c r="FL147" s="28"/>
      <c r="FM147" s="28"/>
      <c r="FN147" s="28"/>
      <c r="FO147" s="28"/>
      <c r="FP147" s="28"/>
      <c r="FQ147" s="28"/>
      <c r="FR147" s="28"/>
      <c r="FS147" s="28">
        <v>458</v>
      </c>
      <c r="FT147" s="28"/>
      <c r="FU147" s="28"/>
      <c r="FV147" s="28"/>
      <c r="FW147" s="28"/>
      <c r="FX147" s="28"/>
      <c r="FY147" s="28"/>
      <c r="FZ147" s="28"/>
      <c r="GA147" s="28"/>
      <c r="GB147" s="28"/>
      <c r="GC147" s="28"/>
      <c r="GD147" s="28"/>
      <c r="GE147" s="28"/>
      <c r="GF147" s="28"/>
      <c r="GG147" s="28"/>
      <c r="GH147" s="28"/>
      <c r="GI147" s="28"/>
      <c r="GJ147" s="28"/>
      <c r="GK147" s="28"/>
      <c r="GL147" s="28"/>
      <c r="GM147" s="28"/>
      <c r="GN147" s="28"/>
      <c r="GO147" s="28"/>
      <c r="GP147" s="28"/>
      <c r="GQ147" s="28"/>
      <c r="GR147" s="28"/>
      <c r="GS147" s="28"/>
      <c r="GT147" s="28"/>
      <c r="GU147" s="28"/>
      <c r="GV147" s="28"/>
      <c r="GW147" s="28"/>
      <c r="GX147" s="28"/>
      <c r="GY147" s="28"/>
      <c r="GZ147" s="28"/>
      <c r="HA147" s="28"/>
      <c r="HB147" s="28"/>
      <c r="HC147" s="28"/>
      <c r="HD147" s="28"/>
      <c r="HE147" s="28"/>
      <c r="HF147" s="28"/>
      <c r="HG147" s="28"/>
      <c r="HH147" s="28"/>
      <c r="HI147" s="28"/>
    </row>
    <row r="148" spans="1:217" ht="13" x14ac:dyDescent="0.15">
      <c r="A148" s="90">
        <v>43209</v>
      </c>
      <c r="B148" s="20" t="s">
        <v>250</v>
      </c>
      <c r="C148" s="16"/>
      <c r="D148" s="20"/>
      <c r="E148" s="20"/>
      <c r="F148" s="20"/>
      <c r="G148" s="21"/>
      <c r="H148" s="21"/>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c r="CF148" s="20"/>
      <c r="CG148" s="20"/>
      <c r="CH148" s="20"/>
      <c r="CI148" s="20"/>
      <c r="CJ148" s="20"/>
      <c r="CK148" s="20"/>
      <c r="CL148" s="20"/>
      <c r="CM148" s="20"/>
      <c r="CN148" s="20"/>
      <c r="CO148" s="20"/>
      <c r="CP148" s="20"/>
      <c r="CQ148" s="20"/>
      <c r="CR148" s="20"/>
      <c r="CS148" s="20"/>
      <c r="CT148" s="20"/>
      <c r="CU148" s="20"/>
      <c r="CV148" s="20"/>
      <c r="CW148" s="20"/>
      <c r="CX148" s="20"/>
      <c r="CY148" s="20"/>
      <c r="CZ148" s="20"/>
      <c r="DA148" s="20"/>
      <c r="DB148" s="20"/>
      <c r="DC148" s="20"/>
      <c r="DD148" s="20"/>
      <c r="DE148" s="20"/>
      <c r="DF148" s="20"/>
      <c r="DG148" s="20"/>
      <c r="DH148" s="20"/>
      <c r="DI148" s="20"/>
      <c r="DJ148" s="20"/>
      <c r="DK148" s="20"/>
      <c r="DL148" s="20"/>
      <c r="DM148" s="20"/>
      <c r="DN148" s="20"/>
      <c r="DO148" s="20"/>
      <c r="DP148" s="20"/>
      <c r="DQ148" s="20"/>
      <c r="DR148" s="20"/>
      <c r="DS148" s="20"/>
      <c r="DT148" s="20"/>
      <c r="DU148" s="20"/>
      <c r="DV148" s="20"/>
      <c r="DW148" s="20"/>
      <c r="DX148" s="20"/>
      <c r="DY148" s="20"/>
      <c r="DZ148" s="20"/>
      <c r="EA148" s="20"/>
      <c r="EB148" s="20"/>
      <c r="EC148" s="20"/>
      <c r="ED148" s="20"/>
      <c r="EE148" s="20"/>
      <c r="EF148" s="20"/>
      <c r="EG148" s="20"/>
      <c r="EH148" s="20"/>
      <c r="EI148" s="20"/>
      <c r="EJ148" s="20"/>
      <c r="EK148" s="20"/>
      <c r="EL148" s="20"/>
      <c r="EM148" s="20"/>
      <c r="EN148" s="20"/>
      <c r="EO148" s="20"/>
      <c r="EP148" s="20"/>
      <c r="EQ148" s="20"/>
      <c r="ER148" s="20"/>
      <c r="ES148" s="20"/>
      <c r="ET148" s="20"/>
      <c r="EU148" s="20"/>
      <c r="EV148" s="20"/>
      <c r="EW148" s="20"/>
      <c r="EX148" s="20"/>
      <c r="EY148" s="20"/>
      <c r="EZ148" s="20"/>
      <c r="FA148" s="20"/>
      <c r="FB148" s="20"/>
      <c r="FC148" s="20"/>
      <c r="FD148" s="20"/>
      <c r="FE148" s="20"/>
      <c r="FF148" s="20"/>
      <c r="FG148" s="20"/>
      <c r="FH148" s="20"/>
      <c r="FI148" s="20"/>
      <c r="FJ148" s="20"/>
      <c r="FK148" s="20"/>
      <c r="FL148" s="20"/>
      <c r="FM148" s="20"/>
      <c r="FN148" s="20"/>
      <c r="FO148" s="20"/>
      <c r="FP148" s="20"/>
      <c r="FQ148" s="20"/>
      <c r="FR148" s="20"/>
      <c r="FS148" s="20"/>
      <c r="FT148" s="20"/>
      <c r="FU148" s="20"/>
      <c r="FV148" s="20"/>
      <c r="FW148" s="20"/>
      <c r="FX148" s="20"/>
      <c r="FY148" s="20"/>
      <c r="FZ148" s="20"/>
      <c r="GA148" s="20"/>
      <c r="GB148" s="20"/>
      <c r="GC148" s="20"/>
      <c r="GD148" s="20"/>
      <c r="GE148" s="20"/>
      <c r="GF148" s="20"/>
      <c r="GG148" s="20"/>
      <c r="GH148" s="20"/>
      <c r="GI148" s="20"/>
      <c r="GJ148" s="20"/>
      <c r="GK148" s="20"/>
      <c r="GL148" s="20"/>
      <c r="GM148" s="20"/>
      <c r="GN148" s="20"/>
      <c r="GO148" s="20"/>
      <c r="GP148" s="20"/>
      <c r="GQ148" s="20"/>
      <c r="GR148" s="20"/>
      <c r="GS148" s="20"/>
      <c r="GT148" s="20"/>
      <c r="GU148" s="20"/>
      <c r="GV148" s="20"/>
      <c r="GW148" s="20"/>
      <c r="GX148" s="20"/>
      <c r="GY148" s="20"/>
      <c r="GZ148" s="20"/>
      <c r="HA148" s="20"/>
      <c r="HB148" s="20"/>
      <c r="HC148" s="20"/>
      <c r="HD148" s="20"/>
      <c r="HE148" s="20"/>
      <c r="HF148" s="20"/>
      <c r="HG148" s="20"/>
      <c r="HH148" s="20"/>
      <c r="HI148" s="20"/>
    </row>
    <row r="149" spans="1:217" ht="13" x14ac:dyDescent="0.15">
      <c r="A149" s="27">
        <v>43211</v>
      </c>
      <c r="B149" s="28" t="s">
        <v>293</v>
      </c>
      <c r="C149" s="16">
        <v>145</v>
      </c>
      <c r="D149" s="28">
        <v>19.738602</v>
      </c>
      <c r="E149" s="28">
        <v>-155.03887900000001</v>
      </c>
      <c r="F149" s="28" t="s">
        <v>520</v>
      </c>
      <c r="G149" s="29">
        <v>0.47916666666666669</v>
      </c>
      <c r="H149" s="29">
        <v>4.1666666666666664E-2</v>
      </c>
      <c r="I149" s="28">
        <v>1</v>
      </c>
      <c r="J149" s="28">
        <v>18</v>
      </c>
      <c r="K149" s="28" t="s">
        <v>277</v>
      </c>
      <c r="L149" s="28">
        <v>10</v>
      </c>
      <c r="M149" s="28">
        <v>5</v>
      </c>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v>3</v>
      </c>
      <c r="BN149" s="28"/>
      <c r="BO149" s="28"/>
      <c r="BP149" s="28"/>
      <c r="BQ149" s="28"/>
      <c r="BR149" s="28"/>
      <c r="BS149" s="28"/>
      <c r="BT149" s="28"/>
      <c r="BU149" s="28"/>
      <c r="BV149" s="28"/>
      <c r="BW149" s="28"/>
      <c r="BX149" s="28"/>
      <c r="BY149" s="28"/>
      <c r="BZ149" s="28"/>
      <c r="CA149" s="28"/>
      <c r="CB149" s="28"/>
      <c r="CC149" s="28">
        <v>5</v>
      </c>
      <c r="CD149" s="28"/>
      <c r="CE149" s="28"/>
      <c r="CF149" s="28"/>
      <c r="CG149" s="28"/>
      <c r="CH149" s="28"/>
      <c r="CI149" s="28"/>
      <c r="CJ149" s="28"/>
      <c r="CK149" s="28"/>
      <c r="CL149" s="28"/>
      <c r="CM149" s="28"/>
      <c r="CN149" s="28"/>
      <c r="CO149" s="28">
        <v>2</v>
      </c>
      <c r="CP149" s="28"/>
      <c r="CQ149" s="28"/>
      <c r="CR149" s="28"/>
      <c r="CS149" s="28"/>
      <c r="CT149" s="28"/>
      <c r="CU149" s="28"/>
      <c r="CV149" s="28"/>
      <c r="CW149" s="28"/>
      <c r="CX149" s="28"/>
      <c r="CY149" s="28"/>
      <c r="CZ149" s="28"/>
      <c r="DA149" s="28"/>
      <c r="DB149" s="28"/>
      <c r="DC149" s="28"/>
      <c r="DD149" s="28"/>
      <c r="DE149" s="28"/>
      <c r="DF149" s="28"/>
      <c r="DG149" s="28"/>
      <c r="DH149" s="28"/>
      <c r="DI149" s="28"/>
      <c r="DJ149" s="28"/>
      <c r="DK149" s="28"/>
      <c r="DL149" s="28"/>
      <c r="DM149" s="28"/>
      <c r="DN149" s="28"/>
      <c r="DO149" s="28"/>
      <c r="DP149" s="28"/>
      <c r="DQ149" s="28"/>
      <c r="DR149" s="28"/>
      <c r="DS149" s="28"/>
      <c r="DT149" s="28"/>
      <c r="DU149" s="28"/>
      <c r="DV149" s="28"/>
      <c r="DW149" s="28"/>
      <c r="DX149" s="28"/>
      <c r="DY149" s="28"/>
      <c r="DZ149" s="28"/>
      <c r="EA149" s="28"/>
      <c r="EB149" s="28"/>
      <c r="EC149" s="28"/>
      <c r="ED149" s="28"/>
      <c r="EE149" s="28"/>
      <c r="EF149" s="28"/>
      <c r="EG149" s="28"/>
      <c r="EH149" s="28"/>
      <c r="EI149" s="28"/>
      <c r="EJ149" s="28"/>
      <c r="EK149" s="28"/>
      <c r="EL149" s="28"/>
      <c r="EM149" s="28"/>
      <c r="EN149" s="28"/>
      <c r="EO149" s="28"/>
      <c r="EP149" s="28"/>
      <c r="EQ149" s="28"/>
      <c r="ER149" s="28"/>
      <c r="ES149" s="28"/>
      <c r="ET149" s="28"/>
      <c r="EU149" s="28"/>
      <c r="EV149" s="28"/>
      <c r="EW149" s="28"/>
      <c r="EX149" s="28"/>
      <c r="EY149" s="28"/>
      <c r="EZ149" s="28"/>
      <c r="FA149" s="28"/>
      <c r="FB149" s="28"/>
      <c r="FC149" s="28"/>
      <c r="FD149" s="28"/>
      <c r="FE149" s="28"/>
      <c r="FF149" s="28"/>
      <c r="FG149" s="28"/>
      <c r="FH149" s="28"/>
      <c r="FI149" s="28"/>
      <c r="FJ149" s="28"/>
      <c r="FK149" s="28"/>
      <c r="FL149" s="28"/>
      <c r="FM149" s="28"/>
      <c r="FN149" s="28"/>
      <c r="FO149" s="28"/>
      <c r="FP149" s="28"/>
      <c r="FQ149" s="28"/>
      <c r="FR149" s="28"/>
      <c r="FS149" s="28">
        <v>79</v>
      </c>
      <c r="FT149" s="28"/>
      <c r="FU149" s="28"/>
      <c r="FV149" s="28"/>
      <c r="FW149" s="28"/>
      <c r="FX149" s="28"/>
      <c r="FY149" s="28"/>
      <c r="FZ149" s="28"/>
      <c r="GA149" s="28"/>
      <c r="GB149" s="28"/>
      <c r="GC149" s="28"/>
      <c r="GD149" s="28"/>
      <c r="GE149" s="28"/>
      <c r="GF149" s="28"/>
      <c r="GG149" s="28">
        <v>2</v>
      </c>
      <c r="GH149" s="28"/>
      <c r="GI149" s="28"/>
      <c r="GJ149" s="28"/>
      <c r="GK149" s="28"/>
      <c r="GL149" s="28"/>
      <c r="GM149" s="28"/>
      <c r="GN149" s="28"/>
      <c r="GO149" s="28"/>
      <c r="GP149" s="28"/>
      <c r="GQ149" s="28"/>
      <c r="GR149" s="28"/>
      <c r="GS149" s="28"/>
      <c r="GT149" s="28"/>
      <c r="GU149" s="28"/>
      <c r="GV149" s="28"/>
      <c r="GW149" s="28"/>
      <c r="GX149" s="28"/>
      <c r="GY149" s="28"/>
      <c r="GZ149" s="28"/>
      <c r="HA149" s="28"/>
      <c r="HB149" s="28"/>
      <c r="HC149" s="28"/>
      <c r="HD149" s="28"/>
      <c r="HE149" s="28"/>
      <c r="HF149" s="28"/>
      <c r="HG149" s="28"/>
      <c r="HH149" s="28"/>
      <c r="HI149" s="28"/>
    </row>
    <row r="150" spans="1:217" ht="13" x14ac:dyDescent="0.15">
      <c r="A150" s="13">
        <v>43212</v>
      </c>
      <c r="B150" s="3" t="s">
        <v>293</v>
      </c>
      <c r="C150" s="16">
        <f t="shared" ref="C150:C158" si="81">C149+1</f>
        <v>146</v>
      </c>
      <c r="D150" s="3">
        <v>19.738602</v>
      </c>
      <c r="E150" s="3">
        <v>-155.03887900000001</v>
      </c>
      <c r="F150" s="3" t="s">
        <v>418</v>
      </c>
      <c r="G150" s="14">
        <v>0.5541666666666667</v>
      </c>
      <c r="H150" s="14">
        <v>0.64583333333333337</v>
      </c>
      <c r="I150" s="3">
        <v>3</v>
      </c>
      <c r="J150" s="3">
        <v>18</v>
      </c>
      <c r="K150" s="3" t="s">
        <v>415</v>
      </c>
      <c r="L150" s="3">
        <v>10</v>
      </c>
      <c r="M150" s="3">
        <v>23</v>
      </c>
      <c r="N150" s="3" t="s">
        <v>419</v>
      </c>
      <c r="P150" s="3">
        <v>23</v>
      </c>
      <c r="BI150" s="3"/>
      <c r="BJ150" s="3"/>
      <c r="BK150" s="3">
        <v>10</v>
      </c>
      <c r="BM150" s="3">
        <v>1</v>
      </c>
      <c r="CC150" s="3">
        <v>11</v>
      </c>
      <c r="CD150" s="3">
        <v>13</v>
      </c>
      <c r="CV150" s="3">
        <v>2</v>
      </c>
      <c r="FM150" s="3">
        <v>24</v>
      </c>
      <c r="FN150" s="3"/>
      <c r="FO150" s="3"/>
      <c r="FP150" s="3">
        <v>1</v>
      </c>
      <c r="FS150" s="3">
        <v>363</v>
      </c>
      <c r="GH150" s="3">
        <f>COUNT(R150:GG150)</f>
        <v>8</v>
      </c>
      <c r="GI150" s="3">
        <f>COUNTIF(R150:GG150,"&gt;=2")</f>
        <v>6</v>
      </c>
      <c r="GJ150" s="3">
        <f>COUNTIF(R150:GG150,"&gt;=5")</f>
        <v>5</v>
      </c>
      <c r="GK150" s="3">
        <f>SUM(R150:GG150)</f>
        <v>425</v>
      </c>
      <c r="GL150" s="3">
        <f>25*P150</f>
        <v>575</v>
      </c>
      <c r="GM150" s="3">
        <f>GL150-GK150</f>
        <v>150</v>
      </c>
    </row>
    <row r="151" spans="1:217" ht="13" x14ac:dyDescent="0.15">
      <c r="A151" s="27">
        <v>43213</v>
      </c>
      <c r="B151" s="28" t="s">
        <v>219</v>
      </c>
      <c r="C151" s="16">
        <f t="shared" si="81"/>
        <v>147</v>
      </c>
      <c r="D151" s="28">
        <v>21.295798999999999</v>
      </c>
      <c r="E151" s="28">
        <v>-158.10369900000001</v>
      </c>
      <c r="F151" s="28" t="s">
        <v>274</v>
      </c>
      <c r="G151" s="29">
        <v>0.33333333333333331</v>
      </c>
      <c r="H151" s="29">
        <v>0.45833333333333331</v>
      </c>
      <c r="I151" s="28">
        <v>4</v>
      </c>
      <c r="J151" s="28">
        <v>10</v>
      </c>
      <c r="K151" s="28" t="s">
        <v>198</v>
      </c>
      <c r="L151" s="28">
        <v>10</v>
      </c>
      <c r="M151" s="28">
        <v>1</v>
      </c>
      <c r="N151" s="28" t="s">
        <v>522</v>
      </c>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c r="BW151" s="28"/>
      <c r="BX151" s="28"/>
      <c r="BY151" s="28"/>
      <c r="BZ151" s="28"/>
      <c r="CA151" s="28"/>
      <c r="CB151" s="28"/>
      <c r="CC151" s="28"/>
      <c r="CD151" s="28"/>
      <c r="CE151" s="28"/>
      <c r="CF151" s="28"/>
      <c r="CG151" s="28"/>
      <c r="CH151" s="28"/>
      <c r="CI151" s="28"/>
      <c r="CJ151" s="28"/>
      <c r="CK151" s="28"/>
      <c r="CL151" s="28"/>
      <c r="CM151" s="28"/>
      <c r="CN151" s="28"/>
      <c r="CO151" s="28"/>
      <c r="CP151" s="28"/>
      <c r="CQ151" s="28"/>
      <c r="CR151" s="28"/>
      <c r="CS151" s="28"/>
      <c r="CT151" s="28"/>
      <c r="CU151" s="28"/>
      <c r="CV151" s="28"/>
      <c r="CW151" s="28"/>
      <c r="CX151" s="28"/>
      <c r="CY151" s="28"/>
      <c r="CZ151" s="28"/>
      <c r="DA151" s="28"/>
      <c r="DB151" s="28"/>
      <c r="DC151" s="28"/>
      <c r="DD151" s="28"/>
      <c r="DE151" s="28"/>
      <c r="DF151" s="28"/>
      <c r="DG151" s="28"/>
      <c r="DH151" s="28"/>
      <c r="DI151" s="28"/>
      <c r="DJ151" s="28"/>
      <c r="DK151" s="28"/>
      <c r="DL151" s="28"/>
      <c r="DM151" s="28"/>
      <c r="DN151" s="28"/>
      <c r="DO151" s="28"/>
      <c r="DP151" s="28"/>
      <c r="DQ151" s="28"/>
      <c r="DR151" s="28"/>
      <c r="DS151" s="28"/>
      <c r="DT151" s="28"/>
      <c r="DU151" s="28"/>
      <c r="DV151" s="28"/>
      <c r="DW151" s="28"/>
      <c r="DX151" s="28"/>
      <c r="DY151" s="28"/>
      <c r="DZ151" s="28"/>
      <c r="EA151" s="28"/>
      <c r="EB151" s="28"/>
      <c r="EC151" s="28"/>
      <c r="ED151" s="28"/>
      <c r="EE151" s="28"/>
      <c r="EF151" s="28"/>
      <c r="EG151" s="28"/>
      <c r="EH151" s="28"/>
      <c r="EI151" s="28"/>
      <c r="EJ151" s="28"/>
      <c r="EK151" s="28"/>
      <c r="EL151" s="28"/>
      <c r="EM151" s="28"/>
      <c r="EN151" s="28"/>
      <c r="EO151" s="28"/>
      <c r="EP151" s="28"/>
      <c r="EQ151" s="28"/>
      <c r="ER151" s="28"/>
      <c r="ES151" s="28"/>
      <c r="ET151" s="28"/>
      <c r="EU151" s="28"/>
      <c r="EV151" s="28"/>
      <c r="EW151" s="28"/>
      <c r="EX151" s="28"/>
      <c r="EY151" s="28"/>
      <c r="EZ151" s="28"/>
      <c r="FA151" s="28"/>
      <c r="FB151" s="28"/>
      <c r="FC151" s="28"/>
      <c r="FD151" s="28"/>
      <c r="FE151" s="28"/>
      <c r="FF151" s="28"/>
      <c r="FG151" s="28"/>
      <c r="FH151" s="28"/>
      <c r="FI151" s="28"/>
      <c r="FJ151" s="28"/>
      <c r="FK151" s="28"/>
      <c r="FL151" s="28"/>
      <c r="FM151" s="28"/>
      <c r="FN151" s="28"/>
      <c r="FO151" s="28"/>
      <c r="FP151" s="28"/>
      <c r="FQ151" s="28"/>
      <c r="FR151" s="28"/>
      <c r="FS151" s="28">
        <v>3</v>
      </c>
      <c r="FT151" s="28"/>
      <c r="FU151" s="28"/>
      <c r="FV151" s="28"/>
      <c r="FW151" s="28"/>
      <c r="FX151" s="28"/>
      <c r="FY151" s="28"/>
      <c r="FZ151" s="28"/>
      <c r="GA151" s="28"/>
      <c r="GB151" s="28"/>
      <c r="GC151" s="28"/>
      <c r="GD151" s="28"/>
      <c r="GE151" s="28"/>
      <c r="GF151" s="28"/>
      <c r="GG151" s="28"/>
      <c r="GH151" s="28"/>
      <c r="GI151" s="28"/>
      <c r="GJ151" s="28"/>
      <c r="GK151" s="28"/>
      <c r="GL151" s="28"/>
      <c r="GM151" s="28"/>
      <c r="GN151" s="28"/>
      <c r="GO151" s="28"/>
      <c r="GP151" s="28"/>
      <c r="GQ151" s="28"/>
      <c r="GR151" s="28"/>
      <c r="GS151" s="28"/>
      <c r="GT151" s="28"/>
      <c r="GU151" s="28"/>
      <c r="GV151" s="28"/>
      <c r="GW151" s="28"/>
      <c r="GX151" s="28"/>
      <c r="GY151" s="28"/>
      <c r="GZ151" s="28"/>
      <c r="HA151" s="28"/>
      <c r="HB151" s="28"/>
      <c r="HC151" s="28"/>
      <c r="HD151" s="28"/>
      <c r="HE151" s="28"/>
      <c r="HF151" s="28"/>
      <c r="HG151" s="28"/>
      <c r="HH151" s="28"/>
      <c r="HI151" s="28"/>
    </row>
    <row r="152" spans="1:217" ht="13" x14ac:dyDescent="0.15">
      <c r="A152" s="13">
        <v>43214</v>
      </c>
      <c r="B152" s="3" t="s">
        <v>244</v>
      </c>
      <c r="C152" s="16">
        <f t="shared" si="81"/>
        <v>148</v>
      </c>
      <c r="D152" s="3">
        <v>21.310611999999999</v>
      </c>
      <c r="E152" s="3">
        <v>-158.00441000000001</v>
      </c>
      <c r="F152" s="3" t="s">
        <v>326</v>
      </c>
      <c r="G152" s="14">
        <v>0.375</v>
      </c>
      <c r="H152" s="14">
        <v>0.44444444444444442</v>
      </c>
      <c r="I152" s="3">
        <v>6</v>
      </c>
      <c r="J152" s="3">
        <v>8</v>
      </c>
      <c r="K152" s="3" t="s">
        <v>217</v>
      </c>
      <c r="L152" s="3">
        <v>4</v>
      </c>
      <c r="M152" s="3">
        <v>20</v>
      </c>
      <c r="N152" s="3" t="s">
        <v>421</v>
      </c>
      <c r="P152" s="3">
        <v>20</v>
      </c>
      <c r="R152" s="3">
        <v>1</v>
      </c>
      <c r="AA152" s="3"/>
      <c r="AB152" s="3">
        <v>4</v>
      </c>
      <c r="AC152" s="3">
        <v>1</v>
      </c>
      <c r="AE152" s="3">
        <v>3</v>
      </c>
      <c r="AI152" s="3">
        <v>2</v>
      </c>
      <c r="BE152" s="3">
        <v>13</v>
      </c>
      <c r="BV152" s="3">
        <v>13</v>
      </c>
      <c r="BZ152" s="3">
        <v>35</v>
      </c>
      <c r="CO152" s="3">
        <v>1</v>
      </c>
      <c r="CS152" s="3">
        <v>2</v>
      </c>
      <c r="DF152" s="3"/>
      <c r="DG152" s="3">
        <v>4</v>
      </c>
      <c r="DM152" s="3">
        <v>2</v>
      </c>
      <c r="DO152" s="3">
        <v>1</v>
      </c>
      <c r="DT152" s="3"/>
      <c r="DU152" s="3"/>
      <c r="DV152" s="3">
        <v>5</v>
      </c>
      <c r="EC152" s="3">
        <v>3</v>
      </c>
      <c r="EG152" s="3"/>
      <c r="EH152" s="3"/>
      <c r="EI152" s="3">
        <v>25</v>
      </c>
      <c r="EJ152" s="3">
        <v>208</v>
      </c>
      <c r="ET152" s="3"/>
      <c r="EU152" s="3"/>
      <c r="EV152" s="3">
        <v>4</v>
      </c>
      <c r="EW152" s="3">
        <v>1</v>
      </c>
      <c r="FB152" s="3">
        <v>28</v>
      </c>
      <c r="FF152" s="3">
        <v>22</v>
      </c>
      <c r="FR152" s="3">
        <v>3</v>
      </c>
      <c r="FS152" s="3">
        <v>11</v>
      </c>
      <c r="GG152" s="3">
        <v>9</v>
      </c>
      <c r="GH152" s="3">
        <f t="shared" ref="GH152:GH155" si="82">COUNT(R152:GG152)</f>
        <v>24</v>
      </c>
      <c r="GI152" s="3">
        <f t="shared" ref="GI152:GI155" si="83">COUNTIF(R152:GG152,"&gt;=2")</f>
        <v>19</v>
      </c>
      <c r="GJ152" s="3">
        <f t="shared" ref="GJ152:GJ155" si="84">COUNTIF(R152:GG152,"&gt;=5")</f>
        <v>10</v>
      </c>
      <c r="GK152" s="3">
        <f t="shared" ref="GK152:GK155" si="85">SUM(R152:GG152)</f>
        <v>401</v>
      </c>
      <c r="GL152" s="3">
        <f t="shared" ref="GL152:GL155" si="86">25*P152</f>
        <v>500</v>
      </c>
      <c r="GM152" s="3">
        <f t="shared" ref="GM152:GM155" si="87">GL152-GK152</f>
        <v>99</v>
      </c>
    </row>
    <row r="153" spans="1:217" ht="13" x14ac:dyDescent="0.15">
      <c r="A153" s="24">
        <v>43214</v>
      </c>
      <c r="B153" s="25" t="s">
        <v>201</v>
      </c>
      <c r="C153" s="16">
        <f t="shared" si="81"/>
        <v>149</v>
      </c>
      <c r="D153" s="25">
        <v>21.25544</v>
      </c>
      <c r="E153" s="25">
        <v>-157.810303</v>
      </c>
      <c r="F153" s="25" t="s">
        <v>422</v>
      </c>
      <c r="G153" s="26">
        <v>0.38541666666666669</v>
      </c>
      <c r="H153" s="26">
        <v>0.40972222222222221</v>
      </c>
      <c r="I153" s="25">
        <v>7</v>
      </c>
      <c r="J153" s="25">
        <v>12</v>
      </c>
      <c r="K153" s="25" t="s">
        <v>198</v>
      </c>
      <c r="L153" s="25">
        <v>5</v>
      </c>
      <c r="M153" s="25">
        <v>25</v>
      </c>
      <c r="N153" s="25" t="s">
        <v>523</v>
      </c>
      <c r="O153" s="25"/>
      <c r="P153" s="25">
        <v>25</v>
      </c>
      <c r="Q153" s="25"/>
      <c r="R153" s="25"/>
      <c r="S153" s="25"/>
      <c r="T153" s="25"/>
      <c r="U153" s="25"/>
      <c r="V153" s="25"/>
      <c r="W153" s="25"/>
      <c r="X153" s="25"/>
      <c r="Y153" s="25"/>
      <c r="Z153" s="25"/>
      <c r="AA153" s="25"/>
      <c r="AB153" s="25"/>
      <c r="AC153" s="25"/>
      <c r="AD153" s="25"/>
      <c r="AE153" s="25">
        <v>4</v>
      </c>
      <c r="AF153" s="25"/>
      <c r="AG153" s="25"/>
      <c r="AH153" s="25"/>
      <c r="AI153" s="25">
        <v>2</v>
      </c>
      <c r="AJ153" s="25"/>
      <c r="AK153" s="25"/>
      <c r="AL153" s="25"/>
      <c r="AM153" s="25"/>
      <c r="AN153" s="25"/>
      <c r="AO153" s="25"/>
      <c r="AP153" s="25"/>
      <c r="AQ153" s="25"/>
      <c r="AR153" s="25"/>
      <c r="AS153" s="25"/>
      <c r="AT153" s="25"/>
      <c r="AU153" s="25"/>
      <c r="AV153" s="25">
        <v>1</v>
      </c>
      <c r="AW153" s="25"/>
      <c r="AX153" s="25"/>
      <c r="AY153" s="25"/>
      <c r="AZ153" s="25"/>
      <c r="BA153" s="25"/>
      <c r="BB153" s="25">
        <v>3</v>
      </c>
      <c r="BC153" s="25"/>
      <c r="BD153" s="25"/>
      <c r="BE153" s="25">
        <v>1</v>
      </c>
      <c r="BF153" s="25">
        <v>3</v>
      </c>
      <c r="BG153" s="25"/>
      <c r="BH153" s="25"/>
      <c r="BI153" s="25"/>
      <c r="BJ153" s="25"/>
      <c r="BK153" s="25"/>
      <c r="BL153" s="25"/>
      <c r="BM153" s="25">
        <v>4</v>
      </c>
      <c r="BN153" s="25"/>
      <c r="BO153" s="25"/>
      <c r="BP153" s="25"/>
      <c r="BQ153" s="25">
        <v>46</v>
      </c>
      <c r="BR153" s="25"/>
      <c r="BS153" s="25"/>
      <c r="BT153" s="25"/>
      <c r="BU153" s="25"/>
      <c r="BV153" s="25">
        <v>2</v>
      </c>
      <c r="BW153" s="25"/>
      <c r="BX153" s="25"/>
      <c r="BY153" s="25"/>
      <c r="BZ153" s="25">
        <v>11</v>
      </c>
      <c r="CA153" s="25"/>
      <c r="CB153" s="25"/>
      <c r="CC153" s="25"/>
      <c r="CD153" s="25"/>
      <c r="CE153" s="25">
        <v>1</v>
      </c>
      <c r="CF153" s="25"/>
      <c r="CG153" s="25"/>
      <c r="CH153" s="25"/>
      <c r="CI153" s="25"/>
      <c r="CJ153" s="25"/>
      <c r="CK153" s="25"/>
      <c r="CL153" s="25"/>
      <c r="CM153" s="25"/>
      <c r="CN153" s="25"/>
      <c r="CO153" s="25"/>
      <c r="CP153" s="25"/>
      <c r="CQ153" s="25"/>
      <c r="CR153" s="25"/>
      <c r="CS153" s="25"/>
      <c r="CT153" s="25"/>
      <c r="CU153" s="25"/>
      <c r="CV153" s="25"/>
      <c r="CW153" s="25"/>
      <c r="CX153" s="25"/>
      <c r="CY153" s="25"/>
      <c r="CZ153" s="25"/>
      <c r="DA153" s="25"/>
      <c r="DB153" s="25"/>
      <c r="DC153" s="25"/>
      <c r="DD153" s="25"/>
      <c r="DE153" s="25"/>
      <c r="DF153" s="25"/>
      <c r="DG153" s="25"/>
      <c r="DH153" s="25"/>
      <c r="DI153" s="25"/>
      <c r="DJ153" s="25"/>
      <c r="DK153" s="25"/>
      <c r="DL153" s="25"/>
      <c r="DM153" s="25">
        <v>5</v>
      </c>
      <c r="DN153" s="25"/>
      <c r="DO153" s="25"/>
      <c r="DP153" s="25"/>
      <c r="DQ153" s="25"/>
      <c r="DR153" s="25"/>
      <c r="DS153" s="25">
        <v>5</v>
      </c>
      <c r="DT153" s="25"/>
      <c r="DU153" s="25"/>
      <c r="DV153" s="25"/>
      <c r="DW153" s="25"/>
      <c r="DX153" s="25"/>
      <c r="DY153" s="25"/>
      <c r="DZ153" s="25"/>
      <c r="EA153" s="25"/>
      <c r="EB153" s="25"/>
      <c r="EC153" s="25"/>
      <c r="ED153" s="25"/>
      <c r="EE153" s="25"/>
      <c r="EF153" s="25"/>
      <c r="EG153" s="25"/>
      <c r="EH153" s="25"/>
      <c r="EI153" s="25"/>
      <c r="EJ153" s="25">
        <v>315</v>
      </c>
      <c r="EK153" s="25"/>
      <c r="EL153" s="25"/>
      <c r="EM153" s="25"/>
      <c r="EN153" s="25"/>
      <c r="EO153" s="25"/>
      <c r="EP153" s="25"/>
      <c r="EQ153" s="25"/>
      <c r="ER153" s="25"/>
      <c r="ES153" s="25"/>
      <c r="ET153" s="25"/>
      <c r="EU153" s="25"/>
      <c r="EV153" s="25"/>
      <c r="EW153" s="25"/>
      <c r="EX153" s="25"/>
      <c r="EY153" s="25"/>
      <c r="EZ153" s="25"/>
      <c r="FA153" s="25"/>
      <c r="FB153" s="25">
        <v>5</v>
      </c>
      <c r="FC153" s="25"/>
      <c r="FD153" s="25"/>
      <c r="FE153" s="25"/>
      <c r="FF153" s="25">
        <v>5</v>
      </c>
      <c r="FG153" s="25"/>
      <c r="FH153" s="25"/>
      <c r="FI153" s="25"/>
      <c r="FJ153" s="25"/>
      <c r="FK153" s="25"/>
      <c r="FL153" s="25"/>
      <c r="FM153" s="25"/>
      <c r="FN153" s="25"/>
      <c r="FO153" s="25"/>
      <c r="FP153" s="25"/>
      <c r="FQ153" s="25"/>
      <c r="FR153" s="25">
        <v>34</v>
      </c>
      <c r="FS153" s="25">
        <v>23</v>
      </c>
      <c r="FT153" s="25"/>
      <c r="FU153" s="25"/>
      <c r="FV153" s="25"/>
      <c r="FW153" s="25">
        <v>4</v>
      </c>
      <c r="FX153" s="25"/>
      <c r="FY153" s="25"/>
      <c r="FZ153" s="25"/>
      <c r="GA153" s="25"/>
      <c r="GB153" s="25"/>
      <c r="GC153" s="25">
        <v>2</v>
      </c>
      <c r="GD153" s="25"/>
      <c r="GE153" s="25"/>
      <c r="GF153" s="25"/>
      <c r="GG153" s="25">
        <v>2</v>
      </c>
      <c r="GH153" s="25">
        <f t="shared" si="82"/>
        <v>21</v>
      </c>
      <c r="GI153" s="25">
        <f t="shared" si="83"/>
        <v>18</v>
      </c>
      <c r="GJ153" s="25">
        <f t="shared" si="84"/>
        <v>9</v>
      </c>
      <c r="GK153" s="25">
        <f t="shared" si="85"/>
        <v>478</v>
      </c>
      <c r="GL153" s="25">
        <f t="shared" si="86"/>
        <v>625</v>
      </c>
      <c r="GM153" s="25">
        <f t="shared" si="87"/>
        <v>147</v>
      </c>
      <c r="GN153" s="25"/>
      <c r="GO153" s="25"/>
      <c r="GP153" s="25"/>
      <c r="GQ153" s="25"/>
      <c r="GR153" s="25"/>
      <c r="GS153" s="25"/>
      <c r="GT153" s="25"/>
      <c r="GU153" s="25"/>
      <c r="GV153" s="25"/>
      <c r="GW153" s="25"/>
      <c r="GX153" s="25"/>
      <c r="GY153" s="25"/>
      <c r="GZ153" s="25"/>
      <c r="HA153" s="25"/>
      <c r="HB153" s="25"/>
      <c r="HC153" s="25"/>
      <c r="HD153" s="25"/>
      <c r="HE153" s="25"/>
      <c r="HF153" s="25"/>
      <c r="HG153" s="25"/>
      <c r="HH153" s="25"/>
      <c r="HI153" s="25"/>
    </row>
    <row r="154" spans="1:217" ht="13" x14ac:dyDescent="0.15">
      <c r="A154" s="13">
        <v>43215</v>
      </c>
      <c r="B154" s="3" t="s">
        <v>340</v>
      </c>
      <c r="C154" s="16">
        <f t="shared" si="81"/>
        <v>150</v>
      </c>
      <c r="D154" s="3">
        <v>19.643276</v>
      </c>
      <c r="E154" s="3">
        <v>-156.01019299999999</v>
      </c>
      <c r="F154" s="3" t="s">
        <v>381</v>
      </c>
      <c r="G154" s="14">
        <v>0.31597222222222221</v>
      </c>
      <c r="H154" s="14">
        <v>0.34375</v>
      </c>
      <c r="I154" s="3">
        <v>5</v>
      </c>
      <c r="J154" s="3">
        <v>21</v>
      </c>
      <c r="K154" s="3" t="s">
        <v>198</v>
      </c>
      <c r="L154" s="3">
        <v>11</v>
      </c>
      <c r="M154" s="3">
        <v>50</v>
      </c>
      <c r="N154" s="3" t="s">
        <v>425</v>
      </c>
      <c r="P154" s="3">
        <v>50</v>
      </c>
      <c r="S154" s="3">
        <v>7</v>
      </c>
      <c r="AJ154" s="3"/>
      <c r="AK154" s="3"/>
      <c r="AL154" s="3"/>
      <c r="AM154" s="3">
        <v>371</v>
      </c>
      <c r="BM154" s="3">
        <v>8</v>
      </c>
      <c r="CC154" s="3">
        <v>23</v>
      </c>
      <c r="CD154" s="3">
        <v>7</v>
      </c>
      <c r="EB154" s="3">
        <v>1</v>
      </c>
      <c r="FF154" s="3">
        <v>12</v>
      </c>
      <c r="FM154" s="3">
        <v>7</v>
      </c>
      <c r="FR154" s="3">
        <v>1</v>
      </c>
      <c r="FS154" s="3">
        <v>398</v>
      </c>
      <c r="FT154" s="3">
        <v>6</v>
      </c>
      <c r="GH154" s="3">
        <f t="shared" si="82"/>
        <v>11</v>
      </c>
      <c r="GI154" s="3">
        <f t="shared" si="83"/>
        <v>9</v>
      </c>
      <c r="GJ154" s="3">
        <f t="shared" si="84"/>
        <v>9</v>
      </c>
      <c r="GK154" s="3">
        <f t="shared" si="85"/>
        <v>841</v>
      </c>
      <c r="GL154" s="3">
        <f t="shared" si="86"/>
        <v>1250</v>
      </c>
      <c r="GM154" s="3">
        <f t="shared" si="87"/>
        <v>409</v>
      </c>
    </row>
    <row r="155" spans="1:217" ht="13" x14ac:dyDescent="0.15">
      <c r="A155" s="13">
        <v>43216</v>
      </c>
      <c r="B155" s="3" t="s">
        <v>329</v>
      </c>
      <c r="C155" s="16">
        <f t="shared" si="81"/>
        <v>151</v>
      </c>
      <c r="D155" s="3">
        <v>21.140799999999999</v>
      </c>
      <c r="E155" s="3">
        <v>-157.29011499999999</v>
      </c>
      <c r="F155" s="3" t="s">
        <v>330</v>
      </c>
      <c r="G155" s="14">
        <v>0.39583333333333331</v>
      </c>
      <c r="H155" s="14">
        <v>0.4236111111111111</v>
      </c>
      <c r="I155" s="3">
        <v>5</v>
      </c>
      <c r="J155" s="3">
        <v>9.5</v>
      </c>
      <c r="K155" s="3" t="s">
        <v>318</v>
      </c>
      <c r="L155" s="3">
        <v>5</v>
      </c>
      <c r="M155" s="3">
        <v>23</v>
      </c>
      <c r="N155" s="3" t="s">
        <v>426</v>
      </c>
      <c r="P155" s="3">
        <v>23</v>
      </c>
      <c r="S155" s="3">
        <v>4</v>
      </c>
      <c r="BE155" s="3">
        <v>8</v>
      </c>
      <c r="BZ155" s="3">
        <v>9</v>
      </c>
      <c r="CS155" s="3">
        <v>24</v>
      </c>
      <c r="DM155" s="3">
        <v>4</v>
      </c>
      <c r="DO155" s="3">
        <v>10</v>
      </c>
      <c r="EJ155" s="3">
        <v>34</v>
      </c>
      <c r="FD155" s="3"/>
      <c r="FE155" s="3">
        <v>6</v>
      </c>
      <c r="FQ155" s="3">
        <v>10</v>
      </c>
      <c r="FS155" s="3">
        <v>128</v>
      </c>
      <c r="GH155" s="3">
        <f t="shared" si="82"/>
        <v>10</v>
      </c>
      <c r="GI155" s="3">
        <f t="shared" si="83"/>
        <v>10</v>
      </c>
      <c r="GJ155" s="3">
        <f t="shared" si="84"/>
        <v>8</v>
      </c>
      <c r="GK155" s="3">
        <f t="shared" si="85"/>
        <v>237</v>
      </c>
      <c r="GL155" s="3">
        <f t="shared" si="86"/>
        <v>575</v>
      </c>
      <c r="GM155" s="3">
        <f t="shared" si="87"/>
        <v>338</v>
      </c>
    </row>
    <row r="156" spans="1:217" ht="13" x14ac:dyDescent="0.15">
      <c r="A156" s="27">
        <v>43217</v>
      </c>
      <c r="B156" s="28" t="s">
        <v>377</v>
      </c>
      <c r="C156" s="16">
        <f t="shared" si="81"/>
        <v>152</v>
      </c>
      <c r="D156" s="28">
        <v>20.704999999999998</v>
      </c>
      <c r="E156" s="28">
        <v>-156.446945</v>
      </c>
      <c r="F156" s="28" t="s">
        <v>378</v>
      </c>
      <c r="G156" s="29">
        <v>0.4284722222222222</v>
      </c>
      <c r="H156" s="29">
        <v>0.47361111111111109</v>
      </c>
      <c r="I156" s="28">
        <v>7</v>
      </c>
      <c r="J156" s="28">
        <v>16</v>
      </c>
      <c r="K156" s="28" t="s">
        <v>198</v>
      </c>
      <c r="L156" s="28">
        <v>7</v>
      </c>
      <c r="M156" s="28">
        <v>17</v>
      </c>
      <c r="N156" s="28" t="s">
        <v>524</v>
      </c>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v>2</v>
      </c>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c r="CC156" s="28"/>
      <c r="CD156" s="28"/>
      <c r="CE156" s="28">
        <v>2</v>
      </c>
      <c r="CF156" s="28"/>
      <c r="CG156" s="28"/>
      <c r="CH156" s="28"/>
      <c r="CI156" s="28"/>
      <c r="CJ156" s="28">
        <v>9</v>
      </c>
      <c r="CK156" s="28"/>
      <c r="CL156" s="28"/>
      <c r="CM156" s="28"/>
      <c r="CN156" s="28"/>
      <c r="CO156" s="28"/>
      <c r="CP156" s="28"/>
      <c r="CQ156" s="28"/>
      <c r="CR156" s="28"/>
      <c r="CS156" s="28"/>
      <c r="CT156" s="28"/>
      <c r="CU156" s="28"/>
      <c r="CV156" s="28"/>
      <c r="CW156" s="28"/>
      <c r="CX156" s="28"/>
      <c r="CY156" s="28"/>
      <c r="CZ156" s="28"/>
      <c r="DA156" s="28"/>
      <c r="DB156" s="28"/>
      <c r="DC156" s="28"/>
      <c r="DD156" s="28"/>
      <c r="DE156" s="28"/>
      <c r="DF156" s="28"/>
      <c r="DG156" s="28"/>
      <c r="DH156" s="28"/>
      <c r="DI156" s="28"/>
      <c r="DJ156" s="28"/>
      <c r="DK156" s="28"/>
      <c r="DL156" s="28"/>
      <c r="DM156" s="28"/>
      <c r="DN156" s="28"/>
      <c r="DO156" s="28"/>
      <c r="DP156" s="28"/>
      <c r="DQ156" s="28"/>
      <c r="DR156" s="28"/>
      <c r="DS156" s="28"/>
      <c r="DT156" s="28"/>
      <c r="DU156" s="28"/>
      <c r="DV156" s="28"/>
      <c r="DW156" s="28"/>
      <c r="DX156" s="28"/>
      <c r="DY156" s="28"/>
      <c r="DZ156" s="28"/>
      <c r="EA156" s="28"/>
      <c r="EB156" s="28"/>
      <c r="EC156" s="28"/>
      <c r="ED156" s="28"/>
      <c r="EE156" s="28"/>
      <c r="EF156" s="28"/>
      <c r="EG156" s="28"/>
      <c r="EH156" s="28"/>
      <c r="EI156" s="28"/>
      <c r="EJ156" s="28"/>
      <c r="EK156" s="28"/>
      <c r="EL156" s="28"/>
      <c r="EM156" s="28"/>
      <c r="EN156" s="28"/>
      <c r="EO156" s="28"/>
      <c r="EP156" s="28"/>
      <c r="EQ156" s="28"/>
      <c r="ER156" s="28"/>
      <c r="ES156" s="28"/>
      <c r="ET156" s="28"/>
      <c r="EU156" s="28"/>
      <c r="EV156" s="28">
        <v>1</v>
      </c>
      <c r="EW156" s="28">
        <v>5</v>
      </c>
      <c r="EX156" s="28">
        <v>17</v>
      </c>
      <c r="EY156" s="28"/>
      <c r="EZ156" s="28"/>
      <c r="FA156" s="28"/>
      <c r="FB156" s="28"/>
      <c r="FC156" s="28"/>
      <c r="FD156" s="28"/>
      <c r="FE156" s="28"/>
      <c r="FF156" s="28"/>
      <c r="FG156" s="28"/>
      <c r="FH156" s="28"/>
      <c r="FI156" s="28"/>
      <c r="FJ156" s="28"/>
      <c r="FK156" s="28"/>
      <c r="FL156" s="28"/>
      <c r="FM156" s="28"/>
      <c r="FN156" s="28"/>
      <c r="FO156" s="28"/>
      <c r="FP156" s="28"/>
      <c r="FQ156" s="28"/>
      <c r="FR156" s="28"/>
      <c r="FS156" s="28">
        <v>226</v>
      </c>
      <c r="FT156" s="28"/>
      <c r="FU156" s="28"/>
      <c r="FV156" s="28"/>
      <c r="FW156" s="28"/>
      <c r="FX156" s="28"/>
      <c r="FY156" s="28"/>
      <c r="FZ156" s="28"/>
      <c r="GA156" s="28"/>
      <c r="GB156" s="28"/>
      <c r="GC156" s="28"/>
      <c r="GD156" s="28"/>
      <c r="GE156" s="28"/>
      <c r="GF156" s="28"/>
      <c r="GG156" s="28"/>
      <c r="GH156" s="28"/>
      <c r="GI156" s="28"/>
      <c r="GJ156" s="28"/>
      <c r="GK156" s="28"/>
      <c r="GL156" s="28"/>
      <c r="GM156" s="28"/>
      <c r="GN156" s="28"/>
      <c r="GO156" s="28"/>
      <c r="GP156" s="28"/>
      <c r="GQ156" s="28"/>
      <c r="GR156" s="28"/>
      <c r="GS156" s="28"/>
      <c r="GT156" s="28"/>
      <c r="GU156" s="28"/>
      <c r="GV156" s="28"/>
      <c r="GW156" s="28"/>
      <c r="GX156" s="28"/>
      <c r="GY156" s="28"/>
      <c r="GZ156" s="28"/>
      <c r="HA156" s="28"/>
      <c r="HB156" s="28"/>
      <c r="HC156" s="28"/>
      <c r="HD156" s="28"/>
      <c r="HE156" s="28"/>
      <c r="HF156" s="28"/>
      <c r="HG156" s="28"/>
      <c r="HH156" s="28"/>
      <c r="HI156" s="28"/>
    </row>
    <row r="157" spans="1:217" ht="13" x14ac:dyDescent="0.15">
      <c r="A157" s="27">
        <v>43219</v>
      </c>
      <c r="B157" s="28" t="s">
        <v>374</v>
      </c>
      <c r="C157" s="16">
        <f t="shared" si="81"/>
        <v>153</v>
      </c>
      <c r="D157" s="28">
        <v>20.738001000000001</v>
      </c>
      <c r="E157" s="28">
        <v>-156.895004</v>
      </c>
      <c r="F157" s="28" t="s">
        <v>375</v>
      </c>
      <c r="G157" s="29">
        <v>0.35625000000000001</v>
      </c>
      <c r="H157" s="29">
        <v>0.44791666666666669</v>
      </c>
      <c r="I157" s="28">
        <v>5</v>
      </c>
      <c r="J157" s="28">
        <v>20</v>
      </c>
      <c r="K157" s="28" t="s">
        <v>460</v>
      </c>
      <c r="L157" s="28">
        <v>5</v>
      </c>
      <c r="M157" s="28">
        <v>19</v>
      </c>
      <c r="N157" s="28" t="s">
        <v>525</v>
      </c>
      <c r="O157" s="28"/>
      <c r="P157" s="28"/>
      <c r="Q157" s="28"/>
      <c r="R157" s="28"/>
      <c r="S157" s="28"/>
      <c r="T157" s="28"/>
      <c r="U157" s="28"/>
      <c r="V157" s="28"/>
      <c r="W157" s="28"/>
      <c r="X157" s="28"/>
      <c r="Y157" s="28"/>
      <c r="Z157" s="28"/>
      <c r="AA157" s="28"/>
      <c r="AB157" s="28"/>
      <c r="AC157" s="28"/>
      <c r="AD157" s="28"/>
      <c r="AE157" s="28">
        <v>1</v>
      </c>
      <c r="AF157" s="28"/>
      <c r="AG157" s="28"/>
      <c r="AH157" s="28"/>
      <c r="AI157" s="28"/>
      <c r="AJ157" s="28"/>
      <c r="AK157" s="28"/>
      <c r="AL157" s="28"/>
      <c r="AM157" s="28"/>
      <c r="AN157" s="28">
        <v>4</v>
      </c>
      <c r="AO157" s="28"/>
      <c r="AP157" s="28"/>
      <c r="AQ157" s="28"/>
      <c r="AR157" s="28"/>
      <c r="AS157" s="28"/>
      <c r="AT157" s="28"/>
      <c r="AU157" s="28"/>
      <c r="AV157" s="28"/>
      <c r="AW157" s="28"/>
      <c r="AX157" s="28"/>
      <c r="AY157" s="28"/>
      <c r="AZ157" s="28"/>
      <c r="BA157" s="28"/>
      <c r="BB157" s="28">
        <v>7</v>
      </c>
      <c r="BC157" s="28"/>
      <c r="BD157" s="28"/>
      <c r="BE157" s="28"/>
      <c r="BF157" s="28"/>
      <c r="BG157" s="28"/>
      <c r="BH157" s="28"/>
      <c r="BI157" s="28"/>
      <c r="BJ157" s="28"/>
      <c r="BK157" s="28"/>
      <c r="BL157" s="28"/>
      <c r="BM157" s="28">
        <v>69</v>
      </c>
      <c r="BN157" s="28"/>
      <c r="BO157" s="28"/>
      <c r="BP157" s="28"/>
      <c r="BQ157" s="28"/>
      <c r="BR157" s="28"/>
      <c r="BS157" s="28"/>
      <c r="BT157" s="28"/>
      <c r="BU157" s="28"/>
      <c r="BV157" s="28"/>
      <c r="BW157" s="28"/>
      <c r="BX157" s="28"/>
      <c r="BY157" s="28"/>
      <c r="BZ157" s="28"/>
      <c r="CA157" s="28"/>
      <c r="CB157" s="28"/>
      <c r="CC157" s="28"/>
      <c r="CD157" s="28"/>
      <c r="CE157" s="28"/>
      <c r="CF157" s="28"/>
      <c r="CG157" s="28"/>
      <c r="CH157" s="28"/>
      <c r="CI157" s="28"/>
      <c r="CJ157" s="28"/>
      <c r="CK157" s="28"/>
      <c r="CL157" s="28"/>
      <c r="CM157" s="28"/>
      <c r="CN157" s="28"/>
      <c r="CO157" s="28"/>
      <c r="CP157" s="28"/>
      <c r="CQ157" s="28"/>
      <c r="CR157" s="28"/>
      <c r="CS157" s="28"/>
      <c r="CT157" s="28"/>
      <c r="CU157" s="28"/>
      <c r="CV157" s="28"/>
      <c r="CW157" s="28"/>
      <c r="CX157" s="28"/>
      <c r="CY157" s="28"/>
      <c r="CZ157" s="28"/>
      <c r="DA157" s="28"/>
      <c r="DB157" s="28"/>
      <c r="DC157" s="28"/>
      <c r="DD157" s="28"/>
      <c r="DE157" s="28"/>
      <c r="DF157" s="28"/>
      <c r="DG157" s="28"/>
      <c r="DH157" s="28"/>
      <c r="DI157" s="28"/>
      <c r="DJ157" s="28"/>
      <c r="DK157" s="28"/>
      <c r="DL157" s="28"/>
      <c r="DM157" s="28"/>
      <c r="DN157" s="28"/>
      <c r="DO157" s="28"/>
      <c r="DP157" s="28">
        <v>1</v>
      </c>
      <c r="DQ157" s="28"/>
      <c r="DR157" s="28"/>
      <c r="DS157" s="28"/>
      <c r="DT157" s="28"/>
      <c r="DU157" s="28"/>
      <c r="DV157" s="28"/>
      <c r="DW157" s="28"/>
      <c r="DX157" s="28"/>
      <c r="DY157" s="28"/>
      <c r="DZ157" s="28"/>
      <c r="EA157" s="28"/>
      <c r="EB157" s="28"/>
      <c r="EC157" s="28"/>
      <c r="ED157" s="28"/>
      <c r="EE157" s="28"/>
      <c r="EF157" s="28"/>
      <c r="EG157" s="28"/>
      <c r="EH157" s="28"/>
      <c r="EI157" s="28"/>
      <c r="EJ157" s="28">
        <v>2</v>
      </c>
      <c r="EK157" s="28"/>
      <c r="EL157" s="28"/>
      <c r="EM157" s="28"/>
      <c r="EN157" s="28"/>
      <c r="EO157" s="28"/>
      <c r="EP157" s="28"/>
      <c r="EQ157" s="28"/>
      <c r="ER157" s="28"/>
      <c r="ES157" s="28"/>
      <c r="ET157" s="28"/>
      <c r="EU157" s="28"/>
      <c r="EV157" s="28"/>
      <c r="EW157" s="28"/>
      <c r="EX157" s="28"/>
      <c r="EY157" s="28"/>
      <c r="EZ157" s="28"/>
      <c r="FA157" s="28"/>
      <c r="FB157" s="28"/>
      <c r="FC157" s="28"/>
      <c r="FD157" s="28"/>
      <c r="FE157" s="28"/>
      <c r="FF157" s="28"/>
      <c r="FG157" s="28"/>
      <c r="FH157" s="28"/>
      <c r="FI157" s="28"/>
      <c r="FJ157" s="28"/>
      <c r="FK157" s="28"/>
      <c r="FL157" s="28"/>
      <c r="FM157" s="28"/>
      <c r="FN157" s="28"/>
      <c r="FO157" s="28"/>
      <c r="FP157" s="28"/>
      <c r="FQ157" s="28"/>
      <c r="FR157" s="28"/>
      <c r="FS157" s="28">
        <v>148</v>
      </c>
      <c r="FT157" s="28"/>
      <c r="FU157" s="28"/>
      <c r="FV157" s="28"/>
      <c r="FW157" s="28"/>
      <c r="FX157" s="28"/>
      <c r="FY157" s="28"/>
      <c r="FZ157" s="28"/>
      <c r="GA157" s="28"/>
      <c r="GB157" s="28"/>
      <c r="GC157" s="28"/>
      <c r="GD157" s="28"/>
      <c r="GE157" s="28"/>
      <c r="GF157" s="28"/>
      <c r="GG157" s="28"/>
      <c r="GH157" s="28"/>
      <c r="GI157" s="28"/>
      <c r="GJ157" s="28"/>
      <c r="GK157" s="28"/>
      <c r="GL157" s="28"/>
      <c r="GM157" s="28"/>
      <c r="GN157" s="28"/>
      <c r="GO157" s="28"/>
      <c r="GP157" s="28"/>
      <c r="GQ157" s="28"/>
      <c r="GR157" s="28"/>
      <c r="GS157" s="28"/>
      <c r="GT157" s="28"/>
      <c r="GU157" s="28"/>
      <c r="GV157" s="28"/>
      <c r="GW157" s="28"/>
      <c r="GX157" s="28"/>
      <c r="GY157" s="28"/>
      <c r="GZ157" s="28"/>
      <c r="HA157" s="28"/>
      <c r="HB157" s="28"/>
      <c r="HC157" s="28"/>
      <c r="HD157" s="28"/>
      <c r="HE157" s="28"/>
      <c r="HF157" s="28"/>
      <c r="HG157" s="28"/>
      <c r="HH157" s="28"/>
      <c r="HI157" s="28"/>
    </row>
    <row r="158" spans="1:217" ht="13" x14ac:dyDescent="0.15">
      <c r="A158" s="27">
        <v>43221</v>
      </c>
      <c r="B158" s="28" t="s">
        <v>456</v>
      </c>
      <c r="C158" s="16">
        <f t="shared" si="81"/>
        <v>154</v>
      </c>
      <c r="D158" s="28">
        <v>21.316488</v>
      </c>
      <c r="E158" s="28">
        <v>-157.66426100000001</v>
      </c>
      <c r="F158" s="28" t="s">
        <v>385</v>
      </c>
      <c r="G158" s="29">
        <v>0.38541666666666669</v>
      </c>
      <c r="H158" s="29">
        <v>0.44097222222222221</v>
      </c>
      <c r="I158" s="28">
        <v>6</v>
      </c>
      <c r="J158" s="28">
        <v>57</v>
      </c>
      <c r="K158" s="28" t="s">
        <v>227</v>
      </c>
      <c r="L158" s="28">
        <v>5</v>
      </c>
      <c r="M158" s="28">
        <v>18</v>
      </c>
      <c r="N158" s="28" t="s">
        <v>526</v>
      </c>
      <c r="O158" s="28"/>
      <c r="P158" s="28"/>
      <c r="Q158" s="28"/>
      <c r="R158" s="28"/>
      <c r="S158" s="28"/>
      <c r="T158" s="28"/>
      <c r="U158" s="28"/>
      <c r="V158" s="28"/>
      <c r="W158" s="28"/>
      <c r="X158" s="28"/>
      <c r="Y158" s="28"/>
      <c r="Z158" s="28"/>
      <c r="AA158" s="28"/>
      <c r="AB158" s="28">
        <v>31</v>
      </c>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v>50</v>
      </c>
      <c r="BN158" s="28"/>
      <c r="BO158" s="28"/>
      <c r="BP158" s="28"/>
      <c r="BQ158" s="28"/>
      <c r="BR158" s="28"/>
      <c r="BS158" s="28"/>
      <c r="BT158" s="28"/>
      <c r="BU158" s="28"/>
      <c r="BV158" s="28"/>
      <c r="BW158" s="28"/>
      <c r="BX158" s="28"/>
      <c r="BY158" s="28"/>
      <c r="BZ158" s="28"/>
      <c r="CA158" s="28"/>
      <c r="CB158" s="28"/>
      <c r="CC158" s="28">
        <v>6</v>
      </c>
      <c r="CD158" s="28"/>
      <c r="CE158" s="28"/>
      <c r="CF158" s="28"/>
      <c r="CG158" s="28"/>
      <c r="CH158" s="28">
        <v>3</v>
      </c>
      <c r="CI158" s="28"/>
      <c r="CJ158" s="28"/>
      <c r="CK158" s="28"/>
      <c r="CL158" s="28"/>
      <c r="CM158" s="28"/>
      <c r="CN158" s="28"/>
      <c r="CO158" s="28"/>
      <c r="CP158" s="28"/>
      <c r="CQ158" s="28"/>
      <c r="CR158" s="28"/>
      <c r="CS158" s="28"/>
      <c r="CT158" s="28"/>
      <c r="CU158" s="28"/>
      <c r="CV158" s="28"/>
      <c r="CW158" s="28"/>
      <c r="CX158" s="28"/>
      <c r="CY158" s="28"/>
      <c r="CZ158" s="28"/>
      <c r="DA158" s="28"/>
      <c r="DB158" s="28"/>
      <c r="DC158" s="28"/>
      <c r="DD158" s="28"/>
      <c r="DE158" s="28"/>
      <c r="DF158" s="28"/>
      <c r="DG158" s="28"/>
      <c r="DH158" s="28"/>
      <c r="DI158" s="28"/>
      <c r="DJ158" s="28"/>
      <c r="DK158" s="28"/>
      <c r="DL158" s="28"/>
      <c r="DM158" s="28"/>
      <c r="DN158" s="28"/>
      <c r="DO158" s="28"/>
      <c r="DP158" s="28"/>
      <c r="DQ158" s="28"/>
      <c r="DR158" s="28"/>
      <c r="DS158" s="28"/>
      <c r="DT158" s="28"/>
      <c r="DU158" s="28"/>
      <c r="DV158" s="28"/>
      <c r="DW158" s="28"/>
      <c r="DX158" s="28"/>
      <c r="DY158" s="28"/>
      <c r="DZ158" s="28"/>
      <c r="EA158" s="28"/>
      <c r="EB158" s="28"/>
      <c r="EC158" s="28"/>
      <c r="ED158" s="28"/>
      <c r="EE158" s="28"/>
      <c r="EF158" s="28"/>
      <c r="EG158" s="28"/>
      <c r="EH158" s="28"/>
      <c r="EI158" s="28"/>
      <c r="EJ158" s="28"/>
      <c r="EK158" s="28"/>
      <c r="EL158" s="28"/>
      <c r="EM158" s="28"/>
      <c r="EN158" s="28"/>
      <c r="EO158" s="28"/>
      <c r="EP158" s="28"/>
      <c r="EQ158" s="28"/>
      <c r="ER158" s="28"/>
      <c r="ES158" s="28"/>
      <c r="ET158" s="28"/>
      <c r="EU158" s="28"/>
      <c r="EV158" s="28"/>
      <c r="EW158" s="28"/>
      <c r="EX158" s="28"/>
      <c r="EY158" s="28"/>
      <c r="EZ158" s="28"/>
      <c r="FA158" s="28"/>
      <c r="FB158" s="28"/>
      <c r="FC158" s="28"/>
      <c r="FD158" s="28"/>
      <c r="FE158" s="28"/>
      <c r="FF158" s="28">
        <v>1</v>
      </c>
      <c r="FG158" s="28"/>
      <c r="FH158" s="28"/>
      <c r="FI158" s="28"/>
      <c r="FJ158" s="28"/>
      <c r="FK158" s="28"/>
      <c r="FL158" s="28"/>
      <c r="FM158" s="28"/>
      <c r="FN158" s="28"/>
      <c r="FO158" s="28"/>
      <c r="FP158" s="28"/>
      <c r="FQ158" s="28"/>
      <c r="FR158" s="28"/>
      <c r="FS158" s="28">
        <v>309</v>
      </c>
      <c r="FT158" s="28"/>
      <c r="FU158" s="28"/>
      <c r="FV158" s="28"/>
      <c r="FW158" s="28"/>
      <c r="FX158" s="28"/>
      <c r="FY158" s="28"/>
      <c r="FZ158" s="28"/>
      <c r="GA158" s="28"/>
      <c r="GB158" s="28"/>
      <c r="GC158" s="28"/>
      <c r="GD158" s="28"/>
      <c r="GE158" s="28"/>
      <c r="GF158" s="28"/>
      <c r="GG158" s="28"/>
      <c r="GH158" s="28"/>
      <c r="GI158" s="28"/>
      <c r="GJ158" s="28"/>
      <c r="GK158" s="28"/>
      <c r="GL158" s="28"/>
      <c r="GM158" s="28"/>
      <c r="GN158" s="28"/>
      <c r="GO158" s="28"/>
      <c r="GP158" s="28"/>
      <c r="GQ158" s="28"/>
      <c r="GR158" s="28"/>
      <c r="GS158" s="28"/>
      <c r="GT158" s="28"/>
      <c r="GU158" s="28"/>
      <c r="GV158" s="28"/>
      <c r="GW158" s="28"/>
      <c r="GX158" s="28"/>
      <c r="GY158" s="28"/>
      <c r="GZ158" s="28"/>
      <c r="HA158" s="28"/>
      <c r="HB158" s="28"/>
      <c r="HC158" s="28"/>
      <c r="HD158" s="28"/>
      <c r="HE158" s="28"/>
      <c r="HF158" s="28"/>
      <c r="HG158" s="28"/>
      <c r="HH158" s="28"/>
      <c r="HI158" s="28"/>
    </row>
    <row r="159" spans="1:217" ht="13" x14ac:dyDescent="0.15">
      <c r="A159" s="90">
        <v>43222</v>
      </c>
      <c r="B159" s="20" t="s">
        <v>246</v>
      </c>
      <c r="C159" s="16"/>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c r="CF159" s="20"/>
      <c r="CG159" s="20"/>
      <c r="CH159" s="20"/>
      <c r="CI159" s="20"/>
      <c r="CJ159" s="20"/>
      <c r="CK159" s="20"/>
      <c r="CL159" s="20"/>
      <c r="CM159" s="20"/>
      <c r="CN159" s="20"/>
      <c r="CO159" s="20"/>
      <c r="CP159" s="20"/>
      <c r="CQ159" s="20"/>
      <c r="CR159" s="20"/>
      <c r="CS159" s="20"/>
      <c r="CT159" s="20"/>
      <c r="CU159" s="20"/>
      <c r="CV159" s="20"/>
      <c r="CW159" s="20"/>
      <c r="CX159" s="20"/>
      <c r="CY159" s="20"/>
      <c r="CZ159" s="20"/>
      <c r="DA159" s="20"/>
      <c r="DB159" s="20"/>
      <c r="DC159" s="20"/>
      <c r="DD159" s="20"/>
      <c r="DE159" s="20"/>
      <c r="DF159" s="20"/>
      <c r="DG159" s="20"/>
      <c r="DH159" s="20"/>
      <c r="DI159" s="20"/>
      <c r="DJ159" s="20"/>
      <c r="DK159" s="20"/>
      <c r="DL159" s="20"/>
      <c r="DM159" s="20"/>
      <c r="DN159" s="20"/>
      <c r="DO159" s="20"/>
      <c r="DP159" s="20"/>
      <c r="DQ159" s="20"/>
      <c r="DR159" s="20"/>
      <c r="DS159" s="20"/>
      <c r="DT159" s="20"/>
      <c r="DU159" s="20"/>
      <c r="DV159" s="20"/>
      <c r="DW159" s="20"/>
      <c r="DX159" s="20"/>
      <c r="DY159" s="20"/>
      <c r="DZ159" s="20"/>
      <c r="EA159" s="20"/>
      <c r="EB159" s="20"/>
      <c r="EC159" s="20"/>
      <c r="ED159" s="20"/>
      <c r="EE159" s="20"/>
      <c r="EF159" s="20"/>
      <c r="EG159" s="20"/>
      <c r="EH159" s="20"/>
      <c r="EI159" s="20"/>
      <c r="EJ159" s="20"/>
      <c r="EK159" s="20"/>
      <c r="EL159" s="20"/>
      <c r="EM159" s="20"/>
      <c r="EN159" s="20"/>
      <c r="EO159" s="20"/>
      <c r="EP159" s="20"/>
      <c r="EQ159" s="20"/>
      <c r="ER159" s="20"/>
      <c r="ES159" s="20"/>
      <c r="ET159" s="20"/>
      <c r="EU159" s="20"/>
      <c r="EV159" s="20"/>
      <c r="EW159" s="20"/>
      <c r="EX159" s="20"/>
      <c r="EY159" s="20"/>
      <c r="EZ159" s="20"/>
      <c r="FA159" s="20"/>
      <c r="FB159" s="20"/>
      <c r="FC159" s="20"/>
      <c r="FD159" s="20"/>
      <c r="FE159" s="20"/>
      <c r="FF159" s="20"/>
      <c r="FG159" s="20"/>
      <c r="FH159" s="20"/>
      <c r="FI159" s="20"/>
      <c r="FJ159" s="20"/>
      <c r="FK159" s="20"/>
      <c r="FL159" s="20"/>
      <c r="FM159" s="20"/>
      <c r="FN159" s="20"/>
      <c r="FO159" s="20"/>
      <c r="FP159" s="20"/>
      <c r="FQ159" s="20"/>
      <c r="FR159" s="20"/>
      <c r="FS159" s="20"/>
      <c r="FT159" s="20"/>
      <c r="FU159" s="20"/>
      <c r="FV159" s="20"/>
      <c r="FW159" s="20"/>
      <c r="FX159" s="20"/>
      <c r="FY159" s="20"/>
      <c r="FZ159" s="20"/>
      <c r="GA159" s="20"/>
      <c r="GB159" s="20"/>
      <c r="GC159" s="20"/>
      <c r="GD159" s="20"/>
      <c r="GE159" s="20"/>
      <c r="GF159" s="20"/>
      <c r="GG159" s="20"/>
      <c r="GH159" s="20"/>
      <c r="GI159" s="20"/>
      <c r="GJ159" s="20"/>
      <c r="GK159" s="20"/>
      <c r="GL159" s="20"/>
      <c r="GM159" s="20"/>
      <c r="GN159" s="20"/>
      <c r="GO159" s="20"/>
      <c r="GP159" s="20"/>
      <c r="GQ159" s="20"/>
      <c r="GR159" s="20"/>
      <c r="GS159" s="20"/>
      <c r="GT159" s="20"/>
      <c r="GU159" s="20"/>
      <c r="GV159" s="20"/>
      <c r="GW159" s="20"/>
      <c r="GX159" s="20"/>
      <c r="GY159" s="20"/>
      <c r="GZ159" s="20"/>
      <c r="HA159" s="20"/>
      <c r="HB159" s="20"/>
      <c r="HC159" s="20"/>
      <c r="HD159" s="20"/>
      <c r="HE159" s="20"/>
      <c r="HF159" s="20"/>
      <c r="HG159" s="20"/>
      <c r="HH159" s="20"/>
      <c r="HI159" s="20"/>
    </row>
    <row r="160" spans="1:217" ht="13" x14ac:dyDescent="0.15">
      <c r="A160" s="27">
        <v>43222</v>
      </c>
      <c r="B160" s="28" t="s">
        <v>216</v>
      </c>
      <c r="C160" s="16">
        <v>155</v>
      </c>
      <c r="D160" s="28">
        <v>21.3002</v>
      </c>
      <c r="E160" s="28">
        <v>-157.882599</v>
      </c>
      <c r="F160" s="28" t="s">
        <v>385</v>
      </c>
      <c r="G160" s="29">
        <v>0.38541666666666669</v>
      </c>
      <c r="H160" s="29">
        <v>0.4375</v>
      </c>
      <c r="I160" s="28">
        <v>6</v>
      </c>
      <c r="J160" s="28">
        <v>19</v>
      </c>
      <c r="K160" s="28" t="s">
        <v>198</v>
      </c>
      <c r="L160" s="28">
        <v>5</v>
      </c>
      <c r="M160" s="28">
        <v>27</v>
      </c>
      <c r="N160" s="28" t="s">
        <v>527</v>
      </c>
      <c r="O160" s="28"/>
      <c r="P160" s="28"/>
      <c r="Q160" s="28"/>
      <c r="R160" s="28"/>
      <c r="S160" s="28"/>
      <c r="T160" s="28"/>
      <c r="U160" s="28"/>
      <c r="V160" s="28"/>
      <c r="W160" s="28"/>
      <c r="X160" s="28"/>
      <c r="Y160" s="28"/>
      <c r="Z160" s="28"/>
      <c r="AA160" s="28"/>
      <c r="AB160" s="28"/>
      <c r="AC160" s="28"/>
      <c r="AD160" s="28"/>
      <c r="AE160" s="28">
        <v>5</v>
      </c>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v>5</v>
      </c>
      <c r="BN160" s="28"/>
      <c r="BO160" s="28"/>
      <c r="BP160" s="28"/>
      <c r="BQ160" s="28"/>
      <c r="BR160" s="28"/>
      <c r="BS160" s="28"/>
      <c r="BT160" s="28"/>
      <c r="BU160" s="28"/>
      <c r="BV160" s="28"/>
      <c r="BW160" s="28">
        <v>1</v>
      </c>
      <c r="BX160" s="28"/>
      <c r="BY160" s="28"/>
      <c r="BZ160" s="28"/>
      <c r="CA160" s="28"/>
      <c r="CB160" s="28"/>
      <c r="CC160" s="28">
        <v>9</v>
      </c>
      <c r="CD160" s="28"/>
      <c r="CE160" s="28"/>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8"/>
      <c r="DL160" s="28"/>
      <c r="DM160" s="28"/>
      <c r="DN160" s="28"/>
      <c r="DO160" s="28"/>
      <c r="DP160" s="28"/>
      <c r="DQ160" s="28"/>
      <c r="DR160" s="28"/>
      <c r="DS160" s="28"/>
      <c r="DT160" s="28"/>
      <c r="DU160" s="28"/>
      <c r="DV160" s="28"/>
      <c r="DW160" s="28"/>
      <c r="DX160" s="28"/>
      <c r="DY160" s="28"/>
      <c r="DZ160" s="28"/>
      <c r="EA160" s="28"/>
      <c r="EB160" s="28"/>
      <c r="EC160" s="28"/>
      <c r="ED160" s="28"/>
      <c r="EE160" s="28"/>
      <c r="EF160" s="28"/>
      <c r="EG160" s="28"/>
      <c r="EH160" s="28"/>
      <c r="EI160" s="28"/>
      <c r="EJ160" s="28">
        <v>8</v>
      </c>
      <c r="EK160" s="28"/>
      <c r="EL160" s="28"/>
      <c r="EM160" s="28"/>
      <c r="EN160" s="28"/>
      <c r="EO160" s="28"/>
      <c r="EP160" s="28"/>
      <c r="EQ160" s="28"/>
      <c r="ER160" s="28"/>
      <c r="ES160" s="28"/>
      <c r="ET160" s="28"/>
      <c r="EU160" s="28"/>
      <c r="EV160" s="28"/>
      <c r="EW160" s="28"/>
      <c r="EX160" s="28"/>
      <c r="EY160" s="28"/>
      <c r="EZ160" s="28"/>
      <c r="FA160" s="28"/>
      <c r="FB160" s="28"/>
      <c r="FC160" s="28"/>
      <c r="FD160" s="28"/>
      <c r="FE160" s="28"/>
      <c r="FF160" s="28">
        <v>47</v>
      </c>
      <c r="FG160" s="28"/>
      <c r="FH160" s="28"/>
      <c r="FI160" s="28"/>
      <c r="FJ160" s="28"/>
      <c r="FK160" s="28"/>
      <c r="FL160" s="28"/>
      <c r="FM160" s="28"/>
      <c r="FN160" s="28"/>
      <c r="FO160" s="28"/>
      <c r="FP160" s="28"/>
      <c r="FQ160" s="28"/>
      <c r="FR160" s="28"/>
      <c r="FS160" s="28">
        <v>363</v>
      </c>
      <c r="FT160" s="28"/>
      <c r="FU160" s="28"/>
      <c r="FV160" s="28"/>
      <c r="FW160" s="28"/>
      <c r="FX160" s="28"/>
      <c r="FY160" s="28"/>
      <c r="FZ160" s="28"/>
      <c r="GA160" s="28"/>
      <c r="GB160" s="28"/>
      <c r="GC160" s="28"/>
      <c r="GD160" s="28"/>
      <c r="GE160" s="28"/>
      <c r="GF160" s="28"/>
      <c r="GG160" s="28"/>
      <c r="GH160" s="28"/>
      <c r="GI160" s="28"/>
      <c r="GJ160" s="28"/>
      <c r="GK160" s="28"/>
      <c r="GL160" s="28"/>
      <c r="GM160" s="28"/>
      <c r="GN160" s="28"/>
      <c r="GO160" s="28"/>
      <c r="GP160" s="28"/>
      <c r="GQ160" s="28"/>
      <c r="GR160" s="28"/>
      <c r="GS160" s="28"/>
      <c r="GT160" s="28"/>
      <c r="GU160" s="28"/>
      <c r="GV160" s="28"/>
      <c r="GW160" s="28"/>
      <c r="GX160" s="28"/>
      <c r="GY160" s="28"/>
      <c r="GZ160" s="28"/>
      <c r="HA160" s="28"/>
      <c r="HB160" s="28"/>
      <c r="HC160" s="28"/>
      <c r="HD160" s="28"/>
      <c r="HE160" s="28"/>
      <c r="HF160" s="28"/>
      <c r="HG160" s="28"/>
      <c r="HH160" s="28"/>
      <c r="HI160" s="28"/>
    </row>
    <row r="161" spans="1:217" ht="13" x14ac:dyDescent="0.15">
      <c r="A161" s="13">
        <v>43230</v>
      </c>
      <c r="B161" s="3" t="s">
        <v>201</v>
      </c>
      <c r="C161" s="16">
        <f t="shared" ref="C161:C165" si="88">C160+1</f>
        <v>156</v>
      </c>
      <c r="D161" s="3">
        <v>21.25544</v>
      </c>
      <c r="E161" s="3">
        <v>-157.810303</v>
      </c>
      <c r="F161" s="3" t="s">
        <v>299</v>
      </c>
      <c r="G161" s="14">
        <v>0.3611111111111111</v>
      </c>
      <c r="H161" s="14">
        <v>0.40277777777777779</v>
      </c>
      <c r="I161" s="3">
        <v>5</v>
      </c>
      <c r="J161" s="3">
        <v>16</v>
      </c>
      <c r="K161" s="3" t="s">
        <v>217</v>
      </c>
      <c r="L161" s="3">
        <v>8</v>
      </c>
      <c r="M161" s="3">
        <v>25</v>
      </c>
      <c r="N161" s="3" t="s">
        <v>427</v>
      </c>
      <c r="P161" s="3">
        <v>25</v>
      </c>
      <c r="S161" s="3">
        <v>1</v>
      </c>
      <c r="BA161" s="3"/>
      <c r="BB161" s="3">
        <v>6</v>
      </c>
      <c r="BN161" s="3">
        <v>5</v>
      </c>
      <c r="BQ161" s="3">
        <v>8</v>
      </c>
      <c r="BZ161" s="3">
        <v>13</v>
      </c>
      <c r="DF161" s="3"/>
      <c r="DG161" s="3">
        <v>6</v>
      </c>
      <c r="DM161" s="3">
        <v>8</v>
      </c>
      <c r="DP161" s="3">
        <v>3</v>
      </c>
      <c r="DT161" s="3"/>
      <c r="DU161" s="3"/>
      <c r="DV161" s="3">
        <v>2</v>
      </c>
      <c r="EE161" s="3"/>
      <c r="EF161" s="3">
        <v>7</v>
      </c>
      <c r="EJ161" s="3">
        <v>208</v>
      </c>
      <c r="EY161" s="3"/>
      <c r="EZ161" s="3">
        <v>1</v>
      </c>
      <c r="FB161" s="3">
        <v>51</v>
      </c>
      <c r="FR161" s="3">
        <v>38</v>
      </c>
      <c r="FS161" s="3">
        <v>51</v>
      </c>
      <c r="GH161" s="3">
        <f t="shared" ref="GH161:GH162" si="89">COUNT(R161:GG161)</f>
        <v>15</v>
      </c>
      <c r="GI161" s="3">
        <f t="shared" ref="GI161:GI162" si="90">COUNTIF(R161:GG161,"&gt;=2")</f>
        <v>13</v>
      </c>
      <c r="GJ161" s="3">
        <f t="shared" ref="GJ161:GJ162" si="91">COUNTIF(R161:GG161,"&gt;=5")</f>
        <v>11</v>
      </c>
      <c r="GK161" s="3">
        <f t="shared" ref="GK161:GK162" si="92">SUM(R161:GG161)</f>
        <v>408</v>
      </c>
      <c r="GL161" s="3">
        <f t="shared" ref="GL161:GL162" si="93">25*P161</f>
        <v>625</v>
      </c>
      <c r="GM161" s="3">
        <f t="shared" ref="GM161:GM162" si="94">GL161-GK161</f>
        <v>217</v>
      </c>
    </row>
    <row r="162" spans="1:217" ht="13" x14ac:dyDescent="0.15">
      <c r="A162" s="13">
        <v>43231</v>
      </c>
      <c r="B162" s="3" t="s">
        <v>201</v>
      </c>
      <c r="C162" s="16">
        <f t="shared" si="88"/>
        <v>157</v>
      </c>
      <c r="D162" s="3">
        <v>21.25544</v>
      </c>
      <c r="E162" s="3">
        <v>-157.810303</v>
      </c>
      <c r="F162" s="3" t="s">
        <v>299</v>
      </c>
      <c r="G162" s="14">
        <v>0.375</v>
      </c>
      <c r="H162" s="14">
        <v>0.40972222222222221</v>
      </c>
      <c r="I162" s="3">
        <v>5</v>
      </c>
      <c r="J162" s="3">
        <v>16</v>
      </c>
      <c r="K162" s="3" t="s">
        <v>198</v>
      </c>
      <c r="L162" s="3">
        <v>7</v>
      </c>
      <c r="M162" s="3">
        <v>26</v>
      </c>
      <c r="N162" s="3" t="s">
        <v>430</v>
      </c>
      <c r="P162" s="3">
        <v>26</v>
      </c>
      <c r="R162" s="3">
        <v>3</v>
      </c>
      <c r="AA162" s="3"/>
      <c r="AB162" s="3">
        <v>6</v>
      </c>
      <c r="AI162" s="3">
        <v>6</v>
      </c>
      <c r="AJ162" s="3"/>
      <c r="AK162" s="3">
        <v>1</v>
      </c>
      <c r="AU162" s="3">
        <v>1</v>
      </c>
      <c r="BI162" s="3"/>
      <c r="BJ162" s="3"/>
      <c r="BK162" s="3">
        <v>1</v>
      </c>
      <c r="BM162" s="3">
        <v>29</v>
      </c>
      <c r="BQ162" s="3">
        <v>12</v>
      </c>
      <c r="BV162" s="3">
        <v>1</v>
      </c>
      <c r="BZ162" s="3">
        <v>3</v>
      </c>
      <c r="DE162" s="3">
        <v>2</v>
      </c>
      <c r="DK162" s="3">
        <v>2</v>
      </c>
      <c r="DM162" s="3">
        <v>11</v>
      </c>
      <c r="DO162" s="3">
        <v>3</v>
      </c>
      <c r="DR162" s="3"/>
      <c r="DS162" s="3">
        <v>1</v>
      </c>
      <c r="EC162" s="3">
        <v>2</v>
      </c>
      <c r="EE162" s="3"/>
      <c r="EF162" s="3">
        <v>3</v>
      </c>
      <c r="EJ162" s="3">
        <v>143</v>
      </c>
      <c r="EY162" s="3"/>
      <c r="EZ162" s="3">
        <v>2</v>
      </c>
      <c r="FB162" s="3">
        <v>51</v>
      </c>
      <c r="FR162" s="3">
        <v>42</v>
      </c>
      <c r="FS162" s="3">
        <v>121</v>
      </c>
      <c r="FV162" s="3"/>
      <c r="FW162" s="3">
        <v>3</v>
      </c>
      <c r="GB162" s="3">
        <v>8</v>
      </c>
      <c r="GH162" s="3">
        <f t="shared" si="89"/>
        <v>24</v>
      </c>
      <c r="GI162" s="3">
        <f t="shared" si="90"/>
        <v>19</v>
      </c>
      <c r="GJ162" s="3">
        <f t="shared" si="91"/>
        <v>10</v>
      </c>
      <c r="GK162" s="3">
        <f t="shared" si="92"/>
        <v>457</v>
      </c>
      <c r="GL162" s="3">
        <f t="shared" si="93"/>
        <v>650</v>
      </c>
      <c r="GM162" s="3">
        <f t="shared" si="94"/>
        <v>193</v>
      </c>
    </row>
    <row r="163" spans="1:217" ht="13" x14ac:dyDescent="0.15">
      <c r="A163" s="27">
        <v>43232</v>
      </c>
      <c r="B163" s="28" t="s">
        <v>374</v>
      </c>
      <c r="C163" s="16">
        <f t="shared" si="88"/>
        <v>158</v>
      </c>
      <c r="D163" s="28">
        <v>20.738001000000001</v>
      </c>
      <c r="E163" s="28">
        <v>-156.895004</v>
      </c>
      <c r="F163" s="28" t="s">
        <v>391</v>
      </c>
      <c r="G163" s="29">
        <v>0.37152777777777779</v>
      </c>
      <c r="H163" s="29">
        <v>0.42083333333333334</v>
      </c>
      <c r="I163" s="28">
        <v>3</v>
      </c>
      <c r="J163" s="28">
        <v>25</v>
      </c>
      <c r="K163" s="28" t="s">
        <v>198</v>
      </c>
      <c r="L163" s="28">
        <v>13</v>
      </c>
      <c r="M163" s="28">
        <v>18</v>
      </c>
      <c r="N163" s="28" t="s">
        <v>528</v>
      </c>
      <c r="O163" s="28"/>
      <c r="P163" s="28"/>
      <c r="Q163" s="28"/>
      <c r="R163" s="28"/>
      <c r="S163" s="28"/>
      <c r="T163" s="28"/>
      <c r="U163" s="28"/>
      <c r="V163" s="28"/>
      <c r="W163" s="28"/>
      <c r="X163" s="28"/>
      <c r="Y163" s="28"/>
      <c r="Z163" s="28"/>
      <c r="AA163" s="28"/>
      <c r="AB163" s="28"/>
      <c r="AC163" s="28"/>
      <c r="AD163" s="28">
        <v>20</v>
      </c>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v>301</v>
      </c>
      <c r="BN163" s="28"/>
      <c r="BO163" s="28"/>
      <c r="BP163" s="28"/>
      <c r="BQ163" s="28"/>
      <c r="BR163" s="28"/>
      <c r="BS163" s="28"/>
      <c r="BT163" s="28"/>
      <c r="BU163" s="28"/>
      <c r="BV163" s="28"/>
      <c r="BW163" s="28"/>
      <c r="BX163" s="28"/>
      <c r="BY163" s="28">
        <v>13</v>
      </c>
      <c r="BZ163" s="28"/>
      <c r="CA163" s="28"/>
      <c r="CB163" s="28"/>
      <c r="CC163" s="28">
        <v>6</v>
      </c>
      <c r="CD163" s="28"/>
      <c r="CE163" s="28"/>
      <c r="CF163" s="28"/>
      <c r="CG163" s="28"/>
      <c r="CH163" s="28">
        <v>3</v>
      </c>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v>11</v>
      </c>
      <c r="DH163" s="28"/>
      <c r="DI163" s="28"/>
      <c r="DJ163" s="28"/>
      <c r="DK163" s="28"/>
      <c r="DL163" s="28"/>
      <c r="DM163" s="28"/>
      <c r="DN163" s="28"/>
      <c r="DO163" s="28"/>
      <c r="DP163" s="28"/>
      <c r="DQ163" s="28"/>
      <c r="DR163" s="28"/>
      <c r="DS163" s="28"/>
      <c r="DT163" s="28"/>
      <c r="DU163" s="28"/>
      <c r="DV163" s="28"/>
      <c r="DW163" s="28"/>
      <c r="DX163" s="28"/>
      <c r="DY163" s="28"/>
      <c r="DZ163" s="28"/>
      <c r="EA163" s="28"/>
      <c r="EB163" s="28"/>
      <c r="EC163" s="28"/>
      <c r="ED163" s="28"/>
      <c r="EE163" s="28"/>
      <c r="EF163" s="28"/>
      <c r="EG163" s="28"/>
      <c r="EH163" s="28"/>
      <c r="EI163" s="28"/>
      <c r="EJ163" s="28">
        <v>6</v>
      </c>
      <c r="EK163" s="28"/>
      <c r="EL163" s="28"/>
      <c r="EM163" s="28"/>
      <c r="EN163" s="28"/>
      <c r="EO163" s="28"/>
      <c r="EP163" s="28"/>
      <c r="EQ163" s="28"/>
      <c r="ER163" s="28"/>
      <c r="ES163" s="28"/>
      <c r="ET163" s="28"/>
      <c r="EU163" s="28"/>
      <c r="EV163" s="28"/>
      <c r="EW163" s="28"/>
      <c r="EX163" s="28"/>
      <c r="EY163" s="28"/>
      <c r="EZ163" s="28">
        <v>8</v>
      </c>
      <c r="FA163" s="28"/>
      <c r="FB163" s="28">
        <v>1</v>
      </c>
      <c r="FC163" s="28"/>
      <c r="FD163" s="28"/>
      <c r="FE163" s="28"/>
      <c r="FF163" s="28"/>
      <c r="FG163" s="28"/>
      <c r="FH163" s="28"/>
      <c r="FI163" s="28"/>
      <c r="FJ163" s="28"/>
      <c r="FK163" s="28"/>
      <c r="FL163" s="28"/>
      <c r="FM163" s="28"/>
      <c r="FN163" s="28"/>
      <c r="FO163" s="28"/>
      <c r="FP163" s="28"/>
      <c r="FQ163" s="28"/>
      <c r="FR163" s="28">
        <v>29</v>
      </c>
      <c r="FS163" s="28"/>
      <c r="FT163" s="28"/>
      <c r="FU163" s="28"/>
      <c r="FV163" s="28"/>
      <c r="FW163" s="28"/>
      <c r="FX163" s="28"/>
      <c r="FY163" s="28"/>
      <c r="FZ163" s="28"/>
      <c r="GA163" s="28"/>
      <c r="GB163" s="28"/>
      <c r="GC163" s="28"/>
      <c r="GD163" s="28"/>
      <c r="GE163" s="28"/>
      <c r="GF163" s="28"/>
      <c r="GG163" s="28"/>
      <c r="GH163" s="28"/>
      <c r="GI163" s="28"/>
      <c r="GJ163" s="28"/>
      <c r="GK163" s="28"/>
      <c r="GL163" s="28"/>
      <c r="GM163" s="28"/>
      <c r="GN163" s="28"/>
      <c r="GO163" s="28"/>
      <c r="GP163" s="28"/>
      <c r="GQ163" s="28"/>
      <c r="GR163" s="28"/>
      <c r="GS163" s="28"/>
      <c r="GT163" s="28"/>
      <c r="GU163" s="28"/>
      <c r="GV163" s="28"/>
      <c r="GW163" s="28"/>
      <c r="GX163" s="28"/>
      <c r="GY163" s="28"/>
      <c r="GZ163" s="28"/>
      <c r="HA163" s="28"/>
      <c r="HB163" s="28"/>
      <c r="HC163" s="28"/>
      <c r="HD163" s="28"/>
      <c r="HE163" s="28"/>
      <c r="HF163" s="28"/>
      <c r="HG163" s="28"/>
      <c r="HH163" s="28"/>
      <c r="HI163" s="28"/>
    </row>
    <row r="164" spans="1:217" ht="13" x14ac:dyDescent="0.15">
      <c r="A164" s="24">
        <v>43234</v>
      </c>
      <c r="B164" s="25" t="s">
        <v>216</v>
      </c>
      <c r="C164" s="16">
        <f t="shared" si="88"/>
        <v>159</v>
      </c>
      <c r="D164" s="25">
        <v>21.3002</v>
      </c>
      <c r="E164" s="25">
        <v>-157.882599</v>
      </c>
      <c r="F164" s="25" t="s">
        <v>272</v>
      </c>
      <c r="G164" s="26">
        <v>0.38263888888888886</v>
      </c>
      <c r="H164" s="26">
        <v>0.41944444444444445</v>
      </c>
      <c r="I164" s="25">
        <v>6</v>
      </c>
      <c r="J164" s="25">
        <v>26</v>
      </c>
      <c r="K164" s="25" t="s">
        <v>198</v>
      </c>
      <c r="L164" s="25">
        <v>5</v>
      </c>
      <c r="M164" s="25">
        <v>27</v>
      </c>
      <c r="N164" s="25" t="s">
        <v>431</v>
      </c>
      <c r="O164" s="25"/>
      <c r="P164" s="25"/>
      <c r="Q164" s="25"/>
      <c r="R164" s="25"/>
      <c r="S164" s="25"/>
      <c r="T164" s="25"/>
      <c r="U164" s="25"/>
      <c r="V164" s="25"/>
      <c r="W164" s="25"/>
      <c r="X164" s="25"/>
      <c r="Y164" s="25"/>
      <c r="Z164" s="25"/>
      <c r="AA164" s="25"/>
      <c r="AB164" s="25"/>
      <c r="AC164" s="25"/>
      <c r="AD164" s="25"/>
      <c r="AE164" s="25"/>
      <c r="AF164" s="25"/>
      <c r="AG164" s="25"/>
      <c r="AH164" s="25"/>
      <c r="AI164" s="25">
        <v>1</v>
      </c>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v>1</v>
      </c>
      <c r="BF164" s="25"/>
      <c r="BG164" s="25"/>
      <c r="BH164" s="25">
        <v>1</v>
      </c>
      <c r="BI164" s="25"/>
      <c r="BJ164" s="25">
        <v>1</v>
      </c>
      <c r="BK164" s="25"/>
      <c r="BL164" s="25">
        <v>1</v>
      </c>
      <c r="BM164" s="25">
        <v>10</v>
      </c>
      <c r="BN164" s="25"/>
      <c r="BO164" s="25"/>
      <c r="BP164" s="25"/>
      <c r="BQ164" s="25">
        <v>8</v>
      </c>
      <c r="BR164" s="25"/>
      <c r="BS164" s="25"/>
      <c r="BT164" s="25"/>
      <c r="BU164" s="25"/>
      <c r="BV164" s="25">
        <v>2</v>
      </c>
      <c r="BW164" s="25"/>
      <c r="BX164" s="25"/>
      <c r="BY164" s="25"/>
      <c r="BZ164" s="25"/>
      <c r="CA164" s="25"/>
      <c r="CB164" s="25"/>
      <c r="CC164" s="25"/>
      <c r="CD164" s="25"/>
      <c r="CE164" s="25">
        <v>1</v>
      </c>
      <c r="CF164" s="25"/>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c r="DD164" s="25"/>
      <c r="DE164" s="25"/>
      <c r="DF164" s="25"/>
      <c r="DG164" s="25"/>
      <c r="DH164" s="25"/>
      <c r="DI164" s="25"/>
      <c r="DJ164" s="25"/>
      <c r="DK164" s="25"/>
      <c r="DL164" s="25"/>
      <c r="DM164" s="25"/>
      <c r="DN164" s="25"/>
      <c r="DO164" s="25"/>
      <c r="DP164" s="25"/>
      <c r="DQ164" s="25"/>
      <c r="DR164" s="25"/>
      <c r="DS164" s="25"/>
      <c r="DT164" s="25"/>
      <c r="DU164" s="25"/>
      <c r="DV164" s="25"/>
      <c r="DW164" s="25"/>
      <c r="DX164" s="25"/>
      <c r="DY164" s="25"/>
      <c r="DZ164" s="25"/>
      <c r="EA164" s="25"/>
      <c r="EB164" s="25"/>
      <c r="EC164" s="25">
        <v>3</v>
      </c>
      <c r="ED164" s="25"/>
      <c r="EE164" s="25"/>
      <c r="EF164" s="25"/>
      <c r="EG164" s="25"/>
      <c r="EH164" s="25"/>
      <c r="EI164" s="25"/>
      <c r="EJ164" s="25">
        <v>2</v>
      </c>
      <c r="EK164" s="25"/>
      <c r="EL164" s="25"/>
      <c r="EM164" s="25"/>
      <c r="EN164" s="25"/>
      <c r="EO164" s="25"/>
      <c r="EP164" s="25"/>
      <c r="EQ164" s="25"/>
      <c r="ER164" s="25"/>
      <c r="ES164" s="25"/>
      <c r="ET164" s="25"/>
      <c r="EU164" s="25"/>
      <c r="EV164" s="25"/>
      <c r="EW164" s="25"/>
      <c r="EX164" s="25">
        <v>1</v>
      </c>
      <c r="EY164" s="25"/>
      <c r="EZ164" s="25"/>
      <c r="FA164" s="25"/>
      <c r="FB164" s="25"/>
      <c r="FC164" s="25"/>
      <c r="FD164" s="25"/>
      <c r="FE164" s="25"/>
      <c r="FF164" s="25"/>
      <c r="FG164" s="25"/>
      <c r="FH164" s="25"/>
      <c r="FI164" s="25"/>
      <c r="FJ164" s="25"/>
      <c r="FK164" s="25"/>
      <c r="FL164" s="25">
        <v>1</v>
      </c>
      <c r="FM164" s="25"/>
      <c r="FN164" s="25"/>
      <c r="FO164" s="25"/>
      <c r="FP164" s="25"/>
      <c r="FQ164" s="25"/>
      <c r="FR164" s="25"/>
      <c r="FS164" s="25">
        <v>508</v>
      </c>
      <c r="FT164" s="25"/>
      <c r="FU164" s="25"/>
      <c r="FV164" s="25"/>
      <c r="FW164" s="25"/>
      <c r="FX164" s="25"/>
      <c r="FY164" s="25"/>
      <c r="FZ164" s="25"/>
      <c r="GA164" s="25"/>
      <c r="GB164" s="25"/>
      <c r="GC164" s="25"/>
      <c r="GD164" s="25"/>
      <c r="GE164" s="25"/>
      <c r="GF164" s="25"/>
      <c r="GG164" s="25"/>
      <c r="GH164" s="25">
        <f>COUNT(R164:GG164)</f>
        <v>14</v>
      </c>
      <c r="GI164" s="25">
        <f>COUNTIF(R164:GG164,"&gt;=2")</f>
        <v>6</v>
      </c>
      <c r="GJ164" s="25">
        <f>COUNTIF(R164:GG164,"&gt;=5")</f>
        <v>3</v>
      </c>
      <c r="GK164" s="25">
        <f>SUM(R164:GG164)</f>
        <v>541</v>
      </c>
      <c r="GL164" s="25">
        <f>25*P164</f>
        <v>0</v>
      </c>
      <c r="GM164" s="25">
        <f>GL164-GK164</f>
        <v>-541</v>
      </c>
      <c r="GN164" s="25"/>
      <c r="GO164" s="25"/>
      <c r="GP164" s="25"/>
      <c r="GQ164" s="25"/>
      <c r="GR164" s="25"/>
      <c r="GS164" s="25"/>
      <c r="GT164" s="25"/>
      <c r="GU164" s="25"/>
      <c r="GV164" s="25"/>
      <c r="GW164" s="25"/>
      <c r="GX164" s="25"/>
      <c r="GY164" s="25"/>
      <c r="GZ164" s="25"/>
      <c r="HA164" s="25"/>
      <c r="HB164" s="25"/>
      <c r="HC164" s="25"/>
      <c r="HD164" s="25"/>
      <c r="HE164" s="25"/>
      <c r="HF164" s="25"/>
      <c r="HG164" s="25"/>
      <c r="HH164" s="25"/>
      <c r="HI164" s="25"/>
    </row>
    <row r="165" spans="1:217" ht="13" x14ac:dyDescent="0.15">
      <c r="A165" s="27">
        <v>43235</v>
      </c>
      <c r="B165" s="28" t="s">
        <v>216</v>
      </c>
      <c r="C165" s="16">
        <f t="shared" si="88"/>
        <v>160</v>
      </c>
      <c r="D165" s="28">
        <v>21.3002</v>
      </c>
      <c r="E165" s="28">
        <v>-157.882599</v>
      </c>
      <c r="F165" s="28" t="s">
        <v>272</v>
      </c>
      <c r="G165" s="29">
        <v>0.38263888888888886</v>
      </c>
      <c r="H165" s="29">
        <v>0.40833333333333333</v>
      </c>
      <c r="I165" s="28">
        <v>6</v>
      </c>
      <c r="J165" s="28">
        <v>30</v>
      </c>
      <c r="K165" s="28" t="s">
        <v>198</v>
      </c>
      <c r="L165" s="28">
        <v>5</v>
      </c>
      <c r="M165" s="28">
        <v>26</v>
      </c>
      <c r="N165" s="28" t="s">
        <v>529</v>
      </c>
      <c r="O165" s="28"/>
      <c r="P165" s="28"/>
      <c r="Q165" s="28"/>
      <c r="R165" s="28"/>
      <c r="S165" s="28"/>
      <c r="T165" s="28"/>
      <c r="U165" s="28"/>
      <c r="V165" s="28"/>
      <c r="W165" s="28"/>
      <c r="X165" s="28"/>
      <c r="Y165" s="28"/>
      <c r="Z165" s="28"/>
      <c r="AA165" s="28"/>
      <c r="AB165" s="28"/>
      <c r="AC165" s="28"/>
      <c r="AD165" s="28"/>
      <c r="AE165" s="28"/>
      <c r="AF165" s="28"/>
      <c r="AG165" s="28"/>
      <c r="AH165" s="28"/>
      <c r="AI165" s="28">
        <v>1</v>
      </c>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v>42</v>
      </c>
      <c r="BR165" s="28"/>
      <c r="BS165" s="28"/>
      <c r="BT165" s="28"/>
      <c r="BU165" s="28"/>
      <c r="BV165" s="28"/>
      <c r="BW165" s="28"/>
      <c r="BX165" s="28"/>
      <c r="BY165" s="28"/>
      <c r="BZ165" s="28"/>
      <c r="CA165" s="28"/>
      <c r="CB165" s="28"/>
      <c r="CC165" s="28"/>
      <c r="CD165" s="28"/>
      <c r="CE165" s="28">
        <v>1</v>
      </c>
      <c r="CF165" s="28"/>
      <c r="CG165" s="28"/>
      <c r="CH165" s="28"/>
      <c r="CI165" s="28"/>
      <c r="CJ165" s="28"/>
      <c r="CK165" s="28"/>
      <c r="CL165" s="28"/>
      <c r="CM165" s="28"/>
      <c r="CN165" s="28"/>
      <c r="CO165" s="28"/>
      <c r="CP165" s="28"/>
      <c r="CQ165" s="28"/>
      <c r="CR165" s="28"/>
      <c r="CS165" s="28"/>
      <c r="CT165" s="28"/>
      <c r="CU165" s="28">
        <v>1</v>
      </c>
      <c r="CV165" s="28"/>
      <c r="CW165" s="28"/>
      <c r="CX165" s="28"/>
      <c r="CY165" s="28"/>
      <c r="CZ165" s="28"/>
      <c r="DA165" s="28"/>
      <c r="DB165" s="28"/>
      <c r="DC165" s="28"/>
      <c r="DD165" s="28"/>
      <c r="DE165" s="28"/>
      <c r="DF165" s="28"/>
      <c r="DG165" s="28"/>
      <c r="DH165" s="28"/>
      <c r="DI165" s="28"/>
      <c r="DJ165" s="28"/>
      <c r="DK165" s="28"/>
      <c r="DL165" s="28"/>
      <c r="DM165" s="28"/>
      <c r="DN165" s="28">
        <v>1</v>
      </c>
      <c r="DO165" s="28"/>
      <c r="DP165" s="28"/>
      <c r="DQ165" s="28"/>
      <c r="DR165" s="28"/>
      <c r="DS165" s="28"/>
      <c r="DT165" s="28"/>
      <c r="DU165" s="28"/>
      <c r="DV165" s="28"/>
      <c r="DW165" s="28"/>
      <c r="DX165" s="28"/>
      <c r="DY165" s="28"/>
      <c r="DZ165" s="28"/>
      <c r="EA165" s="28"/>
      <c r="EB165" s="28"/>
      <c r="EC165" s="28">
        <v>3</v>
      </c>
      <c r="ED165" s="28"/>
      <c r="EE165" s="28"/>
      <c r="EF165" s="28"/>
      <c r="EG165" s="28"/>
      <c r="EH165" s="28"/>
      <c r="EI165" s="28">
        <v>1</v>
      </c>
      <c r="EJ165" s="28">
        <v>1</v>
      </c>
      <c r="EK165" s="28"/>
      <c r="EL165" s="28"/>
      <c r="EM165" s="28"/>
      <c r="EN165" s="28"/>
      <c r="EO165" s="28"/>
      <c r="EP165" s="28"/>
      <c r="EQ165" s="28"/>
      <c r="ER165" s="28"/>
      <c r="ES165" s="28"/>
      <c r="ET165" s="28"/>
      <c r="EU165" s="28"/>
      <c r="EV165" s="28"/>
      <c r="EW165" s="28"/>
      <c r="EX165" s="28"/>
      <c r="EY165" s="28"/>
      <c r="EZ165" s="28"/>
      <c r="FA165" s="28"/>
      <c r="FB165" s="28"/>
      <c r="FC165" s="28"/>
      <c r="FD165" s="28"/>
      <c r="FE165" s="28"/>
      <c r="FF165" s="28"/>
      <c r="FG165" s="28"/>
      <c r="FH165" s="28"/>
      <c r="FI165" s="28"/>
      <c r="FJ165" s="28"/>
      <c r="FK165" s="28"/>
      <c r="FL165" s="28"/>
      <c r="FM165" s="28"/>
      <c r="FN165" s="28"/>
      <c r="FO165" s="28"/>
      <c r="FP165" s="28"/>
      <c r="FQ165" s="28"/>
      <c r="FR165" s="28"/>
      <c r="FS165" s="28">
        <v>394</v>
      </c>
      <c r="FT165" s="28"/>
      <c r="FU165" s="28"/>
      <c r="FV165" s="28"/>
      <c r="FW165" s="28"/>
      <c r="FX165" s="28"/>
      <c r="FY165" s="28"/>
      <c r="FZ165" s="28"/>
      <c r="GA165" s="28"/>
      <c r="GB165" s="28"/>
      <c r="GC165" s="28"/>
      <c r="GD165" s="28"/>
      <c r="GE165" s="28"/>
      <c r="GF165" s="28"/>
      <c r="GG165" s="28"/>
      <c r="GH165" s="28"/>
      <c r="GI165" s="28"/>
      <c r="GJ165" s="28"/>
      <c r="GK165" s="28"/>
      <c r="GL165" s="28"/>
      <c r="GM165" s="28"/>
      <c r="GN165" s="28"/>
      <c r="GO165" s="28"/>
      <c r="GP165" s="28"/>
      <c r="GQ165" s="28"/>
      <c r="GR165" s="28"/>
      <c r="GS165" s="28"/>
      <c r="GT165" s="28"/>
      <c r="GU165" s="28"/>
      <c r="GV165" s="28"/>
      <c r="GW165" s="28"/>
      <c r="GX165" s="28"/>
      <c r="GY165" s="28"/>
      <c r="GZ165" s="28"/>
      <c r="HA165" s="28"/>
      <c r="HB165" s="28"/>
      <c r="HC165" s="28"/>
      <c r="HD165" s="28"/>
      <c r="HE165" s="28"/>
      <c r="HF165" s="28"/>
      <c r="HG165" s="28"/>
      <c r="HH165" s="28"/>
      <c r="HI165" s="28"/>
    </row>
    <row r="166" spans="1:217" ht="13" x14ac:dyDescent="0.15">
      <c r="A166" s="90">
        <v>43235</v>
      </c>
      <c r="B166" s="20" t="s">
        <v>467</v>
      </c>
      <c r="C166" s="16"/>
      <c r="D166" s="20"/>
      <c r="E166" s="20"/>
      <c r="F166" s="20"/>
      <c r="G166" s="21"/>
      <c r="H166" s="21"/>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c r="CL166" s="20"/>
      <c r="CM166" s="20"/>
      <c r="CN166" s="20"/>
      <c r="CO166" s="20"/>
      <c r="CP166" s="20"/>
      <c r="CQ166" s="20"/>
      <c r="CR166" s="20"/>
      <c r="CS166" s="20"/>
      <c r="CT166" s="20"/>
      <c r="CU166" s="20"/>
      <c r="CV166" s="20"/>
      <c r="CW166" s="20"/>
      <c r="CX166" s="20"/>
      <c r="CY166" s="20"/>
      <c r="CZ166" s="20"/>
      <c r="DA166" s="20"/>
      <c r="DB166" s="20"/>
      <c r="DC166" s="20"/>
      <c r="DD166" s="20"/>
      <c r="DE166" s="20"/>
      <c r="DF166" s="20"/>
      <c r="DG166" s="20"/>
      <c r="DH166" s="20"/>
      <c r="DI166" s="20"/>
      <c r="DJ166" s="20"/>
      <c r="DK166" s="20"/>
      <c r="DL166" s="20"/>
      <c r="DM166" s="20"/>
      <c r="DN166" s="20"/>
      <c r="DO166" s="20"/>
      <c r="DP166" s="20"/>
      <c r="DQ166" s="20"/>
      <c r="DR166" s="20"/>
      <c r="DS166" s="20"/>
      <c r="DT166" s="20"/>
      <c r="DU166" s="20"/>
      <c r="DV166" s="20"/>
      <c r="DW166" s="20"/>
      <c r="DX166" s="20"/>
      <c r="DY166" s="20"/>
      <c r="DZ166" s="20"/>
      <c r="EA166" s="20"/>
      <c r="EB166" s="20"/>
      <c r="EC166" s="20"/>
      <c r="ED166" s="20"/>
      <c r="EE166" s="20"/>
      <c r="EF166" s="20"/>
      <c r="EG166" s="20"/>
      <c r="EH166" s="20"/>
      <c r="EI166" s="20"/>
      <c r="EJ166" s="20"/>
      <c r="EK166" s="20"/>
      <c r="EL166" s="20"/>
      <c r="EM166" s="20"/>
      <c r="EN166" s="20"/>
      <c r="EO166" s="20"/>
      <c r="EP166" s="20"/>
      <c r="EQ166" s="20"/>
      <c r="ER166" s="20"/>
      <c r="ES166" s="20"/>
      <c r="ET166" s="20"/>
      <c r="EU166" s="20"/>
      <c r="EV166" s="20"/>
      <c r="EW166" s="20"/>
      <c r="EX166" s="20"/>
      <c r="EY166" s="20"/>
      <c r="EZ166" s="20"/>
      <c r="FA166" s="20"/>
      <c r="FB166" s="20"/>
      <c r="FC166" s="20"/>
      <c r="FD166" s="20"/>
      <c r="FE166" s="20"/>
      <c r="FF166" s="20"/>
      <c r="FG166" s="20"/>
      <c r="FH166" s="20"/>
      <c r="FI166" s="20"/>
      <c r="FJ166" s="20"/>
      <c r="FK166" s="20"/>
      <c r="FL166" s="20"/>
      <c r="FM166" s="20"/>
      <c r="FN166" s="20"/>
      <c r="FO166" s="20"/>
      <c r="FP166" s="20"/>
      <c r="FQ166" s="20"/>
      <c r="FR166" s="20"/>
      <c r="FS166" s="20"/>
      <c r="FT166" s="20"/>
      <c r="FU166" s="20"/>
      <c r="FV166" s="20"/>
      <c r="FW166" s="20"/>
      <c r="FX166" s="20"/>
      <c r="FY166" s="20"/>
      <c r="FZ166" s="20"/>
      <c r="GA166" s="20"/>
      <c r="GB166" s="20"/>
      <c r="GC166" s="20"/>
      <c r="GD166" s="20"/>
      <c r="GE166" s="20"/>
      <c r="GF166" s="20"/>
      <c r="GG166" s="20"/>
      <c r="GH166" s="20"/>
      <c r="GI166" s="20"/>
      <c r="GJ166" s="20"/>
      <c r="GK166" s="20"/>
      <c r="GL166" s="20"/>
      <c r="GM166" s="20"/>
      <c r="GN166" s="20"/>
      <c r="GO166" s="20"/>
      <c r="GP166" s="20"/>
      <c r="GQ166" s="20"/>
      <c r="GR166" s="20"/>
      <c r="GS166" s="20"/>
      <c r="GT166" s="20"/>
      <c r="GU166" s="20"/>
      <c r="GV166" s="20"/>
      <c r="GW166" s="20"/>
      <c r="GX166" s="20"/>
      <c r="GY166" s="20"/>
      <c r="GZ166" s="20"/>
      <c r="HA166" s="20"/>
      <c r="HB166" s="20"/>
      <c r="HC166" s="20"/>
      <c r="HD166" s="20"/>
      <c r="HE166" s="20"/>
      <c r="HF166" s="20"/>
      <c r="HG166" s="20"/>
      <c r="HH166" s="20"/>
      <c r="HI166" s="20"/>
    </row>
    <row r="167" spans="1:217" ht="13" x14ac:dyDescent="0.15">
      <c r="A167" s="27">
        <v>43236</v>
      </c>
      <c r="B167" s="28" t="s">
        <v>259</v>
      </c>
      <c r="C167" s="16">
        <v>161</v>
      </c>
      <c r="D167" s="28">
        <v>19.737894000000001</v>
      </c>
      <c r="E167" s="28">
        <v>-155.03405799999999</v>
      </c>
      <c r="F167" s="28" t="s">
        <v>358</v>
      </c>
      <c r="G167" s="29">
        <v>0.375</v>
      </c>
      <c r="H167" s="29">
        <v>0.41666666666666669</v>
      </c>
      <c r="I167" s="28">
        <v>7</v>
      </c>
      <c r="J167" s="28">
        <v>20</v>
      </c>
      <c r="K167" s="28" t="s">
        <v>198</v>
      </c>
      <c r="L167" s="28">
        <v>4</v>
      </c>
      <c r="M167" s="28">
        <v>16</v>
      </c>
      <c r="N167" s="28" t="s">
        <v>530</v>
      </c>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v>35</v>
      </c>
      <c r="BI167" s="28"/>
      <c r="BJ167" s="28"/>
      <c r="BK167" s="28">
        <v>4</v>
      </c>
      <c r="BL167" s="28"/>
      <c r="BM167" s="28">
        <v>68</v>
      </c>
      <c r="BN167" s="28"/>
      <c r="BO167" s="28"/>
      <c r="BP167" s="28"/>
      <c r="BQ167" s="28"/>
      <c r="BR167" s="28"/>
      <c r="BS167" s="28"/>
      <c r="BT167" s="28"/>
      <c r="BU167" s="28"/>
      <c r="BV167" s="28"/>
      <c r="BW167" s="28"/>
      <c r="BX167" s="28"/>
      <c r="BY167" s="28"/>
      <c r="BZ167" s="28"/>
      <c r="CA167" s="28"/>
      <c r="CB167" s="28"/>
      <c r="CC167" s="28">
        <v>2</v>
      </c>
      <c r="CD167" s="28"/>
      <c r="CE167" s="28"/>
      <c r="CF167" s="28"/>
      <c r="CG167" s="28"/>
      <c r="CH167" s="28"/>
      <c r="CI167" s="28"/>
      <c r="CJ167" s="28"/>
      <c r="CK167" s="28"/>
      <c r="CL167" s="28"/>
      <c r="CM167" s="28"/>
      <c r="CN167" s="28"/>
      <c r="CO167" s="28"/>
      <c r="CP167" s="28"/>
      <c r="CQ167" s="28"/>
      <c r="CR167" s="28"/>
      <c r="CS167" s="28"/>
      <c r="CT167" s="28"/>
      <c r="CU167" s="28">
        <v>1</v>
      </c>
      <c r="CV167" s="28">
        <v>10</v>
      </c>
      <c r="CW167" s="28"/>
      <c r="CX167" s="28"/>
      <c r="CY167" s="28"/>
      <c r="CZ167" s="28"/>
      <c r="DA167" s="28"/>
      <c r="DB167" s="28"/>
      <c r="DC167" s="28"/>
      <c r="DD167" s="28"/>
      <c r="DE167" s="28"/>
      <c r="DF167" s="28"/>
      <c r="DG167" s="28"/>
      <c r="DH167" s="28">
        <v>4</v>
      </c>
      <c r="DI167" s="28"/>
      <c r="DJ167" s="28">
        <v>6</v>
      </c>
      <c r="DK167" s="28"/>
      <c r="DL167" s="28"/>
      <c r="DM167" s="28"/>
      <c r="DN167" s="28"/>
      <c r="DO167" s="28"/>
      <c r="DP167" s="28">
        <v>4</v>
      </c>
      <c r="DQ167" s="28"/>
      <c r="DR167" s="28"/>
      <c r="DS167" s="28"/>
      <c r="DT167" s="28"/>
      <c r="DU167" s="28"/>
      <c r="DV167" s="28"/>
      <c r="DW167" s="28"/>
      <c r="DX167" s="28"/>
      <c r="DY167" s="28"/>
      <c r="DZ167" s="28"/>
      <c r="EA167" s="28"/>
      <c r="EB167" s="28"/>
      <c r="EC167" s="28">
        <v>7</v>
      </c>
      <c r="ED167" s="28">
        <v>13</v>
      </c>
      <c r="EE167" s="28"/>
      <c r="EF167" s="28"/>
      <c r="EG167" s="28"/>
      <c r="EH167" s="28"/>
      <c r="EI167" s="28"/>
      <c r="EJ167" s="28"/>
      <c r="EK167" s="28"/>
      <c r="EL167" s="28"/>
      <c r="EM167" s="28"/>
      <c r="EN167" s="28"/>
      <c r="EO167" s="28"/>
      <c r="EP167" s="28"/>
      <c r="EQ167" s="28"/>
      <c r="ER167" s="28"/>
      <c r="ES167" s="28"/>
      <c r="ET167" s="28"/>
      <c r="EU167" s="28"/>
      <c r="EV167" s="28"/>
      <c r="EW167" s="28"/>
      <c r="EX167" s="28"/>
      <c r="EY167" s="28"/>
      <c r="EZ167" s="28"/>
      <c r="FA167" s="28"/>
      <c r="FB167" s="28"/>
      <c r="FC167" s="28">
        <v>3</v>
      </c>
      <c r="FD167" s="28"/>
      <c r="FE167" s="28"/>
      <c r="FF167" s="28"/>
      <c r="FG167" s="28"/>
      <c r="FH167" s="28"/>
      <c r="FI167" s="28"/>
      <c r="FJ167" s="28"/>
      <c r="FK167" s="28"/>
      <c r="FL167" s="28"/>
      <c r="FM167" s="28">
        <v>12</v>
      </c>
      <c r="FN167" s="28"/>
      <c r="FO167" s="28"/>
      <c r="FP167" s="28"/>
      <c r="FQ167" s="28"/>
      <c r="FR167" s="28"/>
      <c r="FS167" s="28">
        <v>56</v>
      </c>
      <c r="FT167" s="28"/>
      <c r="FU167" s="28"/>
      <c r="FV167" s="28"/>
      <c r="FW167" s="28">
        <v>1</v>
      </c>
      <c r="FX167" s="28"/>
      <c r="FY167" s="28"/>
      <c r="FZ167" s="28"/>
      <c r="GA167" s="28"/>
      <c r="GB167" s="28"/>
      <c r="GC167" s="28"/>
      <c r="GD167" s="28"/>
      <c r="GE167" s="28"/>
      <c r="GF167" s="28"/>
      <c r="GG167" s="28">
        <v>1</v>
      </c>
      <c r="GH167" s="28"/>
      <c r="GI167" s="28"/>
      <c r="GJ167" s="28"/>
      <c r="GK167" s="28"/>
      <c r="GL167" s="28"/>
      <c r="GM167" s="28"/>
      <c r="GN167" s="28"/>
      <c r="GO167" s="28"/>
      <c r="GP167" s="28"/>
      <c r="GQ167" s="28"/>
      <c r="GR167" s="28"/>
      <c r="GS167" s="28"/>
      <c r="GT167" s="28"/>
      <c r="GU167" s="28"/>
      <c r="GV167" s="28"/>
      <c r="GW167" s="28"/>
      <c r="GX167" s="28"/>
      <c r="GY167" s="28"/>
      <c r="GZ167" s="28"/>
      <c r="HA167" s="28"/>
      <c r="HB167" s="28"/>
      <c r="HC167" s="28"/>
      <c r="HD167" s="28"/>
      <c r="HE167" s="28"/>
      <c r="HF167" s="28"/>
      <c r="HG167" s="28"/>
      <c r="HH167" s="28"/>
      <c r="HI167" s="28"/>
    </row>
    <row r="168" spans="1:217" ht="13" x14ac:dyDescent="0.15">
      <c r="A168" s="13">
        <v>43236</v>
      </c>
      <c r="B168" s="3" t="s">
        <v>266</v>
      </c>
      <c r="C168" s="16">
        <f t="shared" ref="C168:C171" si="95">C167+1</f>
        <v>162</v>
      </c>
      <c r="D168" s="3">
        <v>22.060683999999998</v>
      </c>
      <c r="E168" s="3">
        <v>-159.318512</v>
      </c>
      <c r="F168" s="3" t="s">
        <v>347</v>
      </c>
      <c r="G168" s="14">
        <v>0.40625</v>
      </c>
      <c r="H168" s="14">
        <v>0.45555555555555555</v>
      </c>
      <c r="I168" s="3">
        <v>10</v>
      </c>
      <c r="J168" s="3">
        <v>7</v>
      </c>
      <c r="K168" s="3" t="s">
        <v>198</v>
      </c>
      <c r="L168" s="3">
        <v>10</v>
      </c>
      <c r="M168" s="3">
        <v>69</v>
      </c>
      <c r="N168" s="3" t="s">
        <v>433</v>
      </c>
      <c r="P168" s="3">
        <v>69</v>
      </c>
      <c r="U168" s="3"/>
      <c r="V168" s="3"/>
      <c r="W168" s="3"/>
      <c r="X168" s="3">
        <v>1</v>
      </c>
      <c r="AA168" s="3"/>
      <c r="AB168" s="3">
        <v>3</v>
      </c>
      <c r="AC168" s="3">
        <v>1</v>
      </c>
      <c r="AD168" s="3">
        <v>11</v>
      </c>
      <c r="AI168" s="3">
        <v>1</v>
      </c>
      <c r="AL168" s="3"/>
      <c r="AM168" s="3">
        <v>52</v>
      </c>
      <c r="AN168" s="3">
        <v>1</v>
      </c>
      <c r="AT168" s="3">
        <v>2</v>
      </c>
      <c r="BA168" s="3"/>
      <c r="BB168" s="3">
        <v>3</v>
      </c>
      <c r="BE168" s="3">
        <v>5</v>
      </c>
      <c r="BK168" s="3">
        <v>15</v>
      </c>
      <c r="BN168" s="3">
        <v>21</v>
      </c>
      <c r="BT168" s="3">
        <v>7</v>
      </c>
      <c r="BV168" s="3">
        <v>43</v>
      </c>
      <c r="BW168" s="3">
        <v>4</v>
      </c>
      <c r="BZ168" s="3">
        <v>4</v>
      </c>
      <c r="CD168" s="3">
        <v>7</v>
      </c>
      <c r="CF168" s="3">
        <v>3</v>
      </c>
      <c r="CJ168" s="3"/>
      <c r="CK168" s="3">
        <v>2</v>
      </c>
      <c r="CS168" s="3">
        <v>5</v>
      </c>
      <c r="DD168" s="3">
        <v>1</v>
      </c>
      <c r="DF168" s="3"/>
      <c r="DG168" s="3">
        <v>2</v>
      </c>
      <c r="DM168" s="3">
        <v>16</v>
      </c>
      <c r="DR168" s="3"/>
      <c r="DS168" s="3">
        <v>71</v>
      </c>
      <c r="DT168" s="3"/>
      <c r="DU168" s="3"/>
      <c r="DV168" s="3">
        <v>37</v>
      </c>
      <c r="EA168" s="3">
        <v>3</v>
      </c>
      <c r="EJ168" s="3">
        <v>193</v>
      </c>
      <c r="ET168" s="3"/>
      <c r="EU168" s="3"/>
      <c r="EV168" s="3">
        <v>1</v>
      </c>
      <c r="FB168" s="3">
        <v>6</v>
      </c>
      <c r="FF168" s="3">
        <v>19</v>
      </c>
      <c r="FR168" s="3">
        <v>26</v>
      </c>
      <c r="FS168" s="3">
        <v>649</v>
      </c>
      <c r="GA168" s="3">
        <v>5</v>
      </c>
      <c r="GE168" s="3"/>
      <c r="GF168" s="3">
        <v>1</v>
      </c>
      <c r="GG168" s="3">
        <v>4</v>
      </c>
      <c r="GH168" s="3">
        <f>COUNT(R168:GG168)</f>
        <v>35</v>
      </c>
      <c r="GI168" s="3">
        <f>COUNTIF(R168:GG168,"&gt;=2")</f>
        <v>28</v>
      </c>
      <c r="GJ168" s="3">
        <f>COUNTIF(R168:GG168,"&gt;=5")</f>
        <v>18</v>
      </c>
      <c r="GK168" s="3">
        <f>SUM(R168:GG168)</f>
        <v>1225</v>
      </c>
      <c r="GL168" s="3">
        <f>25*P168</f>
        <v>1725</v>
      </c>
      <c r="GM168" s="3">
        <f>GL168-GK168</f>
        <v>500</v>
      </c>
    </row>
    <row r="169" spans="1:217" ht="13" x14ac:dyDescent="0.15">
      <c r="A169" s="27">
        <v>43237</v>
      </c>
      <c r="B169" s="28" t="s">
        <v>216</v>
      </c>
      <c r="C169" s="16">
        <f t="shared" si="95"/>
        <v>163</v>
      </c>
      <c r="D169" s="28">
        <v>21.3002</v>
      </c>
      <c r="E169" s="28">
        <v>-157.882599</v>
      </c>
      <c r="F169" s="28" t="s">
        <v>413</v>
      </c>
      <c r="G169" s="29">
        <v>0.375</v>
      </c>
      <c r="H169" s="29">
        <v>0.45833333333333331</v>
      </c>
      <c r="I169" s="28">
        <v>7</v>
      </c>
      <c r="J169" s="28">
        <v>15</v>
      </c>
      <c r="K169" s="28" t="s">
        <v>198</v>
      </c>
      <c r="L169" s="28">
        <v>5</v>
      </c>
      <c r="M169" s="28">
        <v>26</v>
      </c>
      <c r="N169" s="28" t="s">
        <v>531</v>
      </c>
      <c r="O169" s="28"/>
      <c r="P169" s="28"/>
      <c r="Q169" s="28"/>
      <c r="R169" s="28"/>
      <c r="S169" s="28"/>
      <c r="T169" s="28"/>
      <c r="U169" s="28"/>
      <c r="V169" s="28"/>
      <c r="W169" s="28"/>
      <c r="X169" s="28"/>
      <c r="Y169" s="28"/>
      <c r="Z169" s="28">
        <v>5</v>
      </c>
      <c r="AA169" s="28"/>
      <c r="AB169" s="28">
        <v>74</v>
      </c>
      <c r="AC169" s="28">
        <v>1</v>
      </c>
      <c r="AD169" s="28"/>
      <c r="AE169" s="28"/>
      <c r="AF169" s="28"/>
      <c r="AG169" s="28"/>
      <c r="AH169" s="28"/>
      <c r="AI169" s="28"/>
      <c r="AJ169" s="28"/>
      <c r="AK169" s="28"/>
      <c r="AL169" s="28"/>
      <c r="AM169" s="28">
        <v>1</v>
      </c>
      <c r="AN169" s="28"/>
      <c r="AO169" s="28"/>
      <c r="AP169" s="28"/>
      <c r="AQ169" s="28"/>
      <c r="AR169" s="28"/>
      <c r="AS169" s="28"/>
      <c r="AT169" s="28"/>
      <c r="AU169" s="28"/>
      <c r="AV169" s="28"/>
      <c r="AW169" s="28"/>
      <c r="AX169" s="28"/>
      <c r="AY169" s="28"/>
      <c r="AZ169" s="28"/>
      <c r="BA169" s="28"/>
      <c r="BB169" s="28"/>
      <c r="BC169" s="28">
        <v>2</v>
      </c>
      <c r="BD169" s="28"/>
      <c r="BE169" s="28">
        <v>7</v>
      </c>
      <c r="BF169" s="28"/>
      <c r="BG169" s="28"/>
      <c r="BH169" s="28"/>
      <c r="BI169" s="28"/>
      <c r="BJ169" s="28"/>
      <c r="BK169" s="28"/>
      <c r="BL169" s="28"/>
      <c r="BM169" s="28">
        <v>1</v>
      </c>
      <c r="BN169" s="28"/>
      <c r="BO169" s="28"/>
      <c r="BP169" s="28"/>
      <c r="BQ169" s="28"/>
      <c r="BR169" s="28"/>
      <c r="BS169" s="28"/>
      <c r="BT169" s="28">
        <v>2</v>
      </c>
      <c r="BU169" s="28"/>
      <c r="BV169" s="28"/>
      <c r="BW169" s="28"/>
      <c r="BX169" s="28"/>
      <c r="BY169" s="28"/>
      <c r="BZ169" s="28">
        <v>17</v>
      </c>
      <c r="CA169" s="28"/>
      <c r="CB169" s="28"/>
      <c r="CC169" s="28"/>
      <c r="CD169" s="28"/>
      <c r="CE169" s="28"/>
      <c r="CF169" s="28">
        <v>2</v>
      </c>
      <c r="CG169" s="28"/>
      <c r="CH169" s="28"/>
      <c r="CI169" s="28"/>
      <c r="CJ169" s="28"/>
      <c r="CK169" s="28"/>
      <c r="CL169" s="28"/>
      <c r="CM169" s="28"/>
      <c r="CN169" s="28"/>
      <c r="CO169" s="28"/>
      <c r="CP169" s="28"/>
      <c r="CQ169" s="28"/>
      <c r="CR169" s="28"/>
      <c r="CS169" s="28"/>
      <c r="CT169" s="28"/>
      <c r="CU169" s="28"/>
      <c r="CV169" s="28"/>
      <c r="CW169" s="28"/>
      <c r="CX169" s="28"/>
      <c r="CY169" s="28"/>
      <c r="CZ169" s="28"/>
      <c r="DA169" s="28"/>
      <c r="DB169" s="28"/>
      <c r="DC169" s="28"/>
      <c r="DD169" s="28"/>
      <c r="DE169" s="28"/>
      <c r="DF169" s="28"/>
      <c r="DG169" s="28">
        <v>1</v>
      </c>
      <c r="DH169" s="28"/>
      <c r="DI169" s="28"/>
      <c r="DJ169" s="28"/>
      <c r="DK169" s="28"/>
      <c r="DL169" s="28"/>
      <c r="DM169" s="28"/>
      <c r="DN169" s="28"/>
      <c r="DO169" s="28"/>
      <c r="DP169" s="28"/>
      <c r="DQ169" s="28"/>
      <c r="DR169" s="28"/>
      <c r="DS169" s="28"/>
      <c r="DT169" s="28"/>
      <c r="DU169" s="28"/>
      <c r="DV169" s="28"/>
      <c r="DW169" s="28"/>
      <c r="DX169" s="28"/>
      <c r="DY169" s="28"/>
      <c r="DZ169" s="28"/>
      <c r="EA169" s="28"/>
      <c r="EB169" s="28"/>
      <c r="EC169" s="28">
        <v>5</v>
      </c>
      <c r="ED169" s="28"/>
      <c r="EE169" s="28"/>
      <c r="EF169" s="28"/>
      <c r="EG169" s="28"/>
      <c r="EH169" s="28"/>
      <c r="EI169" s="28"/>
      <c r="EJ169" s="28"/>
      <c r="EK169" s="28"/>
      <c r="EL169" s="28"/>
      <c r="EM169" s="28"/>
      <c r="EN169" s="28"/>
      <c r="EO169" s="28"/>
      <c r="EP169" s="28"/>
      <c r="EQ169" s="28"/>
      <c r="ER169" s="28"/>
      <c r="ES169" s="28"/>
      <c r="ET169" s="28"/>
      <c r="EU169" s="28"/>
      <c r="EV169" s="28"/>
      <c r="EW169" s="28"/>
      <c r="EX169" s="28"/>
      <c r="EY169" s="28"/>
      <c r="EZ169" s="28"/>
      <c r="FA169" s="28"/>
      <c r="FB169" s="28"/>
      <c r="FC169" s="28"/>
      <c r="FD169" s="28"/>
      <c r="FE169" s="28"/>
      <c r="FF169" s="28"/>
      <c r="FG169" s="28"/>
      <c r="FH169" s="28"/>
      <c r="FI169" s="28"/>
      <c r="FJ169" s="28"/>
      <c r="FK169" s="28"/>
      <c r="FL169" s="28"/>
      <c r="FM169" s="28"/>
      <c r="FN169" s="28"/>
      <c r="FO169" s="28"/>
      <c r="FP169" s="28"/>
      <c r="FQ169" s="28"/>
      <c r="FR169" s="28"/>
      <c r="FS169" s="28">
        <v>138</v>
      </c>
      <c r="FT169" s="28"/>
      <c r="FU169" s="28"/>
      <c r="FV169" s="28"/>
      <c r="FW169" s="28"/>
      <c r="FX169" s="28"/>
      <c r="FY169" s="28"/>
      <c r="FZ169" s="28"/>
      <c r="GA169" s="28"/>
      <c r="GB169" s="28"/>
      <c r="GC169" s="28"/>
      <c r="GD169" s="28"/>
      <c r="GE169" s="28"/>
      <c r="GF169" s="28"/>
      <c r="GG169" s="28"/>
      <c r="GH169" s="28"/>
      <c r="GI169" s="28"/>
      <c r="GJ169" s="28"/>
      <c r="GK169" s="28"/>
      <c r="GL169" s="28"/>
      <c r="GM169" s="28"/>
      <c r="GN169" s="28"/>
      <c r="GO169" s="28"/>
      <c r="GP169" s="28"/>
      <c r="GQ169" s="28"/>
      <c r="GR169" s="28"/>
      <c r="GS169" s="28"/>
      <c r="GT169" s="28"/>
      <c r="GU169" s="28"/>
      <c r="GV169" s="28"/>
      <c r="GW169" s="28"/>
      <c r="GX169" s="28"/>
      <c r="GY169" s="28"/>
      <c r="GZ169" s="28"/>
      <c r="HA169" s="28"/>
      <c r="HB169" s="28"/>
      <c r="HC169" s="28"/>
      <c r="HD169" s="28"/>
      <c r="HE169" s="28"/>
      <c r="HF169" s="28"/>
      <c r="HG169" s="28"/>
      <c r="HH169" s="28"/>
      <c r="HI169" s="28"/>
    </row>
    <row r="170" spans="1:217" ht="13" x14ac:dyDescent="0.15">
      <c r="A170" s="13">
        <v>43238</v>
      </c>
      <c r="B170" s="3" t="s">
        <v>201</v>
      </c>
      <c r="C170" s="16">
        <f t="shared" si="95"/>
        <v>164</v>
      </c>
      <c r="D170" s="3">
        <v>21.25544</v>
      </c>
      <c r="E170" s="3">
        <v>-157.810303</v>
      </c>
      <c r="F170" s="3" t="s">
        <v>325</v>
      </c>
      <c r="G170" s="14">
        <v>0.42708333333333331</v>
      </c>
      <c r="H170" s="14">
        <v>0.46736111111111112</v>
      </c>
      <c r="I170" s="3">
        <v>5</v>
      </c>
      <c r="J170" s="3">
        <v>10</v>
      </c>
      <c r="K170" s="3" t="s">
        <v>318</v>
      </c>
      <c r="L170" s="3">
        <v>5</v>
      </c>
      <c r="M170" s="3">
        <v>25</v>
      </c>
      <c r="P170" s="3">
        <v>25</v>
      </c>
      <c r="R170" s="3">
        <v>5</v>
      </c>
      <c r="AI170" s="3">
        <v>18</v>
      </c>
      <c r="AL170" s="3">
        <v>1</v>
      </c>
      <c r="AO170" s="3"/>
      <c r="AP170" s="3">
        <v>1</v>
      </c>
      <c r="AZ170" s="3">
        <v>1</v>
      </c>
      <c r="BC170" s="3">
        <v>1</v>
      </c>
      <c r="BL170" s="3">
        <v>1</v>
      </c>
      <c r="BM170" s="3">
        <v>8</v>
      </c>
      <c r="BQ170" s="3">
        <v>14</v>
      </c>
      <c r="BW170" s="3">
        <v>3</v>
      </c>
      <c r="BX170" s="3">
        <v>1</v>
      </c>
      <c r="CI170" s="3">
        <v>1</v>
      </c>
      <c r="CJ170" s="3"/>
      <c r="CK170" s="3">
        <v>1</v>
      </c>
      <c r="CS170" s="3">
        <v>1</v>
      </c>
      <c r="DD170" s="3">
        <v>8</v>
      </c>
      <c r="DF170" s="3"/>
      <c r="DG170" s="3">
        <v>2</v>
      </c>
      <c r="DR170" s="3"/>
      <c r="DS170" s="3">
        <v>7</v>
      </c>
      <c r="DT170" s="3"/>
      <c r="DU170" s="3"/>
      <c r="DV170" s="3">
        <v>5</v>
      </c>
      <c r="DZ170" s="3">
        <v>1</v>
      </c>
      <c r="EC170" s="3">
        <v>1</v>
      </c>
      <c r="EJ170" s="3">
        <v>156</v>
      </c>
      <c r="EX170" s="3">
        <v>2</v>
      </c>
      <c r="FB170" s="3">
        <v>1</v>
      </c>
      <c r="FM170" s="3">
        <v>5</v>
      </c>
      <c r="FS170" s="3">
        <v>320</v>
      </c>
      <c r="GH170" s="3">
        <f t="shared" ref="GH170:GH171" si="96">COUNT(R170:GG170)</f>
        <v>25</v>
      </c>
      <c r="GI170" s="3">
        <f t="shared" ref="GI170:GI171" si="97">COUNTIF(R170:GG170,"&gt;=2")</f>
        <v>13</v>
      </c>
      <c r="GJ170" s="3">
        <f t="shared" ref="GJ170:GJ171" si="98">COUNTIF(R170:GG170,"&gt;=5")</f>
        <v>10</v>
      </c>
      <c r="GK170" s="3">
        <f t="shared" ref="GK170:GK171" si="99">SUM(R170:GG170)</f>
        <v>565</v>
      </c>
      <c r="GL170" s="3">
        <f t="shared" ref="GL170:GL171" si="100">25*P170</f>
        <v>625</v>
      </c>
      <c r="GM170" s="3">
        <f t="shared" ref="GM170:GM171" si="101">GL170-GK170</f>
        <v>60</v>
      </c>
    </row>
    <row r="171" spans="1:217" ht="13" x14ac:dyDescent="0.15">
      <c r="A171" s="24">
        <v>43238</v>
      </c>
      <c r="B171" s="25" t="s">
        <v>259</v>
      </c>
      <c r="C171" s="16">
        <f t="shared" si="95"/>
        <v>165</v>
      </c>
      <c r="D171" s="25">
        <v>19.737894000000001</v>
      </c>
      <c r="E171" s="25">
        <v>-155.03405799999999</v>
      </c>
      <c r="F171" s="25" t="s">
        <v>358</v>
      </c>
      <c r="G171" s="26">
        <v>0.3888888888888889</v>
      </c>
      <c r="H171" s="26">
        <v>0.41666666666666669</v>
      </c>
      <c r="I171" s="25">
        <v>7</v>
      </c>
      <c r="J171" s="25">
        <v>20</v>
      </c>
      <c r="K171" s="25" t="s">
        <v>198</v>
      </c>
      <c r="L171" s="25">
        <v>12</v>
      </c>
      <c r="M171" s="25">
        <v>52</v>
      </c>
      <c r="N171" s="25" t="s">
        <v>434</v>
      </c>
      <c r="O171" s="25"/>
      <c r="P171" s="25"/>
      <c r="Q171" s="25"/>
      <c r="R171" s="25"/>
      <c r="S171" s="25">
        <v>6</v>
      </c>
      <c r="T171" s="25"/>
      <c r="U171" s="25"/>
      <c r="V171" s="25"/>
      <c r="W171" s="25"/>
      <c r="X171" s="25"/>
      <c r="Y171" s="25"/>
      <c r="Z171" s="25"/>
      <c r="AA171" s="25"/>
      <c r="AB171" s="25"/>
      <c r="AC171" s="25"/>
      <c r="AD171" s="25"/>
      <c r="AE171" s="25"/>
      <c r="AF171" s="25">
        <v>15</v>
      </c>
      <c r="AG171" s="25">
        <v>49</v>
      </c>
      <c r="AH171" s="25"/>
      <c r="AI171" s="25"/>
      <c r="AJ171" s="25"/>
      <c r="AK171" s="25"/>
      <c r="AL171" s="25">
        <v>5</v>
      </c>
      <c r="AM171" s="25"/>
      <c r="AN171" s="25"/>
      <c r="AO171" s="25"/>
      <c r="AP171" s="25">
        <v>1</v>
      </c>
      <c r="AQ171" s="25"/>
      <c r="AR171" s="25"/>
      <c r="AS171" s="25"/>
      <c r="AT171" s="25"/>
      <c r="AU171" s="25"/>
      <c r="AV171" s="25"/>
      <c r="AW171" s="25"/>
      <c r="AX171" s="25"/>
      <c r="AY171" s="25"/>
      <c r="AZ171" s="25"/>
      <c r="BA171" s="25"/>
      <c r="BB171" s="25">
        <v>11</v>
      </c>
      <c r="BC171" s="25"/>
      <c r="BD171" s="25"/>
      <c r="BE171" s="25"/>
      <c r="BF171" s="25"/>
      <c r="BG171" s="25"/>
      <c r="BH171" s="25"/>
      <c r="BI171" s="25"/>
      <c r="BJ171" s="25"/>
      <c r="BK171" s="25">
        <v>6</v>
      </c>
      <c r="BL171" s="25">
        <v>4</v>
      </c>
      <c r="BM171" s="25">
        <v>155</v>
      </c>
      <c r="BN171" s="25"/>
      <c r="BO171" s="25"/>
      <c r="BP171" s="25"/>
      <c r="BQ171" s="25"/>
      <c r="BR171" s="25"/>
      <c r="BS171" s="25"/>
      <c r="BT171" s="25"/>
      <c r="BU171" s="25"/>
      <c r="BV171" s="25"/>
      <c r="BW171" s="25"/>
      <c r="BX171" s="25"/>
      <c r="BY171" s="25"/>
      <c r="BZ171" s="25"/>
      <c r="CA171" s="25"/>
      <c r="CB171" s="25"/>
      <c r="CC171" s="25">
        <v>31</v>
      </c>
      <c r="CD171" s="25">
        <v>1</v>
      </c>
      <c r="CE171" s="25"/>
      <c r="CF171" s="25"/>
      <c r="CG171" s="25"/>
      <c r="CH171" s="25"/>
      <c r="CI171" s="25"/>
      <c r="CJ171" s="25"/>
      <c r="CK171" s="25"/>
      <c r="CL171" s="25"/>
      <c r="CM171" s="25"/>
      <c r="CN171" s="25"/>
      <c r="CO171" s="25"/>
      <c r="CP171" s="25"/>
      <c r="CQ171" s="25"/>
      <c r="CR171" s="25"/>
      <c r="CS171" s="25"/>
      <c r="CT171" s="25"/>
      <c r="CU171" s="25">
        <v>6</v>
      </c>
      <c r="CV171" s="25"/>
      <c r="CW171" s="25"/>
      <c r="CX171" s="25"/>
      <c r="CY171" s="25"/>
      <c r="CZ171" s="25"/>
      <c r="DA171" s="25"/>
      <c r="DB171" s="25"/>
      <c r="DC171" s="25"/>
      <c r="DD171" s="25"/>
      <c r="DE171" s="25"/>
      <c r="DF171" s="25"/>
      <c r="DG171" s="25"/>
      <c r="DH171" s="25">
        <v>8</v>
      </c>
      <c r="DI171" s="25"/>
      <c r="DJ171" s="25"/>
      <c r="DK171" s="25"/>
      <c r="DL171" s="25"/>
      <c r="DM171" s="25"/>
      <c r="DN171" s="25"/>
      <c r="DO171" s="25"/>
      <c r="DP171" s="25"/>
      <c r="DQ171" s="25"/>
      <c r="DR171" s="25"/>
      <c r="DS171" s="25"/>
      <c r="DT171" s="25"/>
      <c r="DU171" s="25"/>
      <c r="DV171" s="25"/>
      <c r="DW171" s="25"/>
      <c r="DX171" s="25"/>
      <c r="DY171" s="25"/>
      <c r="DZ171" s="25"/>
      <c r="EA171" s="25"/>
      <c r="EB171" s="25"/>
      <c r="EC171" s="25"/>
      <c r="ED171" s="25">
        <v>52</v>
      </c>
      <c r="EE171" s="25"/>
      <c r="EF171" s="25"/>
      <c r="EG171" s="25"/>
      <c r="EH171" s="25"/>
      <c r="EI171" s="25">
        <v>1</v>
      </c>
      <c r="EJ171" s="25"/>
      <c r="EK171" s="25"/>
      <c r="EL171" s="25"/>
      <c r="EM171" s="25"/>
      <c r="EN171" s="25"/>
      <c r="EO171" s="25"/>
      <c r="EP171" s="25"/>
      <c r="EQ171" s="25"/>
      <c r="ER171" s="25"/>
      <c r="ES171" s="25"/>
      <c r="ET171" s="25"/>
      <c r="EU171" s="25"/>
      <c r="EV171" s="25"/>
      <c r="EW171" s="25"/>
      <c r="EX171" s="25">
        <v>25</v>
      </c>
      <c r="EY171" s="25"/>
      <c r="EZ171" s="25"/>
      <c r="FA171" s="25"/>
      <c r="FB171" s="25"/>
      <c r="FC171" s="25">
        <v>2</v>
      </c>
      <c r="FD171" s="25"/>
      <c r="FE171" s="25"/>
      <c r="FF171" s="25">
        <v>45</v>
      </c>
      <c r="FG171" s="25"/>
      <c r="FH171" s="25"/>
      <c r="FI171" s="25"/>
      <c r="FJ171" s="25"/>
      <c r="FK171" s="25"/>
      <c r="FL171" s="25"/>
      <c r="FM171" s="25">
        <v>31</v>
      </c>
      <c r="FN171" s="25"/>
      <c r="FO171" s="25"/>
      <c r="FP171" s="25"/>
      <c r="FQ171" s="25">
        <v>3</v>
      </c>
      <c r="FR171" s="25"/>
      <c r="FS171" s="25">
        <v>485</v>
      </c>
      <c r="FT171" s="25">
        <v>32</v>
      </c>
      <c r="FU171" s="25"/>
      <c r="FV171" s="25"/>
      <c r="FW171" s="25">
        <v>25</v>
      </c>
      <c r="FX171" s="25"/>
      <c r="FY171" s="25"/>
      <c r="FZ171" s="25"/>
      <c r="GA171" s="25">
        <v>67</v>
      </c>
      <c r="GB171" s="25"/>
      <c r="GC171" s="25"/>
      <c r="GD171" s="25"/>
      <c r="GE171" s="25"/>
      <c r="GF171" s="25">
        <v>4</v>
      </c>
      <c r="GG171" s="25">
        <v>1</v>
      </c>
      <c r="GH171" s="25">
        <f t="shared" si="96"/>
        <v>26</v>
      </c>
      <c r="GI171" s="25">
        <f t="shared" si="97"/>
        <v>22</v>
      </c>
      <c r="GJ171" s="25">
        <f t="shared" si="98"/>
        <v>18</v>
      </c>
      <c r="GK171" s="25">
        <f t="shared" si="99"/>
        <v>1071</v>
      </c>
      <c r="GL171" s="25">
        <f t="shared" si="100"/>
        <v>0</v>
      </c>
      <c r="GM171" s="25">
        <f t="shared" si="101"/>
        <v>-1071</v>
      </c>
      <c r="GN171" s="25"/>
      <c r="GO171" s="25"/>
      <c r="GP171" s="25"/>
      <c r="GQ171" s="25"/>
      <c r="GR171" s="25"/>
      <c r="GS171" s="25"/>
      <c r="GT171" s="25"/>
      <c r="GU171" s="25"/>
      <c r="GV171" s="25"/>
      <c r="GW171" s="25"/>
      <c r="GX171" s="25"/>
      <c r="GY171" s="25"/>
      <c r="GZ171" s="25"/>
      <c r="HA171" s="25"/>
      <c r="HB171" s="25"/>
      <c r="HC171" s="25"/>
      <c r="HD171" s="25"/>
      <c r="HE171" s="25"/>
      <c r="HF171" s="25"/>
      <c r="HG171" s="25"/>
      <c r="HH171" s="25"/>
      <c r="HI171" s="25"/>
    </row>
    <row r="172" spans="1:217" ht="13" x14ac:dyDescent="0.15">
      <c r="A172" s="90">
        <v>43238</v>
      </c>
      <c r="B172" s="20" t="s">
        <v>246</v>
      </c>
      <c r="C172" s="16"/>
      <c r="D172" s="20"/>
      <c r="E172" s="20"/>
      <c r="F172" s="20"/>
      <c r="G172" s="21"/>
      <c r="H172" s="21"/>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c r="CL172" s="20"/>
      <c r="CM172" s="20"/>
      <c r="CN172" s="20"/>
      <c r="CO172" s="20"/>
      <c r="CP172" s="20"/>
      <c r="CQ172" s="20"/>
      <c r="CR172" s="20"/>
      <c r="CS172" s="20"/>
      <c r="CT172" s="20"/>
      <c r="CU172" s="20"/>
      <c r="CV172" s="20"/>
      <c r="CW172" s="20"/>
      <c r="CX172" s="20"/>
      <c r="CY172" s="20"/>
      <c r="CZ172" s="20"/>
      <c r="DA172" s="20"/>
      <c r="DB172" s="20"/>
      <c r="DC172" s="20"/>
      <c r="DD172" s="20"/>
      <c r="DE172" s="20"/>
      <c r="DF172" s="20"/>
      <c r="DG172" s="20"/>
      <c r="DH172" s="20"/>
      <c r="DI172" s="20"/>
      <c r="DJ172" s="20"/>
      <c r="DK172" s="20"/>
      <c r="DL172" s="20"/>
      <c r="DM172" s="20"/>
      <c r="DN172" s="20"/>
      <c r="DO172" s="20"/>
      <c r="DP172" s="20"/>
      <c r="DQ172" s="20"/>
      <c r="DR172" s="20"/>
      <c r="DS172" s="20"/>
      <c r="DT172" s="20"/>
      <c r="DU172" s="20"/>
      <c r="DV172" s="20"/>
      <c r="DW172" s="20"/>
      <c r="DX172" s="20"/>
      <c r="DY172" s="20"/>
      <c r="DZ172" s="20"/>
      <c r="EA172" s="20"/>
      <c r="EB172" s="20"/>
      <c r="EC172" s="20"/>
      <c r="ED172" s="20"/>
      <c r="EE172" s="20"/>
      <c r="EF172" s="20"/>
      <c r="EG172" s="20"/>
      <c r="EH172" s="20"/>
      <c r="EI172" s="20"/>
      <c r="EJ172" s="20"/>
      <c r="EK172" s="20"/>
      <c r="EL172" s="20"/>
      <c r="EM172" s="20"/>
      <c r="EN172" s="20"/>
      <c r="EO172" s="20"/>
      <c r="EP172" s="20"/>
      <c r="EQ172" s="20"/>
      <c r="ER172" s="20"/>
      <c r="ES172" s="20"/>
      <c r="ET172" s="20"/>
      <c r="EU172" s="20"/>
      <c r="EV172" s="20"/>
      <c r="EW172" s="20"/>
      <c r="EX172" s="20"/>
      <c r="EY172" s="20"/>
      <c r="EZ172" s="20"/>
      <c r="FA172" s="20"/>
      <c r="FB172" s="20"/>
      <c r="FC172" s="20"/>
      <c r="FD172" s="20"/>
      <c r="FE172" s="20"/>
      <c r="FF172" s="20"/>
      <c r="FG172" s="20"/>
      <c r="FH172" s="20"/>
      <c r="FI172" s="20"/>
      <c r="FJ172" s="20"/>
      <c r="FK172" s="20"/>
      <c r="FL172" s="20"/>
      <c r="FM172" s="20"/>
      <c r="FN172" s="20"/>
      <c r="FO172" s="20"/>
      <c r="FP172" s="20"/>
      <c r="FQ172" s="20"/>
      <c r="FR172" s="20"/>
      <c r="FS172" s="20"/>
      <c r="FT172" s="20"/>
      <c r="FU172" s="20"/>
      <c r="FV172" s="20"/>
      <c r="FW172" s="20"/>
      <c r="FX172" s="20"/>
      <c r="FY172" s="20"/>
      <c r="FZ172" s="20"/>
      <c r="GA172" s="20"/>
      <c r="GB172" s="20"/>
      <c r="GC172" s="20"/>
      <c r="GD172" s="20"/>
      <c r="GE172" s="20"/>
      <c r="GF172" s="20"/>
      <c r="GG172" s="20"/>
      <c r="GH172" s="20"/>
      <c r="GI172" s="20"/>
      <c r="GJ172" s="20"/>
      <c r="GK172" s="20"/>
      <c r="GL172" s="20"/>
      <c r="GM172" s="20"/>
      <c r="GN172" s="20"/>
      <c r="GO172" s="20"/>
      <c r="GP172" s="20"/>
      <c r="GQ172" s="20"/>
      <c r="GR172" s="20"/>
      <c r="GS172" s="20"/>
      <c r="GT172" s="20"/>
      <c r="GU172" s="20"/>
      <c r="GV172" s="20"/>
      <c r="GW172" s="20"/>
      <c r="GX172" s="20"/>
      <c r="GY172" s="20"/>
      <c r="GZ172" s="20"/>
      <c r="HA172" s="20"/>
      <c r="HB172" s="20"/>
      <c r="HC172" s="20"/>
      <c r="HD172" s="20"/>
      <c r="HE172" s="20"/>
      <c r="HF172" s="20"/>
      <c r="HG172" s="20"/>
      <c r="HH172" s="20"/>
      <c r="HI172" s="20"/>
    </row>
    <row r="173" spans="1:217" ht="13" x14ac:dyDescent="0.15">
      <c r="A173" s="27">
        <v>43239</v>
      </c>
      <c r="B173" s="28" t="s">
        <v>369</v>
      </c>
      <c r="C173" s="16">
        <v>166</v>
      </c>
      <c r="D173" s="28">
        <v>21.888725000000001</v>
      </c>
      <c r="E173" s="28">
        <v>-159.41641200000001</v>
      </c>
      <c r="F173" s="28" t="s">
        <v>321</v>
      </c>
      <c r="G173" s="29">
        <v>0.45694444444444443</v>
      </c>
      <c r="H173" s="29">
        <v>0.47569444444444442</v>
      </c>
      <c r="I173" s="28">
        <v>3</v>
      </c>
      <c r="J173" s="28">
        <v>4.5</v>
      </c>
      <c r="K173" s="28" t="s">
        <v>314</v>
      </c>
      <c r="L173" s="28">
        <v>10</v>
      </c>
      <c r="M173" s="28">
        <v>9</v>
      </c>
      <c r="N173" s="28" t="s">
        <v>532</v>
      </c>
      <c r="O173" s="28"/>
      <c r="P173" s="28"/>
      <c r="Q173" s="28"/>
      <c r="R173" s="28"/>
      <c r="S173" s="28"/>
      <c r="T173" s="28"/>
      <c r="U173" s="28"/>
      <c r="V173" s="28"/>
      <c r="W173" s="28"/>
      <c r="X173" s="28"/>
      <c r="Y173" s="28"/>
      <c r="Z173" s="28"/>
      <c r="AA173" s="28"/>
      <c r="AB173" s="28">
        <v>25</v>
      </c>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v>6</v>
      </c>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c r="BW173" s="28"/>
      <c r="BX173" s="28"/>
      <c r="BY173" s="28"/>
      <c r="BZ173" s="28"/>
      <c r="CA173" s="28"/>
      <c r="CB173" s="28"/>
      <c r="CC173" s="28"/>
      <c r="CD173" s="28"/>
      <c r="CE173" s="28"/>
      <c r="CF173" s="28"/>
      <c r="CG173" s="28"/>
      <c r="CH173" s="28"/>
      <c r="CI173" s="28"/>
      <c r="CJ173" s="28"/>
      <c r="CK173" s="28"/>
      <c r="CL173" s="28"/>
      <c r="CM173" s="28"/>
      <c r="CN173" s="28"/>
      <c r="CO173" s="28"/>
      <c r="CP173" s="28"/>
      <c r="CQ173" s="28"/>
      <c r="CR173" s="28"/>
      <c r="CS173" s="28"/>
      <c r="CT173" s="28"/>
      <c r="CU173" s="28"/>
      <c r="CV173" s="28"/>
      <c r="CW173" s="28"/>
      <c r="CX173" s="28"/>
      <c r="CY173" s="28"/>
      <c r="CZ173" s="28"/>
      <c r="DA173" s="28"/>
      <c r="DB173" s="28"/>
      <c r="DC173" s="28"/>
      <c r="DD173" s="28"/>
      <c r="DE173" s="28"/>
      <c r="DF173" s="28"/>
      <c r="DG173" s="28"/>
      <c r="DH173" s="28"/>
      <c r="DI173" s="28"/>
      <c r="DJ173" s="28"/>
      <c r="DK173" s="28"/>
      <c r="DL173" s="28"/>
      <c r="DM173" s="28"/>
      <c r="DN173" s="28"/>
      <c r="DO173" s="28"/>
      <c r="DP173" s="28"/>
      <c r="DQ173" s="28"/>
      <c r="DR173" s="28"/>
      <c r="DS173" s="28">
        <v>56</v>
      </c>
      <c r="DT173" s="28"/>
      <c r="DU173" s="28"/>
      <c r="DV173" s="28"/>
      <c r="DW173" s="28"/>
      <c r="DX173" s="28"/>
      <c r="DY173" s="28"/>
      <c r="DZ173" s="28"/>
      <c r="EA173" s="28"/>
      <c r="EB173" s="28"/>
      <c r="EC173" s="28"/>
      <c r="ED173" s="28"/>
      <c r="EE173" s="28"/>
      <c r="EF173" s="28"/>
      <c r="EG173" s="28"/>
      <c r="EH173" s="28"/>
      <c r="EI173" s="28"/>
      <c r="EJ173" s="28"/>
      <c r="EK173" s="28"/>
      <c r="EL173" s="28"/>
      <c r="EM173" s="28"/>
      <c r="EN173" s="28"/>
      <c r="EO173" s="28"/>
      <c r="EP173" s="28"/>
      <c r="EQ173" s="28"/>
      <c r="ER173" s="28"/>
      <c r="ES173" s="28"/>
      <c r="ET173" s="28"/>
      <c r="EU173" s="28"/>
      <c r="EV173" s="28"/>
      <c r="EW173" s="28"/>
      <c r="EX173" s="28"/>
      <c r="EY173" s="28"/>
      <c r="EZ173" s="28"/>
      <c r="FA173" s="28"/>
      <c r="FB173" s="28">
        <v>1</v>
      </c>
      <c r="FC173" s="28"/>
      <c r="FD173" s="28"/>
      <c r="FE173" s="28"/>
      <c r="FF173" s="28"/>
      <c r="FG173" s="28"/>
      <c r="FH173" s="28"/>
      <c r="FI173" s="28"/>
      <c r="FJ173" s="28"/>
      <c r="FK173" s="28"/>
      <c r="FL173" s="28"/>
      <c r="FM173" s="28"/>
      <c r="FN173" s="28"/>
      <c r="FO173" s="28"/>
      <c r="FP173" s="28"/>
      <c r="FQ173" s="28"/>
      <c r="FR173" s="28"/>
      <c r="FS173" s="28">
        <v>1</v>
      </c>
      <c r="FT173" s="28"/>
      <c r="FU173" s="28">
        <v>22</v>
      </c>
      <c r="FV173" s="28"/>
      <c r="FW173" s="28">
        <v>7</v>
      </c>
      <c r="FX173" s="28"/>
      <c r="FY173" s="28"/>
      <c r="FZ173" s="28"/>
      <c r="GA173" s="28"/>
      <c r="GB173" s="28"/>
      <c r="GC173" s="28"/>
      <c r="GD173" s="28"/>
      <c r="GE173" s="28"/>
      <c r="GF173" s="28"/>
      <c r="GG173" s="28"/>
      <c r="GH173" s="28"/>
      <c r="GI173" s="28"/>
      <c r="GJ173" s="28"/>
      <c r="GK173" s="28"/>
      <c r="GL173" s="28"/>
      <c r="GM173" s="28"/>
      <c r="GN173" s="28"/>
      <c r="GO173" s="28"/>
      <c r="GP173" s="28"/>
      <c r="GQ173" s="28"/>
      <c r="GR173" s="28"/>
      <c r="GS173" s="28"/>
      <c r="GT173" s="28"/>
      <c r="GU173" s="28"/>
      <c r="GV173" s="28"/>
      <c r="GW173" s="28"/>
      <c r="GX173" s="28"/>
      <c r="GY173" s="28"/>
      <c r="GZ173" s="28"/>
      <c r="HA173" s="28"/>
      <c r="HB173" s="28"/>
      <c r="HC173" s="28"/>
      <c r="HD173" s="28"/>
      <c r="HE173" s="28"/>
      <c r="HF173" s="28"/>
      <c r="HG173" s="28"/>
      <c r="HH173" s="28"/>
      <c r="HI173" s="28"/>
    </row>
    <row r="174" spans="1:217" ht="13" x14ac:dyDescent="0.15">
      <c r="A174" s="27">
        <v>43241</v>
      </c>
      <c r="B174" s="28" t="s">
        <v>230</v>
      </c>
      <c r="C174" s="16">
        <f>C173+1</f>
        <v>167</v>
      </c>
      <c r="D174" s="28">
        <v>20.753699999999998</v>
      </c>
      <c r="E174" s="28">
        <v>-156.46090699999999</v>
      </c>
      <c r="F174" s="28" t="s">
        <v>397</v>
      </c>
      <c r="G174" s="29">
        <v>0.46875</v>
      </c>
      <c r="H174" s="29">
        <v>0.54166666666666663</v>
      </c>
      <c r="I174" s="28">
        <v>5</v>
      </c>
      <c r="J174" s="28">
        <v>12</v>
      </c>
      <c r="K174" s="28" t="s">
        <v>198</v>
      </c>
      <c r="L174" s="28">
        <v>7</v>
      </c>
      <c r="M174" s="28">
        <v>19</v>
      </c>
      <c r="N174" s="28" t="s">
        <v>533</v>
      </c>
      <c r="O174" s="28"/>
      <c r="P174" s="28"/>
      <c r="Q174" s="28"/>
      <c r="R174" s="28">
        <v>26</v>
      </c>
      <c r="S174" s="28"/>
      <c r="T174" s="28"/>
      <c r="U174" s="28"/>
      <c r="V174" s="28"/>
      <c r="W174" s="28"/>
      <c r="X174" s="28"/>
      <c r="Y174" s="28"/>
      <c r="Z174" s="28"/>
      <c r="AA174" s="28"/>
      <c r="AB174" s="28">
        <v>5</v>
      </c>
      <c r="AC174" s="28"/>
      <c r="AD174" s="28"/>
      <c r="AE174" s="28"/>
      <c r="AF174" s="28"/>
      <c r="AG174" s="28"/>
      <c r="AH174" s="28"/>
      <c r="AI174" s="28"/>
      <c r="AJ174" s="28"/>
      <c r="AK174" s="28"/>
      <c r="AL174" s="28"/>
      <c r="AM174" s="28">
        <v>61</v>
      </c>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v>54</v>
      </c>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v>1</v>
      </c>
      <c r="CL174" s="28"/>
      <c r="CM174" s="28"/>
      <c r="CN174" s="28">
        <v>2</v>
      </c>
      <c r="CO174" s="28"/>
      <c r="CP174" s="28"/>
      <c r="CQ174" s="28"/>
      <c r="CR174" s="28"/>
      <c r="CS174" s="28"/>
      <c r="CT174" s="28"/>
      <c r="CU174" s="28"/>
      <c r="CV174" s="28"/>
      <c r="CW174" s="28"/>
      <c r="CX174" s="28"/>
      <c r="CY174" s="28"/>
      <c r="CZ174" s="28"/>
      <c r="DA174" s="28"/>
      <c r="DB174" s="28"/>
      <c r="DC174" s="28"/>
      <c r="DD174" s="28"/>
      <c r="DE174" s="28"/>
      <c r="DF174" s="28"/>
      <c r="DG174" s="28">
        <v>1</v>
      </c>
      <c r="DH174" s="28"/>
      <c r="DI174" s="28"/>
      <c r="DJ174" s="28"/>
      <c r="DK174" s="28"/>
      <c r="DL174" s="28"/>
      <c r="DM174" s="28"/>
      <c r="DN174" s="28"/>
      <c r="DO174" s="28"/>
      <c r="DP174" s="28"/>
      <c r="DQ174" s="28"/>
      <c r="DR174" s="28"/>
      <c r="DS174" s="28">
        <v>2</v>
      </c>
      <c r="DT174" s="28"/>
      <c r="DU174" s="28"/>
      <c r="DV174" s="28"/>
      <c r="DW174" s="28"/>
      <c r="DX174" s="28"/>
      <c r="DY174" s="28"/>
      <c r="DZ174" s="28"/>
      <c r="EA174" s="28"/>
      <c r="EB174" s="28"/>
      <c r="EC174" s="28"/>
      <c r="ED174" s="28"/>
      <c r="EE174" s="28"/>
      <c r="EF174" s="28"/>
      <c r="EG174" s="28"/>
      <c r="EH174" s="28"/>
      <c r="EI174" s="28"/>
      <c r="EJ174" s="28"/>
      <c r="EK174" s="28"/>
      <c r="EL174" s="28"/>
      <c r="EM174" s="28"/>
      <c r="EN174" s="28"/>
      <c r="EO174" s="28"/>
      <c r="EP174" s="28"/>
      <c r="EQ174" s="28"/>
      <c r="ER174" s="28"/>
      <c r="ES174" s="28"/>
      <c r="ET174" s="28"/>
      <c r="EU174" s="28"/>
      <c r="EV174" s="28"/>
      <c r="EW174" s="28"/>
      <c r="EX174" s="28"/>
      <c r="EY174" s="28"/>
      <c r="EZ174" s="28"/>
      <c r="FA174" s="28"/>
      <c r="FB174" s="28"/>
      <c r="FC174" s="28"/>
      <c r="FD174" s="28"/>
      <c r="FE174" s="28"/>
      <c r="FF174" s="28"/>
      <c r="FG174" s="28"/>
      <c r="FH174" s="28"/>
      <c r="FI174" s="28"/>
      <c r="FJ174" s="28"/>
      <c r="FK174" s="28"/>
      <c r="FL174" s="28"/>
      <c r="FM174" s="28"/>
      <c r="FN174" s="28"/>
      <c r="FO174" s="28"/>
      <c r="FP174" s="28"/>
      <c r="FQ174" s="28"/>
      <c r="FR174" s="28"/>
      <c r="FS174" s="28">
        <v>42</v>
      </c>
      <c r="FT174" s="28"/>
      <c r="FU174" s="28"/>
      <c r="FV174" s="28"/>
      <c r="FW174" s="28"/>
      <c r="FX174" s="28"/>
      <c r="FY174" s="28"/>
      <c r="FZ174" s="28"/>
      <c r="GA174" s="28"/>
      <c r="GB174" s="28"/>
      <c r="GC174" s="28"/>
      <c r="GD174" s="28"/>
      <c r="GE174" s="28"/>
      <c r="GF174" s="28"/>
      <c r="GG174" s="28"/>
      <c r="GH174" s="28"/>
      <c r="GI174" s="28"/>
      <c r="GJ174" s="28"/>
      <c r="GK174" s="28"/>
      <c r="GL174" s="28"/>
      <c r="GM174" s="28"/>
      <c r="GN174" s="28"/>
      <c r="GO174" s="28"/>
      <c r="GP174" s="28"/>
      <c r="GQ174" s="28"/>
      <c r="GR174" s="28"/>
      <c r="GS174" s="28"/>
      <c r="GT174" s="28"/>
      <c r="GU174" s="28"/>
      <c r="GV174" s="28"/>
      <c r="GW174" s="28"/>
      <c r="GX174" s="28"/>
      <c r="GY174" s="28"/>
      <c r="GZ174" s="28"/>
      <c r="HA174" s="28"/>
      <c r="HB174" s="28"/>
      <c r="HC174" s="28"/>
      <c r="HD174" s="28"/>
      <c r="HE174" s="28"/>
      <c r="HF174" s="28"/>
      <c r="HG174" s="28"/>
      <c r="HH174" s="28"/>
      <c r="HI174" s="28"/>
    </row>
    <row r="175" spans="1:217" ht="13" x14ac:dyDescent="0.15">
      <c r="A175" s="90">
        <v>43248</v>
      </c>
      <c r="B175" s="20" t="s">
        <v>246</v>
      </c>
      <c r="C175" s="16"/>
      <c r="D175" s="20"/>
      <c r="E175" s="20"/>
      <c r="F175" s="20"/>
      <c r="G175" s="21"/>
      <c r="H175" s="21"/>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c r="CL175" s="20"/>
      <c r="CM175" s="20"/>
      <c r="CN175" s="20"/>
      <c r="CO175" s="20"/>
      <c r="CP175" s="20"/>
      <c r="CQ175" s="20"/>
      <c r="CR175" s="20"/>
      <c r="CS175" s="20"/>
      <c r="CT175" s="20"/>
      <c r="CU175" s="20"/>
      <c r="CV175" s="20"/>
      <c r="CW175" s="20"/>
      <c r="CX175" s="20"/>
      <c r="CY175" s="20"/>
      <c r="CZ175" s="20"/>
      <c r="DA175" s="20"/>
      <c r="DB175" s="20"/>
      <c r="DC175" s="20"/>
      <c r="DD175" s="20"/>
      <c r="DE175" s="20"/>
      <c r="DF175" s="20"/>
      <c r="DG175" s="20"/>
      <c r="DH175" s="20"/>
      <c r="DI175" s="20"/>
      <c r="DJ175" s="20"/>
      <c r="DK175" s="20"/>
      <c r="DL175" s="20"/>
      <c r="DM175" s="20"/>
      <c r="DN175" s="20"/>
      <c r="DO175" s="20"/>
      <c r="DP175" s="20"/>
      <c r="DQ175" s="20"/>
      <c r="DR175" s="20"/>
      <c r="DS175" s="20"/>
      <c r="DT175" s="20"/>
      <c r="DU175" s="20"/>
      <c r="DV175" s="20"/>
      <c r="DW175" s="20"/>
      <c r="DX175" s="20"/>
      <c r="DY175" s="20"/>
      <c r="DZ175" s="20"/>
      <c r="EA175" s="20"/>
      <c r="EB175" s="20"/>
      <c r="EC175" s="20"/>
      <c r="ED175" s="20"/>
      <c r="EE175" s="20"/>
      <c r="EF175" s="20"/>
      <c r="EG175" s="20"/>
      <c r="EH175" s="20"/>
      <c r="EI175" s="20"/>
      <c r="EJ175" s="20"/>
      <c r="EK175" s="20"/>
      <c r="EL175" s="20"/>
      <c r="EM175" s="20"/>
      <c r="EN175" s="20"/>
      <c r="EO175" s="20"/>
      <c r="EP175" s="20"/>
      <c r="EQ175" s="20"/>
      <c r="ER175" s="20"/>
      <c r="ES175" s="20"/>
      <c r="ET175" s="20"/>
      <c r="EU175" s="20"/>
      <c r="EV175" s="20"/>
      <c r="EW175" s="20"/>
      <c r="EX175" s="20"/>
      <c r="EY175" s="20"/>
      <c r="EZ175" s="20"/>
      <c r="FA175" s="20"/>
      <c r="FB175" s="20"/>
      <c r="FC175" s="20"/>
      <c r="FD175" s="20"/>
      <c r="FE175" s="20"/>
      <c r="FF175" s="20"/>
      <c r="FG175" s="20"/>
      <c r="FH175" s="20"/>
      <c r="FI175" s="20"/>
      <c r="FJ175" s="20"/>
      <c r="FK175" s="20"/>
      <c r="FL175" s="20"/>
      <c r="FM175" s="20"/>
      <c r="FN175" s="20"/>
      <c r="FO175" s="20"/>
      <c r="FP175" s="20"/>
      <c r="FQ175" s="20"/>
      <c r="FR175" s="20"/>
      <c r="FS175" s="20"/>
      <c r="FT175" s="20"/>
      <c r="FU175" s="20"/>
      <c r="FV175" s="20"/>
      <c r="FW175" s="20"/>
      <c r="FX175" s="20"/>
      <c r="FY175" s="20"/>
      <c r="FZ175" s="20"/>
      <c r="GA175" s="20"/>
      <c r="GB175" s="20"/>
      <c r="GC175" s="20"/>
      <c r="GD175" s="20"/>
      <c r="GE175" s="20"/>
      <c r="GF175" s="20"/>
      <c r="GG175" s="20"/>
      <c r="GH175" s="20"/>
      <c r="GI175" s="20"/>
      <c r="GJ175" s="20"/>
      <c r="GK175" s="20"/>
      <c r="GL175" s="20"/>
      <c r="GM175" s="20"/>
      <c r="GN175" s="20"/>
      <c r="GO175" s="20"/>
      <c r="GP175" s="20"/>
      <c r="GQ175" s="20"/>
      <c r="GR175" s="20"/>
      <c r="GS175" s="20"/>
      <c r="GT175" s="20"/>
      <c r="GU175" s="20"/>
      <c r="GV175" s="20"/>
      <c r="GW175" s="20"/>
      <c r="GX175" s="20"/>
      <c r="GY175" s="20"/>
      <c r="GZ175" s="20"/>
      <c r="HA175" s="20"/>
      <c r="HB175" s="20"/>
      <c r="HC175" s="20"/>
      <c r="HD175" s="20"/>
      <c r="HE175" s="20"/>
      <c r="HF175" s="20"/>
      <c r="HG175" s="20"/>
      <c r="HH175" s="20"/>
      <c r="HI175" s="20"/>
    </row>
    <row r="176" spans="1:217" ht="13" x14ac:dyDescent="0.15">
      <c r="A176" s="90">
        <v>43250</v>
      </c>
      <c r="B176" s="20" t="s">
        <v>400</v>
      </c>
      <c r="C176" s="16"/>
      <c r="D176" s="20"/>
      <c r="E176" s="20"/>
      <c r="F176" s="20"/>
      <c r="G176" s="21"/>
      <c r="H176" s="21"/>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c r="DV176" s="20"/>
      <c r="DW176" s="20"/>
      <c r="DX176" s="20"/>
      <c r="DY176" s="20"/>
      <c r="DZ176" s="20"/>
      <c r="EA176" s="20"/>
      <c r="EB176" s="20"/>
      <c r="EC176" s="20"/>
      <c r="ED176" s="20"/>
      <c r="EE176" s="20"/>
      <c r="EF176" s="20"/>
      <c r="EG176" s="20"/>
      <c r="EH176" s="20"/>
      <c r="EI176" s="20"/>
      <c r="EJ176" s="20"/>
      <c r="EK176" s="20"/>
      <c r="EL176" s="20"/>
      <c r="EM176" s="20"/>
      <c r="EN176" s="20"/>
      <c r="EO176" s="20"/>
      <c r="EP176" s="20"/>
      <c r="EQ176" s="20"/>
      <c r="ER176" s="20"/>
      <c r="ES176" s="20"/>
      <c r="ET176" s="20"/>
      <c r="EU176" s="20"/>
      <c r="EV176" s="20"/>
      <c r="EW176" s="20"/>
      <c r="EX176" s="20"/>
      <c r="EY176" s="20"/>
      <c r="EZ176" s="20"/>
      <c r="FA176" s="20"/>
      <c r="FB176" s="20"/>
      <c r="FC176" s="20"/>
      <c r="FD176" s="20"/>
      <c r="FE176" s="20"/>
      <c r="FF176" s="20"/>
      <c r="FG176" s="20"/>
      <c r="FH176" s="20"/>
      <c r="FI176" s="20"/>
      <c r="FJ176" s="20"/>
      <c r="FK176" s="20"/>
      <c r="FL176" s="20"/>
      <c r="FM176" s="20"/>
      <c r="FN176" s="20"/>
      <c r="FO176" s="20"/>
      <c r="FP176" s="20"/>
      <c r="FQ176" s="20"/>
      <c r="FR176" s="20"/>
      <c r="FS176" s="20"/>
      <c r="FT176" s="20"/>
      <c r="FU176" s="20"/>
      <c r="FV176" s="20"/>
      <c r="FW176" s="20"/>
      <c r="FX176" s="20"/>
      <c r="FY176" s="20"/>
      <c r="FZ176" s="20"/>
      <c r="GA176" s="20"/>
      <c r="GB176" s="20"/>
      <c r="GC176" s="20"/>
      <c r="GD176" s="20"/>
      <c r="GE176" s="20"/>
      <c r="GF176" s="20"/>
      <c r="GG176" s="20"/>
      <c r="GH176" s="20"/>
      <c r="GI176" s="20"/>
      <c r="GJ176" s="20"/>
      <c r="GK176" s="20"/>
      <c r="GL176" s="20"/>
      <c r="GM176" s="20"/>
      <c r="GN176" s="20"/>
      <c r="GO176" s="20"/>
      <c r="GP176" s="20"/>
      <c r="GQ176" s="20"/>
      <c r="GR176" s="20"/>
      <c r="GS176" s="20"/>
      <c r="GT176" s="20"/>
      <c r="GU176" s="20"/>
      <c r="GV176" s="20"/>
      <c r="GW176" s="20"/>
      <c r="GX176" s="20"/>
      <c r="GY176" s="20"/>
      <c r="GZ176" s="20"/>
      <c r="HA176" s="20"/>
      <c r="HB176" s="20"/>
      <c r="HC176" s="20"/>
      <c r="HD176" s="20"/>
      <c r="HE176" s="20"/>
      <c r="HF176" s="20"/>
      <c r="HG176" s="20"/>
      <c r="HH176" s="20"/>
      <c r="HI176" s="20"/>
    </row>
    <row r="177" spans="1:217" ht="13" x14ac:dyDescent="0.15">
      <c r="A177" s="90">
        <v>43251</v>
      </c>
      <c r="B177" s="20" t="s">
        <v>337</v>
      </c>
      <c r="C177" s="16"/>
      <c r="D177" s="20"/>
      <c r="E177" s="20"/>
      <c r="F177" s="20"/>
      <c r="G177" s="21"/>
      <c r="H177" s="21"/>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c r="CG177" s="20"/>
      <c r="CH177" s="20"/>
      <c r="CI177" s="20"/>
      <c r="CJ177" s="20"/>
      <c r="CK177" s="20"/>
      <c r="CL177" s="20"/>
      <c r="CM177" s="20"/>
      <c r="CN177" s="20"/>
      <c r="CO177" s="20"/>
      <c r="CP177" s="20"/>
      <c r="CQ177" s="20"/>
      <c r="CR177" s="20"/>
      <c r="CS177" s="20"/>
      <c r="CT177" s="20"/>
      <c r="CU177" s="20"/>
      <c r="CV177" s="20"/>
      <c r="CW177" s="20"/>
      <c r="CX177" s="20"/>
      <c r="CY177" s="20"/>
      <c r="CZ177" s="20"/>
      <c r="DA177" s="20"/>
      <c r="DB177" s="20"/>
      <c r="DC177" s="20"/>
      <c r="DD177" s="20"/>
      <c r="DE177" s="20"/>
      <c r="DF177" s="20"/>
      <c r="DG177" s="20"/>
      <c r="DH177" s="20"/>
      <c r="DI177" s="20"/>
      <c r="DJ177" s="20"/>
      <c r="DK177" s="20"/>
      <c r="DL177" s="20"/>
      <c r="DM177" s="20"/>
      <c r="DN177" s="20"/>
      <c r="DO177" s="20"/>
      <c r="DP177" s="20"/>
      <c r="DQ177" s="20"/>
      <c r="DR177" s="20"/>
      <c r="DS177" s="20"/>
      <c r="DT177" s="20"/>
      <c r="DU177" s="20"/>
      <c r="DV177" s="20"/>
      <c r="DW177" s="20"/>
      <c r="DX177" s="20"/>
      <c r="DY177" s="20"/>
      <c r="DZ177" s="20"/>
      <c r="EA177" s="20"/>
      <c r="EB177" s="20"/>
      <c r="EC177" s="20"/>
      <c r="ED177" s="20"/>
      <c r="EE177" s="20"/>
      <c r="EF177" s="20"/>
      <c r="EG177" s="20"/>
      <c r="EH177" s="20"/>
      <c r="EI177" s="20"/>
      <c r="EJ177" s="20"/>
      <c r="EK177" s="20"/>
      <c r="EL177" s="20"/>
      <c r="EM177" s="20"/>
      <c r="EN177" s="20"/>
      <c r="EO177" s="20"/>
      <c r="EP177" s="20"/>
      <c r="EQ177" s="20"/>
      <c r="ER177" s="20"/>
      <c r="ES177" s="20"/>
      <c r="ET177" s="20"/>
      <c r="EU177" s="20"/>
      <c r="EV177" s="20"/>
      <c r="EW177" s="20"/>
      <c r="EX177" s="20"/>
      <c r="EY177" s="20"/>
      <c r="EZ177" s="20"/>
      <c r="FA177" s="20"/>
      <c r="FB177" s="20"/>
      <c r="FC177" s="20"/>
      <c r="FD177" s="20"/>
      <c r="FE177" s="20"/>
      <c r="FF177" s="20"/>
      <c r="FG177" s="20"/>
      <c r="FH177" s="20"/>
      <c r="FI177" s="20"/>
      <c r="FJ177" s="20"/>
      <c r="FK177" s="20"/>
      <c r="FL177" s="20"/>
      <c r="FM177" s="20"/>
      <c r="FN177" s="20"/>
      <c r="FO177" s="20"/>
      <c r="FP177" s="20"/>
      <c r="FQ177" s="20"/>
      <c r="FR177" s="20"/>
      <c r="FS177" s="20"/>
      <c r="FT177" s="20"/>
      <c r="FU177" s="20"/>
      <c r="FV177" s="20"/>
      <c r="FW177" s="20"/>
      <c r="FX177" s="20"/>
      <c r="FY177" s="20"/>
      <c r="FZ177" s="20"/>
      <c r="GA177" s="20"/>
      <c r="GB177" s="20"/>
      <c r="GC177" s="20"/>
      <c r="GD177" s="20"/>
      <c r="GE177" s="20"/>
      <c r="GF177" s="20"/>
      <c r="GG177" s="20"/>
      <c r="GH177" s="20"/>
      <c r="GI177" s="20"/>
      <c r="GJ177" s="20"/>
      <c r="GK177" s="20"/>
      <c r="GL177" s="20"/>
      <c r="GM177" s="20"/>
      <c r="GN177" s="20"/>
      <c r="GO177" s="20"/>
      <c r="GP177" s="20"/>
      <c r="GQ177" s="20"/>
      <c r="GR177" s="20"/>
      <c r="GS177" s="20"/>
      <c r="GT177" s="20"/>
      <c r="GU177" s="20"/>
      <c r="GV177" s="20"/>
      <c r="GW177" s="20"/>
      <c r="GX177" s="20"/>
      <c r="GY177" s="20"/>
      <c r="GZ177" s="20"/>
      <c r="HA177" s="20"/>
      <c r="HB177" s="20"/>
      <c r="HC177" s="20"/>
      <c r="HD177" s="20"/>
      <c r="HE177" s="20"/>
      <c r="HF177" s="20"/>
      <c r="HG177" s="20"/>
      <c r="HH177" s="20"/>
      <c r="HI177" s="20"/>
    </row>
    <row r="178" spans="1:217" ht="13" x14ac:dyDescent="0.15">
      <c r="A178" s="24">
        <v>43311</v>
      </c>
      <c r="B178" s="25" t="s">
        <v>246</v>
      </c>
      <c r="C178" s="16">
        <v>168</v>
      </c>
      <c r="D178" s="25">
        <v>21.2882</v>
      </c>
      <c r="E178" s="25">
        <v>-157.66799900000001</v>
      </c>
      <c r="F178" s="25" t="s">
        <v>353</v>
      </c>
      <c r="G178" s="26">
        <v>0.39027777777777778</v>
      </c>
      <c r="H178" s="26">
        <v>0.44791666666666669</v>
      </c>
      <c r="I178" s="25">
        <v>6</v>
      </c>
      <c r="J178" s="25">
        <v>17</v>
      </c>
      <c r="K178" s="25" t="s">
        <v>198</v>
      </c>
      <c r="L178" s="25">
        <v>6</v>
      </c>
      <c r="M178" s="25">
        <v>26</v>
      </c>
      <c r="N178" s="25" t="s">
        <v>436</v>
      </c>
      <c r="O178" s="25"/>
      <c r="P178" s="25"/>
      <c r="Q178" s="25"/>
      <c r="R178" s="25">
        <v>2</v>
      </c>
      <c r="S178" s="25">
        <v>2</v>
      </c>
      <c r="T178" s="25"/>
      <c r="U178" s="25"/>
      <c r="V178" s="25"/>
      <c r="W178" s="25"/>
      <c r="X178" s="25"/>
      <c r="Y178" s="25"/>
      <c r="Z178" s="25"/>
      <c r="AA178" s="25"/>
      <c r="AB178" s="25"/>
      <c r="AC178" s="25">
        <v>1</v>
      </c>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v>1</v>
      </c>
      <c r="BI178" s="25"/>
      <c r="BJ178" s="25"/>
      <c r="BK178" s="25">
        <v>2</v>
      </c>
      <c r="BL178" s="25">
        <v>1</v>
      </c>
      <c r="BM178" s="25">
        <v>12</v>
      </c>
      <c r="BN178" s="25">
        <v>3</v>
      </c>
      <c r="BO178" s="25"/>
      <c r="BP178" s="25"/>
      <c r="BQ178" s="25"/>
      <c r="BR178" s="25"/>
      <c r="BS178" s="25"/>
      <c r="BT178" s="25"/>
      <c r="BU178" s="25"/>
      <c r="BV178" s="25"/>
      <c r="BW178" s="25"/>
      <c r="BX178" s="25"/>
      <c r="BY178" s="25"/>
      <c r="BZ178" s="25"/>
      <c r="CA178" s="25">
        <v>3</v>
      </c>
      <c r="CB178" s="25"/>
      <c r="CC178" s="25">
        <v>2</v>
      </c>
      <c r="CD178" s="25"/>
      <c r="CE178" s="25"/>
      <c r="CF178" s="25"/>
      <c r="CG178" s="25"/>
      <c r="CH178" s="25"/>
      <c r="CI178" s="25"/>
      <c r="CJ178" s="25"/>
      <c r="CK178" s="25"/>
      <c r="CL178" s="25"/>
      <c r="CM178" s="25"/>
      <c r="CN178" s="25"/>
      <c r="CO178" s="25"/>
      <c r="CP178" s="25"/>
      <c r="CQ178" s="25"/>
      <c r="CR178" s="25"/>
      <c r="CS178" s="25"/>
      <c r="CT178" s="25"/>
      <c r="CU178" s="25"/>
      <c r="CV178" s="25"/>
      <c r="CW178" s="25"/>
      <c r="CX178" s="25"/>
      <c r="CY178" s="25"/>
      <c r="CZ178" s="25"/>
      <c r="DA178" s="25"/>
      <c r="DB178" s="25"/>
      <c r="DC178" s="25"/>
      <c r="DD178" s="25"/>
      <c r="DE178" s="25"/>
      <c r="DF178" s="25"/>
      <c r="DG178" s="25">
        <v>1</v>
      </c>
      <c r="DH178" s="25"/>
      <c r="DI178" s="25"/>
      <c r="DJ178" s="25"/>
      <c r="DK178" s="25"/>
      <c r="DL178" s="25"/>
      <c r="DM178" s="25">
        <v>2</v>
      </c>
      <c r="DN178" s="25"/>
      <c r="DO178" s="25">
        <v>5</v>
      </c>
      <c r="DP178" s="25"/>
      <c r="DQ178" s="25"/>
      <c r="DR178" s="25"/>
      <c r="DS178" s="25"/>
      <c r="DT178" s="25"/>
      <c r="DU178" s="25"/>
      <c r="DV178" s="25"/>
      <c r="DW178" s="25"/>
      <c r="DX178" s="25"/>
      <c r="DY178" s="25"/>
      <c r="DZ178" s="25">
        <v>2</v>
      </c>
      <c r="EA178" s="25"/>
      <c r="EB178" s="25"/>
      <c r="EC178" s="25"/>
      <c r="ED178" s="25"/>
      <c r="EE178" s="25"/>
      <c r="EF178" s="25"/>
      <c r="EG178" s="25"/>
      <c r="EH178" s="25"/>
      <c r="EI178" s="25"/>
      <c r="EJ178" s="25">
        <v>1</v>
      </c>
      <c r="EK178" s="25"/>
      <c r="EL178" s="25"/>
      <c r="EM178" s="25"/>
      <c r="EN178" s="25"/>
      <c r="EO178" s="25"/>
      <c r="EP178" s="25"/>
      <c r="EQ178" s="25"/>
      <c r="ER178" s="25"/>
      <c r="ES178" s="25"/>
      <c r="ET178" s="25"/>
      <c r="EU178" s="25"/>
      <c r="EV178" s="25"/>
      <c r="EW178" s="25"/>
      <c r="EX178" s="25"/>
      <c r="EY178" s="25"/>
      <c r="EZ178" s="25">
        <v>4</v>
      </c>
      <c r="FA178" s="25"/>
      <c r="FB178" s="25">
        <v>1</v>
      </c>
      <c r="FC178" s="25"/>
      <c r="FD178" s="25"/>
      <c r="FE178" s="25"/>
      <c r="FF178" s="25"/>
      <c r="FG178" s="25"/>
      <c r="FH178" s="25"/>
      <c r="FI178" s="25"/>
      <c r="FJ178" s="25"/>
      <c r="FK178" s="25"/>
      <c r="FL178" s="25"/>
      <c r="FM178" s="25">
        <v>6</v>
      </c>
      <c r="FN178" s="25"/>
      <c r="FO178" s="25"/>
      <c r="FP178" s="25">
        <v>1</v>
      </c>
      <c r="FQ178" s="25"/>
      <c r="FR178" s="25">
        <v>11</v>
      </c>
      <c r="FS178" s="25">
        <v>217</v>
      </c>
      <c r="FT178" s="25"/>
      <c r="FU178" s="25"/>
      <c r="FV178" s="25"/>
      <c r="FW178" s="25">
        <v>1</v>
      </c>
      <c r="FX178" s="25"/>
      <c r="FY178" s="25"/>
      <c r="FZ178" s="25"/>
      <c r="GA178" s="25"/>
      <c r="GB178" s="25"/>
      <c r="GC178" s="25"/>
      <c r="GD178" s="25"/>
      <c r="GE178" s="25"/>
      <c r="GF178" s="25"/>
      <c r="GG178" s="25">
        <v>7</v>
      </c>
      <c r="GH178" s="25">
        <f>COUNT(R178:GG178)</f>
        <v>23</v>
      </c>
      <c r="GI178" s="25">
        <f>COUNTIF(R178:GG178,"&gt;=2")</f>
        <v>15</v>
      </c>
      <c r="GJ178" s="25">
        <f>COUNTIF(R178:GG178,"&gt;=5")</f>
        <v>6</v>
      </c>
      <c r="GK178" s="25">
        <f>SUM(R178:GG178)</f>
        <v>288</v>
      </c>
      <c r="GL178" s="25">
        <f>25*P178</f>
        <v>0</v>
      </c>
      <c r="GM178" s="25">
        <f>GL178-GK178</f>
        <v>-288</v>
      </c>
      <c r="GN178" s="25"/>
      <c r="GO178" s="25"/>
      <c r="GP178" s="25"/>
      <c r="GQ178" s="25"/>
      <c r="GR178" s="25"/>
      <c r="GS178" s="25"/>
      <c r="GT178" s="25"/>
      <c r="GU178" s="25"/>
      <c r="GV178" s="25"/>
      <c r="GW178" s="25"/>
      <c r="GX178" s="25"/>
      <c r="GY178" s="25"/>
      <c r="GZ178" s="25"/>
      <c r="HA178" s="25"/>
      <c r="HB178" s="25"/>
      <c r="HC178" s="25"/>
      <c r="HD178" s="25"/>
      <c r="HE178" s="25"/>
      <c r="HF178" s="25"/>
      <c r="HG178" s="25"/>
      <c r="HH178" s="25"/>
      <c r="HI178" s="25"/>
    </row>
    <row r="179" spans="1:217" ht="13" x14ac:dyDescent="0.15">
      <c r="A179" s="27">
        <v>43416</v>
      </c>
      <c r="B179" s="28" t="s">
        <v>216</v>
      </c>
      <c r="C179" s="16">
        <f t="shared" ref="C179:C183" si="102">C178+1</f>
        <v>169</v>
      </c>
      <c r="D179" s="28">
        <v>21.3002</v>
      </c>
      <c r="E179" s="28">
        <v>-157.882599</v>
      </c>
      <c r="F179" s="28" t="s">
        <v>534</v>
      </c>
      <c r="G179" s="29">
        <v>0.64236111111111116</v>
      </c>
      <c r="H179" s="29">
        <v>0.67013888888888884</v>
      </c>
      <c r="I179" s="28">
        <v>5</v>
      </c>
      <c r="J179" s="28">
        <v>20</v>
      </c>
      <c r="K179" s="28" t="s">
        <v>198</v>
      </c>
      <c r="L179" s="28">
        <v>5</v>
      </c>
      <c r="M179" s="28">
        <v>5</v>
      </c>
      <c r="N179" s="28" t="s">
        <v>535</v>
      </c>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v>10</v>
      </c>
      <c r="BN179" s="28"/>
      <c r="BO179" s="28"/>
      <c r="BP179" s="28"/>
      <c r="BQ179" s="28"/>
      <c r="BR179" s="28"/>
      <c r="BS179" s="28"/>
      <c r="BT179" s="28"/>
      <c r="BU179" s="28"/>
      <c r="BV179" s="28"/>
      <c r="BW179" s="28"/>
      <c r="BX179" s="28"/>
      <c r="BY179" s="28"/>
      <c r="BZ179" s="28"/>
      <c r="CA179" s="28"/>
      <c r="CB179" s="28"/>
      <c r="CC179" s="28"/>
      <c r="CD179" s="28"/>
      <c r="CE179" s="28"/>
      <c r="CF179" s="28"/>
      <c r="CG179" s="28"/>
      <c r="CH179" s="28"/>
      <c r="CI179" s="28"/>
      <c r="CJ179" s="28"/>
      <c r="CK179" s="28"/>
      <c r="CL179" s="28"/>
      <c r="CM179" s="28"/>
      <c r="CN179" s="28"/>
      <c r="CO179" s="28"/>
      <c r="CP179" s="28"/>
      <c r="CQ179" s="28"/>
      <c r="CR179" s="28"/>
      <c r="CS179" s="28"/>
      <c r="CT179" s="28"/>
      <c r="CU179" s="28"/>
      <c r="CV179" s="28"/>
      <c r="CW179" s="28"/>
      <c r="CX179" s="28"/>
      <c r="CY179" s="28"/>
      <c r="CZ179" s="28"/>
      <c r="DA179" s="28"/>
      <c r="DB179" s="28"/>
      <c r="DC179" s="28"/>
      <c r="DD179" s="28"/>
      <c r="DE179" s="28"/>
      <c r="DF179" s="28"/>
      <c r="DG179" s="28"/>
      <c r="DH179" s="28"/>
      <c r="DI179" s="28"/>
      <c r="DJ179" s="28"/>
      <c r="DK179" s="28"/>
      <c r="DL179" s="28"/>
      <c r="DM179" s="28"/>
      <c r="DN179" s="28"/>
      <c r="DO179" s="28"/>
      <c r="DP179" s="28"/>
      <c r="DQ179" s="28"/>
      <c r="DR179" s="28"/>
      <c r="DS179" s="28"/>
      <c r="DT179" s="28"/>
      <c r="DU179" s="28"/>
      <c r="DV179" s="28"/>
      <c r="DW179" s="28"/>
      <c r="DX179" s="28"/>
      <c r="DY179" s="28"/>
      <c r="DZ179" s="28"/>
      <c r="EA179" s="28"/>
      <c r="EB179" s="28"/>
      <c r="EC179" s="28">
        <v>12</v>
      </c>
      <c r="ED179" s="28"/>
      <c r="EE179" s="28"/>
      <c r="EF179" s="28"/>
      <c r="EG179" s="28"/>
      <c r="EH179" s="28"/>
      <c r="EI179" s="28"/>
      <c r="EJ179" s="28"/>
      <c r="EK179" s="28"/>
      <c r="EL179" s="28"/>
      <c r="EM179" s="28"/>
      <c r="EN179" s="28"/>
      <c r="EO179" s="28"/>
      <c r="EP179" s="28"/>
      <c r="EQ179" s="28"/>
      <c r="ER179" s="28"/>
      <c r="ES179" s="28"/>
      <c r="ET179" s="28"/>
      <c r="EU179" s="28"/>
      <c r="EV179" s="28"/>
      <c r="EW179" s="28"/>
      <c r="EX179" s="28"/>
      <c r="EY179" s="28"/>
      <c r="EZ179" s="28"/>
      <c r="FA179" s="28"/>
      <c r="FB179" s="28"/>
      <c r="FC179" s="28"/>
      <c r="FD179" s="28"/>
      <c r="FE179" s="28"/>
      <c r="FF179" s="28"/>
      <c r="FG179" s="28"/>
      <c r="FH179" s="28"/>
      <c r="FI179" s="28"/>
      <c r="FJ179" s="28"/>
      <c r="FK179" s="28"/>
      <c r="FL179" s="28"/>
      <c r="FM179" s="28"/>
      <c r="FN179" s="28"/>
      <c r="FO179" s="28"/>
      <c r="FP179" s="28"/>
      <c r="FQ179" s="28"/>
      <c r="FR179" s="28"/>
      <c r="FS179" s="28">
        <v>103</v>
      </c>
      <c r="FT179" s="28"/>
      <c r="FU179" s="28"/>
      <c r="FV179" s="28"/>
      <c r="FW179" s="28"/>
      <c r="FX179" s="28"/>
      <c r="FY179" s="28"/>
      <c r="FZ179" s="28"/>
      <c r="GA179" s="28"/>
      <c r="GB179" s="28"/>
      <c r="GC179" s="28"/>
      <c r="GD179" s="28"/>
      <c r="GE179" s="28"/>
      <c r="GF179" s="28"/>
      <c r="GG179" s="28"/>
      <c r="GH179" s="28"/>
      <c r="GI179" s="28"/>
      <c r="GJ179" s="28"/>
      <c r="GK179" s="28"/>
      <c r="GL179" s="28"/>
      <c r="GM179" s="28"/>
      <c r="GN179" s="28"/>
      <c r="GO179" s="28"/>
      <c r="GP179" s="28"/>
      <c r="GQ179" s="28"/>
      <c r="GR179" s="28"/>
      <c r="GS179" s="28"/>
      <c r="GT179" s="28"/>
      <c r="GU179" s="28"/>
      <c r="GV179" s="28"/>
      <c r="GW179" s="28"/>
      <c r="GX179" s="28"/>
      <c r="GY179" s="28"/>
      <c r="GZ179" s="28"/>
      <c r="HA179" s="28"/>
      <c r="HB179" s="28"/>
      <c r="HC179" s="28"/>
      <c r="HD179" s="28"/>
      <c r="HE179" s="28"/>
      <c r="HF179" s="28"/>
      <c r="HG179" s="28"/>
      <c r="HH179" s="28"/>
      <c r="HI179" s="28"/>
    </row>
    <row r="180" spans="1:217" ht="13" x14ac:dyDescent="0.15">
      <c r="A180" s="13">
        <v>43485</v>
      </c>
      <c r="B180" s="3" t="s">
        <v>201</v>
      </c>
      <c r="C180" s="16">
        <f t="shared" si="102"/>
        <v>170</v>
      </c>
      <c r="D180" s="3">
        <v>21.25544</v>
      </c>
      <c r="E180" s="3">
        <v>-157.81030000000001</v>
      </c>
      <c r="F180" s="3" t="s">
        <v>418</v>
      </c>
      <c r="G180" s="14">
        <v>0.40625</v>
      </c>
      <c r="H180" s="14">
        <v>0.44791666666666669</v>
      </c>
      <c r="I180" s="3">
        <v>6</v>
      </c>
      <c r="J180" s="3">
        <v>10</v>
      </c>
      <c r="K180" s="3" t="s">
        <v>318</v>
      </c>
      <c r="L180" s="3">
        <v>10</v>
      </c>
      <c r="M180" s="3">
        <v>52</v>
      </c>
      <c r="N180" s="3" t="s">
        <v>438</v>
      </c>
      <c r="P180" s="3">
        <v>52</v>
      </c>
      <c r="R180" s="3">
        <v>3</v>
      </c>
      <c r="T180" s="3">
        <v>3</v>
      </c>
      <c r="AF180" s="3">
        <v>1</v>
      </c>
      <c r="AH180" s="3"/>
      <c r="AI180" s="3">
        <v>6</v>
      </c>
      <c r="BF180" s="3"/>
      <c r="BG180" s="3"/>
      <c r="BH180" s="3"/>
      <c r="BI180" s="3"/>
      <c r="BJ180" s="3"/>
      <c r="BK180" s="3"/>
      <c r="BL180" s="3"/>
      <c r="BM180" s="3">
        <v>17</v>
      </c>
      <c r="BQ180" s="3">
        <v>15</v>
      </c>
      <c r="BR180" s="3"/>
      <c r="BS180" s="3"/>
      <c r="BT180" s="3"/>
      <c r="BU180" s="3"/>
      <c r="BV180" s="3">
        <v>1</v>
      </c>
      <c r="BW180" s="3"/>
      <c r="BY180" s="3"/>
      <c r="BZ180" s="3">
        <v>3</v>
      </c>
      <c r="CA180" s="3"/>
      <c r="CB180" s="3">
        <v>4</v>
      </c>
      <c r="CI180" s="3"/>
      <c r="CJ180" s="3"/>
      <c r="CK180" s="3"/>
      <c r="CL180" s="3"/>
      <c r="CM180" s="3"/>
      <c r="CN180" s="3"/>
      <c r="CO180" s="3"/>
      <c r="CP180" s="3"/>
      <c r="CQ180" s="3"/>
      <c r="CR180" s="3"/>
      <c r="CS180" s="3">
        <v>4</v>
      </c>
      <c r="DB180" s="3"/>
      <c r="DC180" s="3">
        <v>1</v>
      </c>
      <c r="DD180" s="3"/>
      <c r="DE180" s="3"/>
      <c r="DF180" s="3"/>
      <c r="DG180" s="3">
        <v>6</v>
      </c>
      <c r="DI180" s="3"/>
      <c r="DJ180" s="3"/>
      <c r="DK180" s="3"/>
      <c r="DL180" s="3"/>
      <c r="DM180" s="3">
        <v>30</v>
      </c>
      <c r="DN180" s="3">
        <v>3</v>
      </c>
      <c r="DO180" s="3"/>
      <c r="DP180" s="3">
        <v>2</v>
      </c>
      <c r="DQ180" s="3"/>
      <c r="DR180" s="3"/>
      <c r="DS180" s="3">
        <v>53</v>
      </c>
      <c r="DT180" s="3"/>
      <c r="DU180" s="3"/>
      <c r="DV180" s="3">
        <v>1</v>
      </c>
      <c r="DW180" s="3"/>
      <c r="DX180" s="3"/>
      <c r="DY180" s="3"/>
      <c r="DZ180" s="3"/>
      <c r="EA180" s="3">
        <v>1</v>
      </c>
      <c r="EB180" s="3"/>
      <c r="EC180" s="3"/>
      <c r="ED180" s="3"/>
      <c r="EE180" s="3"/>
      <c r="EF180" s="3"/>
      <c r="EG180" s="3"/>
      <c r="EH180" s="3"/>
      <c r="EI180" s="3"/>
      <c r="EJ180" s="3">
        <v>201</v>
      </c>
      <c r="EK180" s="3"/>
      <c r="EL180" s="3"/>
      <c r="EM180" s="3"/>
      <c r="EN180" s="3"/>
      <c r="EO180" s="3"/>
      <c r="EP180" s="3"/>
      <c r="EQ180" s="3"/>
      <c r="ER180" s="3"/>
      <c r="ES180" s="3"/>
      <c r="ET180" s="3"/>
      <c r="EU180" s="3"/>
      <c r="EV180" s="3"/>
      <c r="EW180" s="3"/>
      <c r="EX180" s="3"/>
      <c r="EY180" s="3"/>
      <c r="EZ180" s="3"/>
      <c r="FA180" s="3"/>
      <c r="FB180" s="3">
        <v>192</v>
      </c>
      <c r="FC180" s="3">
        <v>3</v>
      </c>
      <c r="FG180" s="3"/>
      <c r="FH180" s="3">
        <v>1</v>
      </c>
      <c r="FI180" s="3">
        <v>4</v>
      </c>
      <c r="FJ180" s="3"/>
      <c r="FK180" s="3"/>
      <c r="FL180" s="3"/>
      <c r="FM180" s="3">
        <v>3</v>
      </c>
      <c r="FN180" s="3"/>
      <c r="FO180" s="3"/>
      <c r="FP180" s="3"/>
      <c r="FQ180" s="3"/>
      <c r="FR180" s="3">
        <v>145</v>
      </c>
      <c r="FS180" s="3">
        <v>273</v>
      </c>
      <c r="GD180" s="3"/>
      <c r="GE180" s="3"/>
      <c r="GF180" s="3">
        <v>1</v>
      </c>
      <c r="GH180" s="3">
        <f>COUNT(R180:GG180)</f>
        <v>27</v>
      </c>
      <c r="GI180" s="3">
        <f>COUNTIF(R180:GG180,"&gt;=2")</f>
        <v>20</v>
      </c>
      <c r="GJ180" s="3">
        <f>COUNTIF(R180:GG180,"&gt;=5")</f>
        <v>10</v>
      </c>
      <c r="GK180" s="3">
        <f>SUM(R180:GG180)</f>
        <v>977</v>
      </c>
      <c r="GL180" s="3">
        <f>25*P180</f>
        <v>1300</v>
      </c>
      <c r="GM180" s="3">
        <f>GL180-GK180</f>
        <v>323</v>
      </c>
    </row>
    <row r="181" spans="1:217" ht="13" x14ac:dyDescent="0.15">
      <c r="A181" s="27">
        <v>43505</v>
      </c>
      <c r="B181" s="28" t="s">
        <v>266</v>
      </c>
      <c r="C181" s="16">
        <f t="shared" si="102"/>
        <v>171</v>
      </c>
      <c r="D181" s="28">
        <v>22.060683999999998</v>
      </c>
      <c r="E181" s="28">
        <v>-159.318512</v>
      </c>
      <c r="F181" s="28" t="s">
        <v>536</v>
      </c>
      <c r="G181" s="29">
        <v>1.1574074074074073E-5</v>
      </c>
      <c r="H181" s="29">
        <v>2.3148148148148147E-5</v>
      </c>
      <c r="I181" s="28">
        <v>3</v>
      </c>
      <c r="J181" s="28">
        <v>14</v>
      </c>
      <c r="K181" s="28" t="s">
        <v>198</v>
      </c>
      <c r="L181" s="28">
        <v>2</v>
      </c>
      <c r="M181" s="28">
        <v>2</v>
      </c>
      <c r="N181" s="28" t="s">
        <v>537</v>
      </c>
      <c r="O181" s="28"/>
      <c r="P181" s="28"/>
      <c r="Q181" s="28"/>
      <c r="R181" s="28">
        <v>10</v>
      </c>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v>3</v>
      </c>
      <c r="BN181" s="28"/>
      <c r="BO181" s="28"/>
      <c r="BP181" s="28"/>
      <c r="BQ181" s="28"/>
      <c r="BR181" s="28"/>
      <c r="BS181" s="28"/>
      <c r="BT181" s="28"/>
      <c r="BU181" s="28"/>
      <c r="BV181" s="28"/>
      <c r="BW181" s="28">
        <v>1</v>
      </c>
      <c r="BX181" s="28"/>
      <c r="BY181" s="28"/>
      <c r="BZ181" s="28"/>
      <c r="CA181" s="28"/>
      <c r="CB181" s="28"/>
      <c r="CC181" s="28"/>
      <c r="CD181" s="28"/>
      <c r="CE181" s="28"/>
      <c r="CF181" s="28"/>
      <c r="CG181" s="28"/>
      <c r="CH181" s="28"/>
      <c r="CI181" s="28"/>
      <c r="CJ181" s="28"/>
      <c r="CK181" s="28"/>
      <c r="CL181" s="28"/>
      <c r="CM181" s="28"/>
      <c r="CN181" s="28"/>
      <c r="CO181" s="28"/>
      <c r="CP181" s="28"/>
      <c r="CQ181" s="28"/>
      <c r="CR181" s="28"/>
      <c r="CS181" s="28"/>
      <c r="CT181" s="28"/>
      <c r="CU181" s="28"/>
      <c r="CV181" s="28"/>
      <c r="CW181" s="28"/>
      <c r="CX181" s="28"/>
      <c r="CY181" s="28"/>
      <c r="CZ181" s="28"/>
      <c r="DA181" s="28"/>
      <c r="DB181" s="28"/>
      <c r="DC181" s="28"/>
      <c r="DD181" s="28"/>
      <c r="DE181" s="28"/>
      <c r="DF181" s="28"/>
      <c r="DG181" s="28"/>
      <c r="DH181" s="28"/>
      <c r="DI181" s="28"/>
      <c r="DJ181" s="28"/>
      <c r="DK181" s="28"/>
      <c r="DL181" s="28">
        <v>10</v>
      </c>
      <c r="DM181" s="28"/>
      <c r="DN181" s="28"/>
      <c r="DO181" s="28"/>
      <c r="DP181" s="28"/>
      <c r="DQ181" s="28"/>
      <c r="DR181" s="28"/>
      <c r="DS181" s="28"/>
      <c r="DT181" s="28"/>
      <c r="DU181" s="28"/>
      <c r="DV181" s="28"/>
      <c r="DW181" s="28"/>
      <c r="DX181" s="28"/>
      <c r="DY181" s="28"/>
      <c r="DZ181" s="28"/>
      <c r="EA181" s="28"/>
      <c r="EB181" s="28"/>
      <c r="EC181" s="28"/>
      <c r="ED181" s="28"/>
      <c r="EE181" s="28"/>
      <c r="EF181" s="28"/>
      <c r="EG181" s="28"/>
      <c r="EH181" s="28"/>
      <c r="EI181" s="28"/>
      <c r="EJ181" s="28"/>
      <c r="EK181" s="28"/>
      <c r="EL181" s="28"/>
      <c r="EM181" s="28"/>
      <c r="EN181" s="28"/>
      <c r="EO181" s="28"/>
      <c r="EP181" s="28"/>
      <c r="EQ181" s="28"/>
      <c r="ER181" s="28"/>
      <c r="ES181" s="28"/>
      <c r="ET181" s="28"/>
      <c r="EU181" s="28"/>
      <c r="EV181" s="28"/>
      <c r="EW181" s="28"/>
      <c r="EX181" s="28"/>
      <c r="EY181" s="28"/>
      <c r="EZ181" s="28"/>
      <c r="FA181" s="28"/>
      <c r="FB181" s="28"/>
      <c r="FC181" s="28"/>
      <c r="FD181" s="28"/>
      <c r="FE181" s="28"/>
      <c r="FF181" s="28"/>
      <c r="FG181" s="28"/>
      <c r="FH181" s="28"/>
      <c r="FI181" s="28">
        <v>5</v>
      </c>
      <c r="FJ181" s="28"/>
      <c r="FK181" s="28"/>
      <c r="FL181" s="28"/>
      <c r="FM181" s="28"/>
      <c r="FN181" s="28"/>
      <c r="FO181" s="28"/>
      <c r="FP181" s="28"/>
      <c r="FQ181" s="28"/>
      <c r="FR181" s="28">
        <v>1</v>
      </c>
      <c r="FS181" s="28">
        <v>5</v>
      </c>
      <c r="FT181" s="28"/>
      <c r="FU181" s="28"/>
      <c r="FV181" s="28"/>
      <c r="FW181" s="28"/>
      <c r="FX181" s="28"/>
      <c r="FY181" s="28"/>
      <c r="FZ181" s="28"/>
      <c r="GA181" s="28"/>
      <c r="GB181" s="28"/>
      <c r="GC181" s="28"/>
      <c r="GD181" s="28"/>
      <c r="GE181" s="28"/>
      <c r="GF181" s="28"/>
      <c r="GG181" s="28"/>
      <c r="GH181" s="28"/>
      <c r="GI181" s="28"/>
      <c r="GJ181" s="28"/>
      <c r="GK181" s="28"/>
      <c r="GL181" s="28"/>
      <c r="GM181" s="28"/>
      <c r="GN181" s="28"/>
      <c r="GO181" s="28"/>
      <c r="GP181" s="28"/>
      <c r="GQ181" s="28"/>
      <c r="GR181" s="28"/>
      <c r="GS181" s="28"/>
      <c r="GT181" s="28"/>
      <c r="GU181" s="28"/>
      <c r="GV181" s="28"/>
      <c r="GW181" s="28"/>
      <c r="GX181" s="28"/>
      <c r="GY181" s="28"/>
      <c r="GZ181" s="28"/>
      <c r="HA181" s="28"/>
      <c r="HB181" s="28"/>
      <c r="HC181" s="28"/>
      <c r="HD181" s="28"/>
      <c r="HE181" s="28"/>
      <c r="HF181" s="28"/>
      <c r="HG181" s="28"/>
      <c r="HH181" s="28"/>
      <c r="HI181" s="28"/>
    </row>
    <row r="182" spans="1:217" ht="13" x14ac:dyDescent="0.15">
      <c r="A182" s="27">
        <v>43515</v>
      </c>
      <c r="B182" s="28" t="s">
        <v>244</v>
      </c>
      <c r="C182" s="16">
        <f t="shared" si="102"/>
        <v>172</v>
      </c>
      <c r="D182" s="28">
        <v>21.310611999999999</v>
      </c>
      <c r="E182" s="28">
        <v>-158.00441000000001</v>
      </c>
      <c r="F182" s="28" t="s">
        <v>278</v>
      </c>
      <c r="G182" s="29">
        <v>0.38541666666666669</v>
      </c>
      <c r="H182" s="29">
        <v>0.42708333333333331</v>
      </c>
      <c r="I182" s="28">
        <v>6</v>
      </c>
      <c r="J182" s="28">
        <v>5</v>
      </c>
      <c r="K182" s="28" t="s">
        <v>198</v>
      </c>
      <c r="L182" s="28">
        <v>5</v>
      </c>
      <c r="M182" s="28">
        <v>24</v>
      </c>
      <c r="N182" s="28" t="s">
        <v>538</v>
      </c>
      <c r="O182" s="28"/>
      <c r="P182" s="28"/>
      <c r="Q182" s="28"/>
      <c r="R182" s="28"/>
      <c r="S182" s="28"/>
      <c r="T182" s="28"/>
      <c r="U182" s="28"/>
      <c r="V182" s="28"/>
      <c r="W182" s="28"/>
      <c r="X182" s="28"/>
      <c r="Y182" s="28"/>
      <c r="Z182" s="28"/>
      <c r="AA182" s="28"/>
      <c r="AB182" s="28"/>
      <c r="AC182" s="28"/>
      <c r="AD182" s="28"/>
      <c r="AE182" s="28">
        <v>9</v>
      </c>
      <c r="AF182" s="28"/>
      <c r="AG182" s="28"/>
      <c r="AH182" s="28"/>
      <c r="AI182" s="28"/>
      <c r="AJ182" s="28"/>
      <c r="AK182" s="28"/>
      <c r="AL182" s="28"/>
      <c r="AM182" s="28">
        <v>1</v>
      </c>
      <c r="AN182" s="28"/>
      <c r="AO182" s="28"/>
      <c r="AP182" s="28"/>
      <c r="AQ182" s="28"/>
      <c r="AR182" s="28"/>
      <c r="AS182" s="28"/>
      <c r="AT182" s="28"/>
      <c r="AU182" s="28"/>
      <c r="AV182" s="28"/>
      <c r="AW182" s="28"/>
      <c r="AX182" s="28"/>
      <c r="AY182" s="28"/>
      <c r="AZ182" s="28"/>
      <c r="BA182" s="28"/>
      <c r="BB182" s="28">
        <v>7</v>
      </c>
      <c r="BC182" s="28"/>
      <c r="BD182" s="28"/>
      <c r="BE182" s="28">
        <v>2</v>
      </c>
      <c r="BF182" s="28"/>
      <c r="BG182" s="28"/>
      <c r="BH182" s="28"/>
      <c r="BI182" s="28"/>
      <c r="BJ182" s="28"/>
      <c r="BK182" s="28"/>
      <c r="BL182" s="28">
        <v>1</v>
      </c>
      <c r="BM182" s="28">
        <v>8</v>
      </c>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c r="CP182" s="28"/>
      <c r="CQ182" s="28"/>
      <c r="CR182" s="28"/>
      <c r="CS182" s="28"/>
      <c r="CT182" s="28"/>
      <c r="CU182" s="28"/>
      <c r="CV182" s="28"/>
      <c r="CW182" s="28"/>
      <c r="CX182" s="28"/>
      <c r="CY182" s="28"/>
      <c r="CZ182" s="28"/>
      <c r="DA182" s="28"/>
      <c r="DB182" s="28"/>
      <c r="DC182" s="28"/>
      <c r="DD182" s="28"/>
      <c r="DE182" s="28"/>
      <c r="DF182" s="28"/>
      <c r="DG182" s="28">
        <v>1</v>
      </c>
      <c r="DH182" s="28"/>
      <c r="DI182" s="28"/>
      <c r="DJ182" s="28"/>
      <c r="DK182" s="28"/>
      <c r="DL182" s="28"/>
      <c r="DM182" s="28"/>
      <c r="DN182" s="28"/>
      <c r="DO182" s="28">
        <v>2</v>
      </c>
      <c r="DP182" s="28"/>
      <c r="DQ182" s="28"/>
      <c r="DR182" s="28"/>
      <c r="DS182" s="28"/>
      <c r="DT182" s="28"/>
      <c r="DU182" s="28"/>
      <c r="DV182" s="28"/>
      <c r="DW182" s="28"/>
      <c r="DX182" s="28"/>
      <c r="DY182" s="28"/>
      <c r="DZ182" s="28"/>
      <c r="EA182" s="28"/>
      <c r="EB182" s="28"/>
      <c r="EC182" s="28"/>
      <c r="ED182" s="28"/>
      <c r="EE182" s="28"/>
      <c r="EF182" s="28"/>
      <c r="EG182" s="28"/>
      <c r="EH182" s="28"/>
      <c r="EI182" s="28"/>
      <c r="EJ182" s="28">
        <v>152</v>
      </c>
      <c r="EK182" s="28"/>
      <c r="EL182" s="28"/>
      <c r="EM182" s="28"/>
      <c r="EN182" s="28"/>
      <c r="EO182" s="28">
        <v>5</v>
      </c>
      <c r="EP182" s="28"/>
      <c r="EQ182" s="28"/>
      <c r="ER182" s="28"/>
      <c r="ES182" s="28"/>
      <c r="ET182" s="28"/>
      <c r="EU182" s="28"/>
      <c r="EV182" s="28"/>
      <c r="EW182" s="28"/>
      <c r="EX182" s="28"/>
      <c r="EY182" s="28"/>
      <c r="EZ182" s="28"/>
      <c r="FA182" s="28"/>
      <c r="FB182" s="28"/>
      <c r="FC182" s="28"/>
      <c r="FD182" s="28"/>
      <c r="FE182" s="28"/>
      <c r="FF182" s="28"/>
      <c r="FG182" s="28"/>
      <c r="FH182" s="28"/>
      <c r="FI182" s="28"/>
      <c r="FJ182" s="28"/>
      <c r="FK182" s="28"/>
      <c r="FL182" s="28"/>
      <c r="FM182" s="28"/>
      <c r="FN182" s="28"/>
      <c r="FO182" s="28"/>
      <c r="FP182" s="28"/>
      <c r="FQ182" s="28"/>
      <c r="FR182" s="28"/>
      <c r="FS182" s="28">
        <v>119</v>
      </c>
      <c r="FT182" s="28"/>
      <c r="FU182" s="28"/>
      <c r="FV182" s="28"/>
      <c r="FW182" s="28"/>
      <c r="FX182" s="28"/>
      <c r="FY182" s="28"/>
      <c r="FZ182" s="28"/>
      <c r="GA182" s="28"/>
      <c r="GB182" s="28"/>
      <c r="GC182" s="28"/>
      <c r="GD182" s="28"/>
      <c r="GE182" s="28"/>
      <c r="GF182" s="28"/>
      <c r="GG182" s="28"/>
      <c r="GH182" s="28"/>
      <c r="GI182" s="28"/>
      <c r="GJ182" s="28"/>
      <c r="GK182" s="28"/>
      <c r="GL182" s="28"/>
      <c r="GM182" s="28"/>
      <c r="GN182" s="28"/>
      <c r="GO182" s="28"/>
      <c r="GP182" s="28"/>
      <c r="GQ182" s="28"/>
      <c r="GR182" s="28"/>
      <c r="GS182" s="28"/>
      <c r="GT182" s="28"/>
      <c r="GU182" s="28"/>
      <c r="GV182" s="28"/>
      <c r="GW182" s="28"/>
      <c r="GX182" s="28"/>
      <c r="GY182" s="28"/>
      <c r="GZ182" s="28"/>
      <c r="HA182" s="28"/>
      <c r="HB182" s="28"/>
      <c r="HC182" s="28"/>
      <c r="HD182" s="28"/>
      <c r="HE182" s="28"/>
      <c r="HF182" s="28"/>
      <c r="HG182" s="28"/>
      <c r="HH182" s="28"/>
      <c r="HI182" s="28"/>
    </row>
    <row r="183" spans="1:217" ht="13" x14ac:dyDescent="0.15">
      <c r="A183" s="27">
        <v>43515</v>
      </c>
      <c r="B183" s="28" t="s">
        <v>266</v>
      </c>
      <c r="C183" s="16">
        <f t="shared" si="102"/>
        <v>173</v>
      </c>
      <c r="D183" s="28">
        <v>22.060683999999998</v>
      </c>
      <c r="E183" s="28">
        <v>-159.318512</v>
      </c>
      <c r="F183" s="28" t="s">
        <v>418</v>
      </c>
      <c r="G183" s="29">
        <v>0.4201388888888889</v>
      </c>
      <c r="H183" s="29">
        <v>0.51041666666666663</v>
      </c>
      <c r="I183" s="28">
        <v>4</v>
      </c>
      <c r="J183" s="28">
        <v>16</v>
      </c>
      <c r="K183" s="28" t="s">
        <v>217</v>
      </c>
      <c r="L183" s="28">
        <v>3</v>
      </c>
      <c r="M183" s="28">
        <v>10</v>
      </c>
      <c r="N183" s="28" t="s">
        <v>539</v>
      </c>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v>5</v>
      </c>
      <c r="BC183" s="28"/>
      <c r="BD183" s="28"/>
      <c r="BE183" s="28"/>
      <c r="BF183" s="28"/>
      <c r="BG183" s="28"/>
      <c r="BH183" s="28"/>
      <c r="BI183" s="28"/>
      <c r="BJ183" s="28"/>
      <c r="BK183" s="28"/>
      <c r="BL183" s="28"/>
      <c r="BM183" s="28">
        <v>10</v>
      </c>
      <c r="BN183" s="28"/>
      <c r="BO183" s="28"/>
      <c r="BP183" s="28"/>
      <c r="BQ183" s="28"/>
      <c r="BR183" s="28"/>
      <c r="BS183" s="28"/>
      <c r="BT183" s="28"/>
      <c r="BU183" s="28"/>
      <c r="BV183" s="28">
        <v>15</v>
      </c>
      <c r="BW183" s="28"/>
      <c r="BX183" s="28"/>
      <c r="BY183" s="28"/>
      <c r="BZ183" s="28">
        <v>13</v>
      </c>
      <c r="CA183" s="28"/>
      <c r="CB183" s="28"/>
      <c r="CC183" s="28"/>
      <c r="CD183" s="28"/>
      <c r="CE183" s="28"/>
      <c r="CF183" s="28"/>
      <c r="CG183" s="28"/>
      <c r="CH183" s="28"/>
      <c r="CI183" s="28"/>
      <c r="CJ183" s="28"/>
      <c r="CK183" s="28"/>
      <c r="CL183" s="28"/>
      <c r="CM183" s="28"/>
      <c r="CN183" s="28"/>
      <c r="CO183" s="28"/>
      <c r="CP183" s="28"/>
      <c r="CQ183" s="28"/>
      <c r="CR183" s="28"/>
      <c r="CS183" s="28"/>
      <c r="CT183" s="28"/>
      <c r="CU183" s="28"/>
      <c r="CV183" s="28"/>
      <c r="CW183" s="28"/>
      <c r="CX183" s="28"/>
      <c r="CY183" s="28"/>
      <c r="CZ183" s="28"/>
      <c r="DA183" s="28"/>
      <c r="DB183" s="28"/>
      <c r="DC183" s="28"/>
      <c r="DD183" s="28"/>
      <c r="DE183" s="28"/>
      <c r="DF183" s="28"/>
      <c r="DG183" s="28">
        <v>2</v>
      </c>
      <c r="DH183" s="28"/>
      <c r="DI183" s="28"/>
      <c r="DJ183" s="28"/>
      <c r="DK183" s="28"/>
      <c r="DL183" s="28"/>
      <c r="DM183" s="28">
        <v>18</v>
      </c>
      <c r="DN183" s="28"/>
      <c r="DO183" s="28"/>
      <c r="DP183" s="28"/>
      <c r="DQ183" s="28"/>
      <c r="DR183" s="28"/>
      <c r="DS183" s="28">
        <v>11</v>
      </c>
      <c r="DT183" s="28"/>
      <c r="DU183" s="28"/>
      <c r="DV183" s="28">
        <v>3</v>
      </c>
      <c r="DW183" s="28"/>
      <c r="DX183" s="28"/>
      <c r="DY183" s="28"/>
      <c r="DZ183" s="28"/>
      <c r="EA183" s="28"/>
      <c r="EB183" s="28"/>
      <c r="EC183" s="28"/>
      <c r="ED183" s="28"/>
      <c r="EE183" s="28"/>
      <c r="EF183" s="28"/>
      <c r="EG183" s="28"/>
      <c r="EH183" s="28"/>
      <c r="EI183" s="28"/>
      <c r="EJ183" s="28">
        <v>37</v>
      </c>
      <c r="EK183" s="28"/>
      <c r="EL183" s="28"/>
      <c r="EM183" s="28"/>
      <c r="EN183" s="28"/>
      <c r="EO183" s="28"/>
      <c r="EP183" s="28"/>
      <c r="EQ183" s="28"/>
      <c r="ER183" s="28"/>
      <c r="ES183" s="28"/>
      <c r="ET183" s="28"/>
      <c r="EU183" s="28"/>
      <c r="EV183" s="28"/>
      <c r="EW183" s="28"/>
      <c r="EX183" s="28"/>
      <c r="EY183" s="28"/>
      <c r="EZ183" s="28"/>
      <c r="FA183" s="28"/>
      <c r="FB183" s="28">
        <v>5</v>
      </c>
      <c r="FC183" s="28"/>
      <c r="FD183" s="28"/>
      <c r="FE183" s="28"/>
      <c r="FF183" s="28">
        <v>7</v>
      </c>
      <c r="FG183" s="28"/>
      <c r="FH183" s="28"/>
      <c r="FI183" s="28"/>
      <c r="FJ183" s="28"/>
      <c r="FK183" s="28"/>
      <c r="FL183" s="28"/>
      <c r="FM183" s="28"/>
      <c r="FN183" s="28"/>
      <c r="FO183" s="28"/>
      <c r="FP183" s="28"/>
      <c r="FQ183" s="28"/>
      <c r="FR183" s="28">
        <v>6</v>
      </c>
      <c r="FS183" s="28">
        <v>42</v>
      </c>
      <c r="FT183" s="28"/>
      <c r="FU183" s="28"/>
      <c r="FV183" s="28"/>
      <c r="FW183" s="28"/>
      <c r="FX183" s="28"/>
      <c r="FY183" s="28"/>
      <c r="FZ183" s="28"/>
      <c r="GA183" s="28"/>
      <c r="GB183" s="28"/>
      <c r="GC183" s="28"/>
      <c r="GD183" s="28"/>
      <c r="GE183" s="28"/>
      <c r="GF183" s="28"/>
      <c r="GG183" s="28"/>
      <c r="GH183" s="28"/>
      <c r="GI183" s="28"/>
      <c r="GJ183" s="28"/>
      <c r="GK183" s="28"/>
      <c r="GL183" s="28"/>
      <c r="GM183" s="28"/>
      <c r="GN183" s="28"/>
      <c r="GO183" s="28"/>
      <c r="GP183" s="28"/>
      <c r="GQ183" s="28"/>
      <c r="GR183" s="28"/>
      <c r="GS183" s="28"/>
      <c r="GT183" s="28"/>
      <c r="GU183" s="28"/>
      <c r="GV183" s="28"/>
      <c r="GW183" s="28"/>
      <c r="GX183" s="28"/>
      <c r="GY183" s="28"/>
      <c r="GZ183" s="28"/>
      <c r="HA183" s="28"/>
      <c r="HB183" s="28"/>
      <c r="HC183" s="28"/>
      <c r="HD183" s="28"/>
      <c r="HE183" s="28"/>
      <c r="HF183" s="28"/>
      <c r="HG183" s="28"/>
      <c r="HH183" s="28"/>
      <c r="HI183" s="28"/>
    </row>
    <row r="184" spans="1:217" ht="13" x14ac:dyDescent="0.15">
      <c r="A184" s="90">
        <v>43516</v>
      </c>
      <c r="B184" s="20" t="s">
        <v>216</v>
      </c>
      <c r="C184" s="16"/>
      <c r="D184" s="20"/>
      <c r="E184" s="20"/>
      <c r="F184" s="20"/>
      <c r="G184" s="21"/>
      <c r="H184" s="21"/>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c r="DU184" s="20"/>
      <c r="DV184" s="20"/>
      <c r="DW184" s="20"/>
      <c r="DX184" s="20"/>
      <c r="DY184" s="20"/>
      <c r="DZ184" s="20"/>
      <c r="EA184" s="20"/>
      <c r="EB184" s="20"/>
      <c r="EC184" s="20"/>
      <c r="ED184" s="20"/>
      <c r="EE184" s="20"/>
      <c r="EF184" s="20"/>
      <c r="EG184" s="20"/>
      <c r="EH184" s="20"/>
      <c r="EI184" s="20"/>
      <c r="EJ184" s="20"/>
      <c r="EK184" s="20"/>
      <c r="EL184" s="20"/>
      <c r="EM184" s="20"/>
      <c r="EN184" s="20"/>
      <c r="EO184" s="20"/>
      <c r="EP184" s="20"/>
      <c r="EQ184" s="20"/>
      <c r="ER184" s="20"/>
      <c r="ES184" s="20"/>
      <c r="ET184" s="20"/>
      <c r="EU184" s="20"/>
      <c r="EV184" s="20"/>
      <c r="EW184" s="20"/>
      <c r="EX184" s="20"/>
      <c r="EY184" s="20"/>
      <c r="EZ184" s="20"/>
      <c r="FA184" s="20"/>
      <c r="FB184" s="20"/>
      <c r="FC184" s="20"/>
      <c r="FD184" s="20"/>
      <c r="FE184" s="20"/>
      <c r="FF184" s="20"/>
      <c r="FG184" s="20"/>
      <c r="FH184" s="20"/>
      <c r="FI184" s="20"/>
      <c r="FJ184" s="20"/>
      <c r="FK184" s="20"/>
      <c r="FL184" s="20"/>
      <c r="FM184" s="20"/>
      <c r="FN184" s="20"/>
      <c r="FO184" s="20"/>
      <c r="FP184" s="20"/>
      <c r="FQ184" s="20"/>
      <c r="FR184" s="20"/>
      <c r="FS184" s="20"/>
      <c r="FT184" s="20"/>
      <c r="FU184" s="20"/>
      <c r="FV184" s="20"/>
      <c r="FW184" s="20"/>
      <c r="FX184" s="20"/>
      <c r="FY184" s="20"/>
      <c r="FZ184" s="20"/>
      <c r="GA184" s="20"/>
      <c r="GB184" s="20"/>
      <c r="GC184" s="20"/>
      <c r="GD184" s="20"/>
      <c r="GE184" s="20"/>
      <c r="GF184" s="20"/>
      <c r="GG184" s="20"/>
      <c r="GH184" s="20"/>
      <c r="GI184" s="20"/>
      <c r="GJ184" s="20"/>
      <c r="GK184" s="20"/>
      <c r="GL184" s="20"/>
      <c r="GM184" s="20"/>
      <c r="GN184" s="20"/>
      <c r="GO184" s="20"/>
      <c r="GP184" s="20"/>
      <c r="GQ184" s="20"/>
      <c r="GR184" s="20"/>
      <c r="GS184" s="20"/>
      <c r="GT184" s="20"/>
      <c r="GU184" s="20"/>
      <c r="GV184" s="20"/>
      <c r="GW184" s="20"/>
      <c r="GX184" s="20"/>
      <c r="GY184" s="20"/>
      <c r="GZ184" s="20"/>
      <c r="HA184" s="20"/>
      <c r="HB184" s="20"/>
      <c r="HC184" s="20"/>
      <c r="HD184" s="20"/>
      <c r="HE184" s="20"/>
      <c r="HF184" s="20"/>
      <c r="HG184" s="20"/>
      <c r="HH184" s="20"/>
      <c r="HI184" s="20"/>
    </row>
    <row r="185" spans="1:217" ht="13" x14ac:dyDescent="0.15">
      <c r="A185" s="27">
        <v>43516</v>
      </c>
      <c r="B185" s="28" t="s">
        <v>244</v>
      </c>
      <c r="C185" s="16">
        <v>174</v>
      </c>
      <c r="D185" s="28">
        <v>21.310611999999999</v>
      </c>
      <c r="E185" s="28">
        <v>-158.00441000000001</v>
      </c>
      <c r="F185" s="28" t="s">
        <v>278</v>
      </c>
      <c r="G185" s="29">
        <v>0.39444444444444443</v>
      </c>
      <c r="H185" s="29">
        <v>0.47916666666666669</v>
      </c>
      <c r="I185" s="28">
        <v>8</v>
      </c>
      <c r="J185" s="28">
        <v>10</v>
      </c>
      <c r="K185" s="28" t="s">
        <v>314</v>
      </c>
      <c r="L185" s="28">
        <v>6</v>
      </c>
      <c r="M185" s="28">
        <v>6</v>
      </c>
      <c r="N185" s="28" t="s">
        <v>540</v>
      </c>
      <c r="O185" s="28"/>
      <c r="P185" s="28"/>
      <c r="Q185" s="28"/>
      <c r="R185" s="28"/>
      <c r="S185" s="28"/>
      <c r="T185" s="28"/>
      <c r="U185" s="28"/>
      <c r="V185" s="28"/>
      <c r="W185" s="28"/>
      <c r="X185" s="28"/>
      <c r="Y185" s="28"/>
      <c r="Z185" s="28"/>
      <c r="AA185" s="28"/>
      <c r="AB185" s="28"/>
      <c r="AC185" s="28"/>
      <c r="AD185" s="28"/>
      <c r="AE185" s="28">
        <v>6</v>
      </c>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v>5</v>
      </c>
      <c r="BF185" s="28"/>
      <c r="BG185" s="28"/>
      <c r="BH185" s="28"/>
      <c r="BI185" s="28"/>
      <c r="BJ185" s="28"/>
      <c r="BK185" s="28"/>
      <c r="BL185" s="28"/>
      <c r="BM185" s="28">
        <v>1</v>
      </c>
      <c r="BN185" s="28"/>
      <c r="BO185" s="28"/>
      <c r="BP185" s="28"/>
      <c r="BQ185" s="28"/>
      <c r="BR185" s="28"/>
      <c r="BS185" s="28"/>
      <c r="BT185" s="28"/>
      <c r="BU185" s="28"/>
      <c r="BV185" s="28">
        <v>8</v>
      </c>
      <c r="BW185" s="28"/>
      <c r="BX185" s="28"/>
      <c r="BY185" s="28"/>
      <c r="BZ185" s="28"/>
      <c r="CA185" s="28"/>
      <c r="CB185" s="28"/>
      <c r="CC185" s="28"/>
      <c r="CD185" s="28"/>
      <c r="CE185" s="28"/>
      <c r="CF185" s="28"/>
      <c r="CG185" s="28"/>
      <c r="CH185" s="28"/>
      <c r="CI185" s="28"/>
      <c r="CJ185" s="28"/>
      <c r="CK185" s="28"/>
      <c r="CL185" s="28"/>
      <c r="CM185" s="28"/>
      <c r="CN185" s="28"/>
      <c r="CO185" s="28"/>
      <c r="CP185" s="28"/>
      <c r="CQ185" s="28"/>
      <c r="CR185" s="28"/>
      <c r="CS185" s="28"/>
      <c r="CT185" s="28"/>
      <c r="CU185" s="28"/>
      <c r="CV185" s="28"/>
      <c r="CW185" s="28"/>
      <c r="CX185" s="28"/>
      <c r="CY185" s="28"/>
      <c r="CZ185" s="28"/>
      <c r="DA185" s="28"/>
      <c r="DB185" s="28"/>
      <c r="DC185" s="28"/>
      <c r="DD185" s="28"/>
      <c r="DE185" s="28"/>
      <c r="DF185" s="28"/>
      <c r="DG185" s="28">
        <v>1</v>
      </c>
      <c r="DH185" s="28"/>
      <c r="DI185" s="28"/>
      <c r="DJ185" s="28"/>
      <c r="DK185" s="28"/>
      <c r="DL185" s="28">
        <v>1</v>
      </c>
      <c r="DM185" s="28"/>
      <c r="DN185" s="28"/>
      <c r="DO185" s="28">
        <v>1</v>
      </c>
      <c r="DP185" s="28"/>
      <c r="DQ185" s="28"/>
      <c r="DR185" s="28"/>
      <c r="DS185" s="28"/>
      <c r="DT185" s="28"/>
      <c r="DU185" s="28"/>
      <c r="DV185" s="28"/>
      <c r="DW185" s="28"/>
      <c r="DX185" s="28"/>
      <c r="DY185" s="28"/>
      <c r="DZ185" s="28"/>
      <c r="EA185" s="28"/>
      <c r="EB185" s="28"/>
      <c r="EC185" s="28"/>
      <c r="ED185" s="28"/>
      <c r="EE185" s="28"/>
      <c r="EF185" s="28"/>
      <c r="EG185" s="28"/>
      <c r="EH185" s="28"/>
      <c r="EI185" s="28"/>
      <c r="EJ185" s="28">
        <v>81</v>
      </c>
      <c r="EK185" s="28"/>
      <c r="EL185" s="28"/>
      <c r="EM185" s="28"/>
      <c r="EN185" s="28"/>
      <c r="EO185" s="28">
        <v>13</v>
      </c>
      <c r="EP185" s="28"/>
      <c r="EQ185" s="28"/>
      <c r="ER185" s="28"/>
      <c r="ES185" s="28"/>
      <c r="ET185" s="28"/>
      <c r="EU185" s="28"/>
      <c r="EV185" s="28"/>
      <c r="EW185" s="28"/>
      <c r="EX185" s="28"/>
      <c r="EY185" s="28"/>
      <c r="EZ185" s="28"/>
      <c r="FA185" s="28"/>
      <c r="FB185" s="28"/>
      <c r="FC185" s="28"/>
      <c r="FD185" s="28"/>
      <c r="FE185" s="28"/>
      <c r="FF185" s="28"/>
      <c r="FG185" s="28"/>
      <c r="FH185" s="28"/>
      <c r="FI185" s="28"/>
      <c r="FJ185" s="28"/>
      <c r="FK185" s="28"/>
      <c r="FL185" s="28"/>
      <c r="FM185" s="28"/>
      <c r="FN185" s="28"/>
      <c r="FO185" s="28"/>
      <c r="FP185" s="28"/>
      <c r="FQ185" s="28"/>
      <c r="FR185" s="28"/>
      <c r="FS185" s="28"/>
      <c r="FT185" s="28"/>
      <c r="FU185" s="28"/>
      <c r="FV185" s="28"/>
      <c r="FW185" s="28">
        <v>1</v>
      </c>
      <c r="FX185" s="28"/>
      <c r="FY185" s="28"/>
      <c r="FZ185" s="28"/>
      <c r="GA185" s="28"/>
      <c r="GB185" s="28"/>
      <c r="GC185" s="28"/>
      <c r="GD185" s="28"/>
      <c r="GE185" s="28"/>
      <c r="GF185" s="28"/>
      <c r="GG185" s="28"/>
      <c r="GH185" s="28"/>
      <c r="GI185" s="28"/>
      <c r="GJ185" s="28"/>
      <c r="GK185" s="28"/>
      <c r="GL185" s="28"/>
      <c r="GM185" s="28"/>
      <c r="GN185" s="28"/>
      <c r="GO185" s="28"/>
      <c r="GP185" s="28"/>
      <c r="GQ185" s="28"/>
      <c r="GR185" s="28"/>
      <c r="GS185" s="28"/>
      <c r="GT185" s="28"/>
      <c r="GU185" s="28"/>
      <c r="GV185" s="28"/>
      <c r="GW185" s="28"/>
      <c r="GX185" s="28"/>
      <c r="GY185" s="28"/>
      <c r="GZ185" s="28"/>
      <c r="HA185" s="28"/>
      <c r="HB185" s="28"/>
      <c r="HC185" s="28"/>
      <c r="HD185" s="28"/>
      <c r="HE185" s="28"/>
      <c r="HF185" s="28"/>
      <c r="HG185" s="28"/>
      <c r="HH185" s="28"/>
      <c r="HI185" s="28"/>
    </row>
    <row r="186" spans="1:217" ht="13" x14ac:dyDescent="0.15">
      <c r="A186" s="13">
        <v>43517</v>
      </c>
      <c r="B186" s="3" t="s">
        <v>440</v>
      </c>
      <c r="C186" s="16">
        <f t="shared" ref="C186:C198" si="103">C185+1</f>
        <v>175</v>
      </c>
      <c r="D186" s="3">
        <v>21.311893000000001</v>
      </c>
      <c r="E186" s="3">
        <v>-157.89514199999999</v>
      </c>
      <c r="F186" s="3" t="s">
        <v>418</v>
      </c>
      <c r="G186" s="14">
        <v>0.45833333333333331</v>
      </c>
      <c r="H186" s="14">
        <v>0.49027777777777776</v>
      </c>
      <c r="I186" s="3">
        <v>5</v>
      </c>
      <c r="J186" s="3">
        <v>10</v>
      </c>
      <c r="K186" s="3" t="s">
        <v>318</v>
      </c>
      <c r="L186" s="3">
        <v>5</v>
      </c>
      <c r="M186" s="3">
        <v>25</v>
      </c>
      <c r="P186" s="3">
        <v>25</v>
      </c>
      <c r="AH186" s="3"/>
      <c r="AI186" s="3">
        <v>1</v>
      </c>
      <c r="AT186" s="3"/>
      <c r="AU186" s="3"/>
      <c r="AV186" s="3"/>
      <c r="AW186" s="3"/>
      <c r="AX186" s="3"/>
      <c r="AY186" s="3"/>
      <c r="AZ186" s="3">
        <v>1</v>
      </c>
      <c r="BA186" s="3"/>
      <c r="BB186" s="3"/>
      <c r="BC186" s="3"/>
      <c r="BD186" s="3"/>
      <c r="BE186" s="3">
        <v>1</v>
      </c>
      <c r="BF186" s="3"/>
      <c r="BG186" s="3"/>
      <c r="BH186" s="3"/>
      <c r="BI186" s="3"/>
      <c r="BJ186" s="3"/>
      <c r="BK186" s="3"/>
      <c r="BL186" s="3">
        <v>1</v>
      </c>
      <c r="BM186" s="3">
        <v>15</v>
      </c>
      <c r="BR186" s="3"/>
      <c r="BS186" s="3"/>
      <c r="BT186" s="3"/>
      <c r="BU186" s="3"/>
      <c r="BV186" s="3">
        <v>13</v>
      </c>
      <c r="BW186" s="3"/>
      <c r="BY186" s="3"/>
      <c r="BZ186" s="3">
        <v>3</v>
      </c>
      <c r="CV186" s="3"/>
      <c r="CW186" s="3"/>
      <c r="CX186" s="3"/>
      <c r="CY186" s="3"/>
      <c r="CZ186" s="3"/>
      <c r="DA186" s="3">
        <v>2</v>
      </c>
      <c r="DQ186" s="3"/>
      <c r="DR186" s="3"/>
      <c r="DS186" s="3">
        <v>22</v>
      </c>
      <c r="EK186" s="3"/>
      <c r="EL186" s="3"/>
      <c r="EM186" s="3"/>
      <c r="EN186" s="3"/>
      <c r="EO186" s="3"/>
      <c r="EP186" s="3"/>
      <c r="EQ186" s="3"/>
      <c r="ER186" s="3"/>
      <c r="ES186" s="3"/>
      <c r="ET186" s="3"/>
      <c r="EU186" s="3"/>
      <c r="EV186" s="3"/>
      <c r="EW186" s="3"/>
      <c r="EX186" s="3"/>
      <c r="EY186" s="3"/>
      <c r="EZ186" s="3"/>
      <c r="FA186" s="3"/>
      <c r="FB186" s="3">
        <v>24</v>
      </c>
      <c r="FD186" s="3"/>
      <c r="FE186" s="3">
        <v>3</v>
      </c>
      <c r="FS186" s="3">
        <v>223</v>
      </c>
      <c r="FZ186" s="3">
        <v>1</v>
      </c>
      <c r="GG186" s="3">
        <v>1</v>
      </c>
      <c r="GH186" s="3">
        <f t="shared" ref="GH186:GH195" si="104">COUNT(R186:GG186)</f>
        <v>14</v>
      </c>
      <c r="GI186" s="3">
        <f t="shared" ref="GI186:GI195" si="105">COUNTIF(R186:GG186,"&gt;=2")</f>
        <v>8</v>
      </c>
      <c r="GJ186" s="3">
        <f t="shared" ref="GJ186:GJ195" si="106">COUNTIF(R186:GG186,"&gt;=5")</f>
        <v>5</v>
      </c>
      <c r="GK186" s="3">
        <f t="shared" ref="GK186:GK195" si="107">SUM(R186:GG186)</f>
        <v>311</v>
      </c>
      <c r="GL186" s="3">
        <f t="shared" ref="GL186:GL195" si="108">25*P186</f>
        <v>625</v>
      </c>
      <c r="GM186" s="3">
        <f t="shared" ref="GM186:GM195" si="109">GL186-GK186</f>
        <v>314</v>
      </c>
    </row>
    <row r="187" spans="1:217" ht="13" x14ac:dyDescent="0.15">
      <c r="A187" s="13">
        <v>43519</v>
      </c>
      <c r="B187" s="3" t="s">
        <v>266</v>
      </c>
      <c r="C187" s="16">
        <f t="shared" si="103"/>
        <v>176</v>
      </c>
      <c r="D187" s="23">
        <v>22.060683999999998</v>
      </c>
      <c r="E187" s="23">
        <v>-159.318512</v>
      </c>
      <c r="F187" s="3" t="s">
        <v>297</v>
      </c>
      <c r="G187" s="14">
        <v>0.36875000000000002</v>
      </c>
      <c r="H187" s="14">
        <v>0.40625</v>
      </c>
      <c r="I187" s="3">
        <v>4</v>
      </c>
      <c r="J187" s="3">
        <v>20</v>
      </c>
      <c r="K187" s="3" t="s">
        <v>198</v>
      </c>
      <c r="L187" s="3">
        <v>5</v>
      </c>
      <c r="M187" s="3">
        <v>19</v>
      </c>
      <c r="N187" s="3" t="s">
        <v>441</v>
      </c>
      <c r="P187" s="3">
        <v>19</v>
      </c>
      <c r="R187" s="3">
        <v>1</v>
      </c>
      <c r="AA187" s="3"/>
      <c r="AB187" s="3">
        <v>13</v>
      </c>
      <c r="AD187" s="3">
        <v>1</v>
      </c>
      <c r="AG187" s="3"/>
      <c r="AW187" s="3"/>
      <c r="AX187" s="3">
        <v>1</v>
      </c>
      <c r="BA187" s="3"/>
      <c r="BB187" s="3">
        <v>1</v>
      </c>
      <c r="BF187" s="3"/>
      <c r="BG187" s="3"/>
      <c r="BH187" s="3"/>
      <c r="BI187" s="3"/>
      <c r="BJ187" s="3"/>
      <c r="BK187" s="3"/>
      <c r="BM187" s="3">
        <v>1</v>
      </c>
      <c r="BN187" s="3">
        <v>43</v>
      </c>
      <c r="BQ187" s="3"/>
      <c r="BR187" s="3"/>
      <c r="BV187" s="3">
        <v>9</v>
      </c>
      <c r="CC187" s="3"/>
      <c r="CD187" s="3"/>
      <c r="CE187" s="3"/>
      <c r="CF187" s="3"/>
      <c r="CI187" s="3"/>
      <c r="CJ187" s="3"/>
      <c r="CK187" s="3"/>
      <c r="CL187" s="3"/>
      <c r="CM187" s="3"/>
      <c r="CN187" s="3"/>
      <c r="CO187" s="3"/>
      <c r="DM187" s="3">
        <v>37</v>
      </c>
      <c r="DN187" s="3">
        <v>1</v>
      </c>
      <c r="DR187" s="3"/>
      <c r="DS187" s="3">
        <v>28</v>
      </c>
      <c r="DW187" s="3"/>
      <c r="DX187" s="3"/>
      <c r="EB187" s="3"/>
      <c r="EC187" s="3"/>
      <c r="ED187" s="3"/>
      <c r="EJ187" s="3">
        <v>89</v>
      </c>
      <c r="EK187" s="3"/>
      <c r="EL187" s="3"/>
      <c r="EM187" s="3"/>
      <c r="EN187" s="3"/>
      <c r="EO187" s="3"/>
      <c r="EP187" s="3"/>
      <c r="EQ187" s="3"/>
      <c r="ER187" s="3"/>
      <c r="FB187" s="3">
        <v>5</v>
      </c>
      <c r="FI187" s="3">
        <v>22</v>
      </c>
      <c r="FJ187" s="3"/>
      <c r="FK187" s="3"/>
      <c r="FL187" s="3"/>
      <c r="FM187" s="3"/>
      <c r="FR187" s="3">
        <v>31</v>
      </c>
      <c r="FS187" s="3">
        <v>63</v>
      </c>
      <c r="GB187" s="3">
        <v>21</v>
      </c>
      <c r="GH187" s="3">
        <f t="shared" si="104"/>
        <v>17</v>
      </c>
      <c r="GI187" s="3">
        <f t="shared" si="105"/>
        <v>11</v>
      </c>
      <c r="GJ187" s="3">
        <f t="shared" si="106"/>
        <v>11</v>
      </c>
      <c r="GK187" s="3">
        <f t="shared" si="107"/>
        <v>367</v>
      </c>
      <c r="GL187" s="3">
        <f t="shared" si="108"/>
        <v>475</v>
      </c>
      <c r="GM187" s="3">
        <f t="shared" si="109"/>
        <v>108</v>
      </c>
    </row>
    <row r="188" spans="1:217" ht="13" x14ac:dyDescent="0.15">
      <c r="A188" s="13">
        <v>43519</v>
      </c>
      <c r="B188" s="3" t="s">
        <v>266</v>
      </c>
      <c r="C188" s="16">
        <f t="shared" si="103"/>
        <v>177</v>
      </c>
      <c r="D188" s="23">
        <v>22.060683999999998</v>
      </c>
      <c r="E188" s="23">
        <v>-159.318512</v>
      </c>
      <c r="F188" s="3" t="s">
        <v>347</v>
      </c>
      <c r="G188" s="14">
        <v>0.53472222222222221</v>
      </c>
      <c r="H188" s="14">
        <v>0.60416666666666663</v>
      </c>
      <c r="I188" s="3">
        <v>3</v>
      </c>
      <c r="J188" s="3">
        <v>20</v>
      </c>
      <c r="K188" s="3" t="s">
        <v>198</v>
      </c>
      <c r="L188" s="3">
        <v>20</v>
      </c>
      <c r="M188" s="3">
        <v>10</v>
      </c>
      <c r="N188" s="3" t="s">
        <v>442</v>
      </c>
      <c r="O188" s="3" t="s">
        <v>443</v>
      </c>
      <c r="P188" s="3">
        <v>10</v>
      </c>
      <c r="AW188" s="3"/>
      <c r="AX188" s="3">
        <v>1</v>
      </c>
      <c r="BK188" s="3">
        <v>2</v>
      </c>
      <c r="BM188" s="3">
        <v>1</v>
      </c>
      <c r="BV188" s="3">
        <v>1</v>
      </c>
      <c r="DM188" s="3">
        <v>10</v>
      </c>
      <c r="DR188" s="3"/>
      <c r="DS188" s="3">
        <v>59</v>
      </c>
      <c r="EJ188" s="3">
        <v>11</v>
      </c>
      <c r="FI188" s="3">
        <v>5</v>
      </c>
      <c r="FR188" s="3">
        <v>1</v>
      </c>
      <c r="FS188" s="3">
        <v>28</v>
      </c>
      <c r="GH188" s="3">
        <f t="shared" si="104"/>
        <v>10</v>
      </c>
      <c r="GI188" s="3">
        <f t="shared" si="105"/>
        <v>6</v>
      </c>
      <c r="GJ188" s="3">
        <f t="shared" si="106"/>
        <v>5</v>
      </c>
      <c r="GK188" s="3">
        <f t="shared" si="107"/>
        <v>119</v>
      </c>
      <c r="GL188" s="3">
        <f t="shared" si="108"/>
        <v>250</v>
      </c>
      <c r="GM188" s="3">
        <f t="shared" si="109"/>
        <v>131</v>
      </c>
    </row>
    <row r="189" spans="1:217" ht="13" x14ac:dyDescent="0.15">
      <c r="A189" s="13">
        <v>43520</v>
      </c>
      <c r="B189" s="3" t="s">
        <v>293</v>
      </c>
      <c r="C189" s="16">
        <f t="shared" si="103"/>
        <v>178</v>
      </c>
      <c r="D189" s="3">
        <v>19.738602</v>
      </c>
      <c r="E189" s="3">
        <v>-155.03887900000001</v>
      </c>
      <c r="F189" s="3" t="s">
        <v>418</v>
      </c>
      <c r="G189" s="14">
        <v>0.55208333333333337</v>
      </c>
      <c r="H189" s="14">
        <v>0.59375</v>
      </c>
      <c r="I189" s="3">
        <v>3</v>
      </c>
      <c r="J189" s="3">
        <v>13</v>
      </c>
      <c r="K189" s="3" t="s">
        <v>198</v>
      </c>
      <c r="L189" s="3">
        <v>11</v>
      </c>
      <c r="M189" s="3">
        <v>25</v>
      </c>
      <c r="N189" s="3" t="s">
        <v>444</v>
      </c>
      <c r="O189" s="3"/>
      <c r="P189" s="3">
        <v>25</v>
      </c>
      <c r="AG189" s="3">
        <v>3</v>
      </c>
      <c r="BF189" s="3"/>
      <c r="BG189" s="3"/>
      <c r="BH189" s="3"/>
      <c r="BI189" s="3"/>
      <c r="BJ189" s="3"/>
      <c r="BK189" s="3">
        <v>2</v>
      </c>
      <c r="BM189" s="3">
        <v>25</v>
      </c>
      <c r="BQ189" s="3">
        <v>1</v>
      </c>
      <c r="BR189" s="3">
        <v>6</v>
      </c>
      <c r="CC189" s="3">
        <v>5</v>
      </c>
      <c r="CD189" s="3"/>
      <c r="CE189" s="3"/>
      <c r="CF189" s="3">
        <v>1</v>
      </c>
      <c r="CI189" s="3"/>
      <c r="CJ189" s="3"/>
      <c r="CK189" s="3"/>
      <c r="CL189" s="3"/>
      <c r="CM189" s="3"/>
      <c r="CN189" s="3"/>
      <c r="CO189" s="3">
        <v>12</v>
      </c>
      <c r="DW189" s="3"/>
      <c r="DX189" s="3">
        <v>19</v>
      </c>
      <c r="EB189" s="3"/>
      <c r="EC189" s="3"/>
      <c r="ED189" s="3">
        <v>1</v>
      </c>
      <c r="EK189" s="3"/>
      <c r="EL189" s="3"/>
      <c r="EM189" s="3"/>
      <c r="EN189" s="3"/>
      <c r="EO189" s="3"/>
      <c r="EP189" s="3">
        <v>4</v>
      </c>
      <c r="EQ189" s="3"/>
      <c r="ER189" s="3">
        <v>1</v>
      </c>
      <c r="FJ189" s="3"/>
      <c r="FK189" s="3"/>
      <c r="FL189" s="3"/>
      <c r="FM189" s="3">
        <v>3</v>
      </c>
      <c r="FS189" s="3">
        <v>389</v>
      </c>
      <c r="GH189" s="3">
        <f t="shared" si="104"/>
        <v>14</v>
      </c>
      <c r="GI189" s="3">
        <f t="shared" si="105"/>
        <v>10</v>
      </c>
      <c r="GJ189" s="3">
        <f t="shared" si="106"/>
        <v>6</v>
      </c>
      <c r="GK189" s="3">
        <f t="shared" si="107"/>
        <v>472</v>
      </c>
      <c r="GL189" s="3">
        <f t="shared" si="108"/>
        <v>625</v>
      </c>
      <c r="GM189" s="3">
        <f t="shared" si="109"/>
        <v>153</v>
      </c>
    </row>
    <row r="190" spans="1:217" ht="13" x14ac:dyDescent="0.15">
      <c r="A190" s="24">
        <v>43525</v>
      </c>
      <c r="B190" s="25" t="s">
        <v>244</v>
      </c>
      <c r="C190" s="16">
        <f t="shared" si="103"/>
        <v>179</v>
      </c>
      <c r="D190" s="25">
        <v>21.310611999999999</v>
      </c>
      <c r="E190" s="25">
        <v>-158.00441000000001</v>
      </c>
      <c r="F190" s="25" t="s">
        <v>278</v>
      </c>
      <c r="G190" s="26">
        <v>0.38541666666666669</v>
      </c>
      <c r="H190" s="26">
        <v>0.47222222222222221</v>
      </c>
      <c r="I190" s="25">
        <v>8</v>
      </c>
      <c r="J190" s="25">
        <v>10</v>
      </c>
      <c r="K190" s="25" t="s">
        <v>318</v>
      </c>
      <c r="L190" s="25">
        <v>6</v>
      </c>
      <c r="M190" s="25">
        <v>32</v>
      </c>
      <c r="N190" s="25" t="s">
        <v>445</v>
      </c>
      <c r="O190" s="25"/>
      <c r="P190" s="25"/>
      <c r="Q190" s="25"/>
      <c r="R190" s="25">
        <v>9</v>
      </c>
      <c r="S190" s="25"/>
      <c r="T190" s="25"/>
      <c r="U190" s="25"/>
      <c r="V190" s="25"/>
      <c r="W190" s="25"/>
      <c r="X190" s="25"/>
      <c r="Y190" s="25"/>
      <c r="Z190" s="25"/>
      <c r="AA190" s="25"/>
      <c r="AB190" s="25">
        <v>2</v>
      </c>
      <c r="AC190" s="25"/>
      <c r="AD190" s="25"/>
      <c r="AE190" s="25">
        <v>12</v>
      </c>
      <c r="AF190" s="25"/>
      <c r="AG190" s="25"/>
      <c r="AH190" s="25"/>
      <c r="AI190" s="25"/>
      <c r="AJ190" s="25"/>
      <c r="AK190" s="25"/>
      <c r="AL190" s="25"/>
      <c r="AM190" s="25">
        <v>3</v>
      </c>
      <c r="AN190" s="25"/>
      <c r="AO190" s="25"/>
      <c r="AP190" s="25"/>
      <c r="AQ190" s="25"/>
      <c r="AR190" s="25"/>
      <c r="AS190" s="25"/>
      <c r="AT190" s="25">
        <v>7</v>
      </c>
      <c r="AU190" s="25"/>
      <c r="AV190" s="25"/>
      <c r="AW190" s="25"/>
      <c r="AX190" s="25"/>
      <c r="AY190" s="25"/>
      <c r="AZ190" s="25"/>
      <c r="BA190" s="25"/>
      <c r="BB190" s="25">
        <v>18</v>
      </c>
      <c r="BC190" s="25"/>
      <c r="BD190" s="25">
        <v>27</v>
      </c>
      <c r="BE190" s="25">
        <v>13</v>
      </c>
      <c r="BF190" s="25"/>
      <c r="BG190" s="25"/>
      <c r="BH190" s="25"/>
      <c r="BI190" s="25"/>
      <c r="BJ190" s="25"/>
      <c r="BK190" s="25">
        <v>25</v>
      </c>
      <c r="BL190" s="25"/>
      <c r="BM190" s="25">
        <v>14</v>
      </c>
      <c r="BN190" s="25"/>
      <c r="BO190" s="25"/>
      <c r="BP190" s="25"/>
      <c r="BQ190" s="25"/>
      <c r="BR190" s="25"/>
      <c r="BS190" s="25"/>
      <c r="BT190" s="25"/>
      <c r="BU190" s="25"/>
      <c r="BV190" s="25">
        <v>10</v>
      </c>
      <c r="BW190" s="25"/>
      <c r="BX190" s="25">
        <v>5</v>
      </c>
      <c r="BY190" s="25"/>
      <c r="BZ190" s="25"/>
      <c r="CA190" s="25"/>
      <c r="CB190" s="25"/>
      <c r="CC190" s="25"/>
      <c r="CD190" s="25"/>
      <c r="CE190" s="25"/>
      <c r="CF190" s="25"/>
      <c r="CG190" s="25"/>
      <c r="CH190" s="25"/>
      <c r="CI190" s="25"/>
      <c r="CJ190" s="25"/>
      <c r="CK190" s="25"/>
      <c r="CL190" s="25"/>
      <c r="CM190" s="25">
        <v>18</v>
      </c>
      <c r="CN190" s="25"/>
      <c r="CO190" s="25"/>
      <c r="CP190" s="25"/>
      <c r="CQ190" s="25"/>
      <c r="CR190" s="25"/>
      <c r="CS190" s="25"/>
      <c r="CT190" s="25"/>
      <c r="CU190" s="25"/>
      <c r="CV190" s="25"/>
      <c r="CW190" s="25"/>
      <c r="CX190" s="25"/>
      <c r="CY190" s="25"/>
      <c r="CZ190" s="25"/>
      <c r="DA190" s="25"/>
      <c r="DB190" s="25"/>
      <c r="DC190" s="25">
        <v>7</v>
      </c>
      <c r="DD190" s="25"/>
      <c r="DE190" s="25">
        <v>9</v>
      </c>
      <c r="DF190" s="25"/>
      <c r="DG190" s="25">
        <v>3</v>
      </c>
      <c r="DH190" s="25"/>
      <c r="DI190" s="25"/>
      <c r="DJ190" s="25"/>
      <c r="DK190" s="25"/>
      <c r="DL190" s="25"/>
      <c r="DM190" s="25">
        <v>5</v>
      </c>
      <c r="DN190" s="25"/>
      <c r="DO190" s="25"/>
      <c r="DP190" s="25"/>
      <c r="DQ190" s="25"/>
      <c r="DR190" s="25"/>
      <c r="DS190" s="25"/>
      <c r="DT190" s="25"/>
      <c r="DU190" s="25"/>
      <c r="DV190" s="25"/>
      <c r="DW190" s="25"/>
      <c r="DX190" s="25"/>
      <c r="DY190" s="25"/>
      <c r="DZ190" s="25"/>
      <c r="EA190" s="25"/>
      <c r="EB190" s="25"/>
      <c r="EC190" s="25">
        <v>2</v>
      </c>
      <c r="ED190" s="25">
        <v>15</v>
      </c>
      <c r="EE190" s="25"/>
      <c r="EF190" s="25"/>
      <c r="EG190" s="25"/>
      <c r="EH190" s="25"/>
      <c r="EI190" s="25"/>
      <c r="EJ190" s="25">
        <v>91</v>
      </c>
      <c r="EK190" s="25">
        <v>1</v>
      </c>
      <c r="EL190" s="25"/>
      <c r="EM190" s="25"/>
      <c r="EN190" s="25"/>
      <c r="EO190" s="25">
        <v>1</v>
      </c>
      <c r="EP190" s="25"/>
      <c r="EQ190" s="25"/>
      <c r="ER190" s="25"/>
      <c r="ES190" s="25"/>
      <c r="ET190" s="25"/>
      <c r="EU190" s="25"/>
      <c r="EV190" s="25"/>
      <c r="EW190" s="25">
        <v>1</v>
      </c>
      <c r="EX190" s="25">
        <v>3</v>
      </c>
      <c r="EY190" s="25"/>
      <c r="EZ190" s="25"/>
      <c r="FA190" s="25"/>
      <c r="FB190" s="25"/>
      <c r="FC190" s="25"/>
      <c r="FD190" s="25"/>
      <c r="FE190" s="25"/>
      <c r="FF190" s="25"/>
      <c r="FG190" s="25"/>
      <c r="FH190" s="25"/>
      <c r="FI190" s="25"/>
      <c r="FJ190" s="25"/>
      <c r="FK190" s="25"/>
      <c r="FL190" s="25">
        <v>2</v>
      </c>
      <c r="FM190" s="25"/>
      <c r="FN190" s="25"/>
      <c r="FO190" s="25"/>
      <c r="FP190" s="25"/>
      <c r="FQ190" s="25">
        <v>29</v>
      </c>
      <c r="FR190" s="25"/>
      <c r="FS190" s="25">
        <v>162</v>
      </c>
      <c r="FT190" s="25"/>
      <c r="FU190" s="25"/>
      <c r="FV190" s="25"/>
      <c r="FW190" s="25"/>
      <c r="FX190" s="25"/>
      <c r="FY190" s="25"/>
      <c r="FZ190" s="25"/>
      <c r="GA190" s="25"/>
      <c r="GB190" s="25"/>
      <c r="GC190" s="25"/>
      <c r="GD190" s="25"/>
      <c r="GE190" s="25"/>
      <c r="GF190" s="25"/>
      <c r="GG190" s="25"/>
      <c r="GH190" s="25">
        <f t="shared" si="104"/>
        <v>27</v>
      </c>
      <c r="GI190" s="25">
        <f t="shared" si="105"/>
        <v>24</v>
      </c>
      <c r="GJ190" s="25">
        <f t="shared" si="106"/>
        <v>18</v>
      </c>
      <c r="GK190" s="25">
        <f t="shared" si="107"/>
        <v>494</v>
      </c>
      <c r="GL190" s="25">
        <f t="shared" si="108"/>
        <v>0</v>
      </c>
      <c r="GM190" s="25">
        <f t="shared" si="109"/>
        <v>-494</v>
      </c>
      <c r="GN190" s="25"/>
      <c r="GO190" s="25"/>
      <c r="GP190" s="25"/>
      <c r="GQ190" s="25"/>
      <c r="GR190" s="25"/>
      <c r="GS190" s="25"/>
      <c r="GT190" s="25"/>
      <c r="GU190" s="25"/>
      <c r="GV190" s="25"/>
      <c r="GW190" s="25"/>
      <c r="GX190" s="25"/>
      <c r="GY190" s="25"/>
      <c r="GZ190" s="25"/>
      <c r="HA190" s="25"/>
      <c r="HB190" s="25"/>
      <c r="HC190" s="25"/>
      <c r="HD190" s="25"/>
      <c r="HE190" s="25"/>
      <c r="HF190" s="25"/>
      <c r="HG190" s="25"/>
      <c r="HH190" s="25"/>
      <c r="HI190" s="25"/>
    </row>
    <row r="191" spans="1:217" ht="13" x14ac:dyDescent="0.15">
      <c r="A191" s="24">
        <v>43528</v>
      </c>
      <c r="B191" s="25" t="s">
        <v>400</v>
      </c>
      <c r="C191" s="16">
        <f t="shared" si="103"/>
        <v>180</v>
      </c>
      <c r="D191" s="25">
        <v>21.900562000000001</v>
      </c>
      <c r="E191" s="25">
        <v>-159.60981799999999</v>
      </c>
      <c r="F191" s="25" t="s">
        <v>401</v>
      </c>
      <c r="G191" s="26">
        <v>0.39583333333333331</v>
      </c>
      <c r="H191" s="26">
        <v>0.44097222222222221</v>
      </c>
      <c r="I191" s="25">
        <v>6</v>
      </c>
      <c r="J191" s="25">
        <v>14</v>
      </c>
      <c r="K191" s="25" t="s">
        <v>198</v>
      </c>
      <c r="L191" s="25">
        <v>14</v>
      </c>
      <c r="M191" s="25">
        <v>43</v>
      </c>
      <c r="N191" s="25" t="s">
        <v>447</v>
      </c>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v>12</v>
      </c>
      <c r="BC191" s="25"/>
      <c r="BD191" s="25"/>
      <c r="BE191" s="25"/>
      <c r="BF191" s="25"/>
      <c r="BG191" s="25"/>
      <c r="BH191" s="25">
        <v>4</v>
      </c>
      <c r="BI191" s="25"/>
      <c r="BJ191" s="25"/>
      <c r="BK191" s="25"/>
      <c r="BL191" s="25"/>
      <c r="BM191" s="25"/>
      <c r="BN191" s="25"/>
      <c r="BO191" s="25"/>
      <c r="BP191" s="25"/>
      <c r="BQ191" s="25"/>
      <c r="BR191" s="25"/>
      <c r="BS191" s="25"/>
      <c r="BT191" s="25"/>
      <c r="BU191" s="25"/>
      <c r="BV191" s="25"/>
      <c r="BW191" s="25">
        <v>53</v>
      </c>
      <c r="BX191" s="25"/>
      <c r="BY191" s="25"/>
      <c r="BZ191" s="25"/>
      <c r="CA191" s="25"/>
      <c r="CB191" s="25"/>
      <c r="CC191" s="25"/>
      <c r="CD191" s="25"/>
      <c r="CE191" s="25"/>
      <c r="CF191" s="25"/>
      <c r="CG191" s="25"/>
      <c r="CH191" s="25"/>
      <c r="CI191" s="25"/>
      <c r="CJ191" s="25"/>
      <c r="CK191" s="25"/>
      <c r="CL191" s="25"/>
      <c r="CM191" s="25"/>
      <c r="CN191" s="25"/>
      <c r="CO191" s="25"/>
      <c r="CP191" s="25"/>
      <c r="CQ191" s="25"/>
      <c r="CR191" s="25"/>
      <c r="CS191" s="25"/>
      <c r="CT191" s="25"/>
      <c r="CU191" s="25"/>
      <c r="CV191" s="25"/>
      <c r="CW191" s="25"/>
      <c r="CX191" s="25"/>
      <c r="CY191" s="25"/>
      <c r="CZ191" s="25"/>
      <c r="DA191" s="25"/>
      <c r="DB191" s="25"/>
      <c r="DC191" s="25"/>
      <c r="DD191" s="25"/>
      <c r="DE191" s="25"/>
      <c r="DF191" s="25"/>
      <c r="DG191" s="25"/>
      <c r="DH191" s="25"/>
      <c r="DI191" s="25"/>
      <c r="DJ191" s="25">
        <v>126</v>
      </c>
      <c r="DK191" s="25"/>
      <c r="DL191" s="25">
        <v>165</v>
      </c>
      <c r="DM191" s="25"/>
      <c r="DN191" s="25"/>
      <c r="DO191" s="25"/>
      <c r="DP191" s="25"/>
      <c r="DQ191" s="25"/>
      <c r="DR191" s="25"/>
      <c r="DS191" s="25">
        <v>65</v>
      </c>
      <c r="DT191" s="25"/>
      <c r="DU191" s="25"/>
      <c r="DV191" s="25">
        <v>3</v>
      </c>
      <c r="DW191" s="25"/>
      <c r="DX191" s="25"/>
      <c r="DY191" s="25"/>
      <c r="DZ191" s="25"/>
      <c r="EA191" s="25"/>
      <c r="EB191" s="25"/>
      <c r="EC191" s="25"/>
      <c r="ED191" s="25">
        <v>7</v>
      </c>
      <c r="EE191" s="25"/>
      <c r="EF191" s="25"/>
      <c r="EG191" s="25"/>
      <c r="EH191" s="25"/>
      <c r="EI191" s="25"/>
      <c r="EJ191" s="25">
        <v>70</v>
      </c>
      <c r="EK191" s="25"/>
      <c r="EL191" s="25"/>
      <c r="EM191" s="25"/>
      <c r="EN191" s="25"/>
      <c r="EO191" s="25"/>
      <c r="EP191" s="25"/>
      <c r="EQ191" s="25"/>
      <c r="ER191" s="25"/>
      <c r="ES191" s="25"/>
      <c r="ET191" s="25"/>
      <c r="EU191" s="25"/>
      <c r="EV191" s="25"/>
      <c r="EW191" s="25"/>
      <c r="EX191" s="25"/>
      <c r="EY191" s="25"/>
      <c r="EZ191" s="25"/>
      <c r="FA191" s="25"/>
      <c r="FB191" s="25">
        <v>69</v>
      </c>
      <c r="FC191" s="25"/>
      <c r="FD191" s="25"/>
      <c r="FE191" s="25"/>
      <c r="FF191" s="25"/>
      <c r="FG191" s="25"/>
      <c r="FH191" s="25"/>
      <c r="FI191" s="25"/>
      <c r="FJ191" s="25"/>
      <c r="FK191" s="25"/>
      <c r="FL191" s="25"/>
      <c r="FM191" s="25"/>
      <c r="FN191" s="25"/>
      <c r="FO191" s="25"/>
      <c r="FP191" s="25"/>
      <c r="FQ191" s="25"/>
      <c r="FR191" s="25">
        <v>27</v>
      </c>
      <c r="FS191" s="25">
        <v>18</v>
      </c>
      <c r="FT191" s="25"/>
      <c r="FU191" s="25"/>
      <c r="FV191" s="25"/>
      <c r="FW191" s="25"/>
      <c r="FX191" s="25"/>
      <c r="FY191" s="25"/>
      <c r="FZ191" s="25"/>
      <c r="GA191" s="25"/>
      <c r="GB191" s="25"/>
      <c r="GC191" s="25"/>
      <c r="GD191" s="25"/>
      <c r="GE191" s="25"/>
      <c r="GF191" s="25"/>
      <c r="GG191" s="25"/>
      <c r="GH191" s="25">
        <f t="shared" si="104"/>
        <v>12</v>
      </c>
      <c r="GI191" s="25">
        <f t="shared" si="105"/>
        <v>12</v>
      </c>
      <c r="GJ191" s="25">
        <f t="shared" si="106"/>
        <v>10</v>
      </c>
      <c r="GK191" s="25">
        <f t="shared" si="107"/>
        <v>619</v>
      </c>
      <c r="GL191" s="25">
        <f t="shared" si="108"/>
        <v>0</v>
      </c>
      <c r="GM191" s="25">
        <f t="shared" si="109"/>
        <v>-619</v>
      </c>
      <c r="GN191" s="25"/>
      <c r="GO191" s="25"/>
      <c r="GP191" s="25"/>
      <c r="GQ191" s="25"/>
      <c r="GR191" s="25"/>
      <c r="GS191" s="25"/>
      <c r="GT191" s="25"/>
      <c r="GU191" s="25"/>
      <c r="GV191" s="25"/>
      <c r="GW191" s="25"/>
      <c r="GX191" s="25"/>
      <c r="GY191" s="25"/>
      <c r="GZ191" s="25"/>
      <c r="HA191" s="25"/>
      <c r="HB191" s="25"/>
      <c r="HC191" s="25"/>
      <c r="HD191" s="25"/>
      <c r="HE191" s="25"/>
      <c r="HF191" s="25"/>
      <c r="HG191" s="25"/>
      <c r="HH191" s="25"/>
      <c r="HI191" s="25"/>
    </row>
    <row r="192" spans="1:217" ht="13" x14ac:dyDescent="0.15">
      <c r="A192" s="13">
        <v>43531</v>
      </c>
      <c r="B192" s="3" t="s">
        <v>266</v>
      </c>
      <c r="C192" s="16">
        <f t="shared" si="103"/>
        <v>181</v>
      </c>
      <c r="D192" s="3">
        <v>22.060683999999998</v>
      </c>
      <c r="E192" s="3">
        <v>-159.318512</v>
      </c>
      <c r="F192" s="3" t="s">
        <v>418</v>
      </c>
      <c r="G192" s="14">
        <v>0.4375</v>
      </c>
      <c r="H192" s="14">
        <v>0.50208333333333333</v>
      </c>
      <c r="I192" s="3">
        <v>7</v>
      </c>
      <c r="J192" s="3">
        <v>18</v>
      </c>
      <c r="K192" s="3" t="s">
        <v>198</v>
      </c>
      <c r="L192" s="3">
        <v>10</v>
      </c>
      <c r="M192" s="3">
        <v>56</v>
      </c>
      <c r="N192" s="3" t="s">
        <v>450</v>
      </c>
      <c r="P192" s="3">
        <v>56</v>
      </c>
      <c r="U192" s="3"/>
      <c r="V192" s="3"/>
      <c r="W192" s="3"/>
      <c r="X192" s="3">
        <v>6</v>
      </c>
      <c r="AH192" s="3"/>
      <c r="AI192" s="3">
        <v>2</v>
      </c>
      <c r="BA192" s="3"/>
      <c r="BB192" s="3">
        <v>17</v>
      </c>
      <c r="BM192" s="3">
        <v>6</v>
      </c>
      <c r="BN192" s="3">
        <v>116</v>
      </c>
      <c r="BS192" s="3"/>
      <c r="BT192" s="3"/>
      <c r="BU192" s="3"/>
      <c r="BV192" s="3">
        <v>47</v>
      </c>
      <c r="CD192" s="3"/>
      <c r="CE192" s="3">
        <v>6</v>
      </c>
      <c r="DK192" s="3"/>
      <c r="DL192" s="3">
        <v>6</v>
      </c>
      <c r="DM192" s="3">
        <v>13</v>
      </c>
      <c r="DQ192" s="3"/>
      <c r="DR192" s="3"/>
      <c r="DS192" s="3">
        <v>130</v>
      </c>
      <c r="DT192" s="3"/>
      <c r="DU192" s="3"/>
      <c r="DV192" s="3">
        <v>12</v>
      </c>
      <c r="EE192" s="3"/>
      <c r="EF192" s="3"/>
      <c r="EG192" s="3"/>
      <c r="EH192" s="3"/>
      <c r="EI192" s="3"/>
      <c r="EJ192" s="3">
        <v>55</v>
      </c>
      <c r="EY192" s="3"/>
      <c r="EZ192" s="3"/>
      <c r="FA192" s="3"/>
      <c r="FB192" s="3">
        <v>25</v>
      </c>
      <c r="FC192" s="3">
        <v>1</v>
      </c>
      <c r="FM192" s="3">
        <v>1</v>
      </c>
      <c r="FR192" s="3">
        <v>12</v>
      </c>
      <c r="FS192" s="3">
        <v>443</v>
      </c>
      <c r="GH192" s="3">
        <f t="shared" si="104"/>
        <v>17</v>
      </c>
      <c r="GI192" s="3">
        <f t="shared" si="105"/>
        <v>15</v>
      </c>
      <c r="GJ192" s="3">
        <f t="shared" si="106"/>
        <v>14</v>
      </c>
      <c r="GK192" s="3">
        <f t="shared" si="107"/>
        <v>898</v>
      </c>
      <c r="GL192" s="3">
        <f t="shared" si="108"/>
        <v>1400</v>
      </c>
      <c r="GM192" s="3">
        <f t="shared" si="109"/>
        <v>502</v>
      </c>
    </row>
    <row r="193" spans="1:217" ht="13" x14ac:dyDescent="0.15">
      <c r="A193" s="24">
        <v>43531</v>
      </c>
      <c r="B193" s="25" t="s">
        <v>233</v>
      </c>
      <c r="C193" s="16">
        <f t="shared" si="103"/>
        <v>182</v>
      </c>
      <c r="D193" s="25">
        <v>21.066799</v>
      </c>
      <c r="E193" s="25">
        <v>-156.804993</v>
      </c>
      <c r="F193" s="25" t="s">
        <v>286</v>
      </c>
      <c r="G193" s="26">
        <v>0.43541666666666667</v>
      </c>
      <c r="H193" s="26">
        <v>0.47430555555555554</v>
      </c>
      <c r="I193" s="25">
        <v>4</v>
      </c>
      <c r="J193" s="25">
        <v>24</v>
      </c>
      <c r="K193" s="25" t="s">
        <v>227</v>
      </c>
      <c r="L193" s="25">
        <v>9</v>
      </c>
      <c r="M193" s="25">
        <v>25</v>
      </c>
      <c r="N193" s="25" t="s">
        <v>451</v>
      </c>
      <c r="O193" s="25"/>
      <c r="P193" s="25"/>
      <c r="Q193" s="25"/>
      <c r="R193" s="25">
        <v>5</v>
      </c>
      <c r="S193" s="25"/>
      <c r="T193" s="25"/>
      <c r="U193" s="25"/>
      <c r="V193" s="25"/>
      <c r="W193" s="25"/>
      <c r="X193" s="25"/>
      <c r="Y193" s="25"/>
      <c r="Z193" s="25"/>
      <c r="AA193" s="25"/>
      <c r="AB193" s="25"/>
      <c r="AC193" s="25"/>
      <c r="AD193" s="25"/>
      <c r="AE193" s="25"/>
      <c r="AF193" s="25"/>
      <c r="AG193" s="25"/>
      <c r="AH193" s="25"/>
      <c r="AI193" s="25"/>
      <c r="AJ193" s="25"/>
      <c r="AK193" s="25"/>
      <c r="AL193" s="25"/>
      <c r="AM193" s="25">
        <v>49</v>
      </c>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v>209</v>
      </c>
      <c r="BN193" s="25"/>
      <c r="BO193" s="25"/>
      <c r="BP193" s="25"/>
      <c r="BQ193" s="25"/>
      <c r="BR193" s="25"/>
      <c r="BS193" s="25"/>
      <c r="BT193" s="25"/>
      <c r="BU193" s="25"/>
      <c r="BV193" s="25"/>
      <c r="BW193" s="25"/>
      <c r="BX193" s="25"/>
      <c r="BY193" s="25"/>
      <c r="BZ193" s="25"/>
      <c r="CA193" s="25"/>
      <c r="CB193" s="25"/>
      <c r="CC193" s="25"/>
      <c r="CD193" s="25"/>
      <c r="CE193" s="25"/>
      <c r="CF193" s="25"/>
      <c r="CG193" s="25"/>
      <c r="CH193" s="25">
        <v>8</v>
      </c>
      <c r="CI193" s="25"/>
      <c r="CJ193" s="25"/>
      <c r="CK193" s="25"/>
      <c r="CL193" s="25"/>
      <c r="CM193" s="25"/>
      <c r="CN193" s="25"/>
      <c r="CO193" s="25">
        <v>7</v>
      </c>
      <c r="CP193" s="25"/>
      <c r="CQ193" s="25"/>
      <c r="CR193" s="25"/>
      <c r="CS193" s="25"/>
      <c r="CT193" s="25"/>
      <c r="CU193" s="25"/>
      <c r="CV193" s="25"/>
      <c r="CW193" s="25"/>
      <c r="CX193" s="25"/>
      <c r="CY193" s="25"/>
      <c r="CZ193" s="25"/>
      <c r="DA193" s="25"/>
      <c r="DB193" s="25"/>
      <c r="DC193" s="25"/>
      <c r="DD193" s="25"/>
      <c r="DE193" s="25"/>
      <c r="DF193" s="25"/>
      <c r="DG193" s="25"/>
      <c r="DH193" s="25"/>
      <c r="DI193" s="25"/>
      <c r="DJ193" s="25"/>
      <c r="DK193" s="25"/>
      <c r="DL193" s="25"/>
      <c r="DM193" s="25">
        <v>37</v>
      </c>
      <c r="DN193" s="25"/>
      <c r="DO193" s="25"/>
      <c r="DP193" s="25"/>
      <c r="DQ193" s="25"/>
      <c r="DR193" s="25"/>
      <c r="DS193" s="25"/>
      <c r="DT193" s="25"/>
      <c r="DU193" s="25"/>
      <c r="DV193" s="25"/>
      <c r="DW193" s="25"/>
      <c r="DX193" s="25"/>
      <c r="DY193" s="25"/>
      <c r="DZ193" s="25"/>
      <c r="EA193" s="25"/>
      <c r="EB193" s="25"/>
      <c r="EC193" s="25"/>
      <c r="ED193" s="25"/>
      <c r="EE193" s="25"/>
      <c r="EF193" s="25"/>
      <c r="EG193" s="25"/>
      <c r="EH193" s="25"/>
      <c r="EI193" s="25"/>
      <c r="EJ193" s="25">
        <v>7</v>
      </c>
      <c r="EK193" s="25">
        <v>1</v>
      </c>
      <c r="EL193" s="25"/>
      <c r="EM193" s="25"/>
      <c r="EN193" s="25"/>
      <c r="EO193" s="25"/>
      <c r="EP193" s="25"/>
      <c r="EQ193" s="25">
        <v>22</v>
      </c>
      <c r="ER193" s="25"/>
      <c r="ES193" s="25"/>
      <c r="ET193" s="25"/>
      <c r="EU193" s="25"/>
      <c r="EV193" s="25"/>
      <c r="EW193" s="25"/>
      <c r="EX193" s="25"/>
      <c r="EY193" s="25"/>
      <c r="EZ193" s="25"/>
      <c r="FA193" s="25"/>
      <c r="FB193" s="25"/>
      <c r="FC193" s="25"/>
      <c r="FD193" s="25"/>
      <c r="FE193" s="25"/>
      <c r="FF193" s="25"/>
      <c r="FG193" s="25"/>
      <c r="FH193" s="25"/>
      <c r="FI193" s="25"/>
      <c r="FJ193" s="25"/>
      <c r="FK193" s="25"/>
      <c r="FL193" s="25"/>
      <c r="FM193" s="25"/>
      <c r="FN193" s="25"/>
      <c r="FO193" s="25"/>
      <c r="FP193" s="25"/>
      <c r="FQ193" s="25"/>
      <c r="FR193" s="25">
        <v>16</v>
      </c>
      <c r="FS193" s="25">
        <v>14</v>
      </c>
      <c r="FT193" s="25"/>
      <c r="FU193" s="25"/>
      <c r="FV193" s="25"/>
      <c r="FW193" s="25"/>
      <c r="FX193" s="25"/>
      <c r="FY193" s="25"/>
      <c r="FZ193" s="25"/>
      <c r="GA193" s="25"/>
      <c r="GB193" s="25"/>
      <c r="GC193" s="25"/>
      <c r="GD193" s="25"/>
      <c r="GE193" s="25"/>
      <c r="GF193" s="25"/>
      <c r="GG193" s="25"/>
      <c r="GH193" s="25">
        <f t="shared" si="104"/>
        <v>11</v>
      </c>
      <c r="GI193" s="25">
        <f t="shared" si="105"/>
        <v>10</v>
      </c>
      <c r="GJ193" s="25">
        <f t="shared" si="106"/>
        <v>10</v>
      </c>
      <c r="GK193" s="25">
        <f t="shared" si="107"/>
        <v>375</v>
      </c>
      <c r="GL193" s="25">
        <f t="shared" si="108"/>
        <v>0</v>
      </c>
      <c r="GM193" s="25">
        <f t="shared" si="109"/>
        <v>-375</v>
      </c>
      <c r="GN193" s="25"/>
      <c r="GO193" s="25"/>
      <c r="GP193" s="25"/>
      <c r="GQ193" s="25"/>
      <c r="GR193" s="25"/>
      <c r="GS193" s="25"/>
      <c r="GT193" s="25"/>
      <c r="GU193" s="25"/>
      <c r="GV193" s="25"/>
      <c r="GW193" s="25"/>
      <c r="GX193" s="25"/>
      <c r="GY193" s="25"/>
      <c r="GZ193" s="25"/>
      <c r="HA193" s="25"/>
      <c r="HB193" s="25"/>
      <c r="HC193" s="25"/>
      <c r="HD193" s="25"/>
      <c r="HE193" s="25"/>
      <c r="HF193" s="25"/>
      <c r="HG193" s="25"/>
      <c r="HH193" s="25"/>
      <c r="HI193" s="25"/>
    </row>
    <row r="194" spans="1:217" ht="16" x14ac:dyDescent="0.2">
      <c r="A194" s="33">
        <v>43533</v>
      </c>
      <c r="B194" s="22" t="s">
        <v>244</v>
      </c>
      <c r="C194" s="16">
        <f t="shared" si="103"/>
        <v>183</v>
      </c>
      <c r="D194" s="3">
        <v>21.310611999999999</v>
      </c>
      <c r="E194" s="3">
        <v>-158.00441000000001</v>
      </c>
      <c r="F194" s="22" t="s">
        <v>418</v>
      </c>
      <c r="G194" s="34">
        <v>0.45277777777777778</v>
      </c>
      <c r="H194" s="34">
        <v>0.48194444444444445</v>
      </c>
      <c r="I194" s="22">
        <v>5</v>
      </c>
      <c r="J194" s="22">
        <v>20</v>
      </c>
      <c r="K194" s="22" t="s">
        <v>217</v>
      </c>
      <c r="L194" s="22">
        <v>5</v>
      </c>
      <c r="M194" s="22">
        <v>24</v>
      </c>
      <c r="N194" s="22" t="s">
        <v>403</v>
      </c>
      <c r="O194" s="22"/>
      <c r="P194" s="22">
        <v>24</v>
      </c>
      <c r="Q194" s="22"/>
      <c r="R194" s="22">
        <v>3</v>
      </c>
      <c r="S194" s="22"/>
      <c r="T194" s="22"/>
      <c r="U194" s="22"/>
      <c r="V194" s="22"/>
      <c r="W194" s="22"/>
      <c r="X194" s="22"/>
      <c r="Y194" s="22"/>
      <c r="Z194" s="22"/>
      <c r="AA194" s="22"/>
      <c r="AB194" s="22">
        <v>5</v>
      </c>
      <c r="AC194" s="22"/>
      <c r="AD194" s="22"/>
      <c r="AE194" s="22">
        <v>7</v>
      </c>
      <c r="AF194" s="22"/>
      <c r="AG194" s="22"/>
      <c r="AH194" s="22"/>
      <c r="AI194" s="22">
        <v>1</v>
      </c>
      <c r="AJ194" s="22"/>
      <c r="AK194" s="22"/>
      <c r="AL194" s="22"/>
      <c r="AM194" s="22">
        <v>6</v>
      </c>
      <c r="AN194" s="22"/>
      <c r="AO194" s="22"/>
      <c r="AP194" s="22"/>
      <c r="AQ194" s="22"/>
      <c r="AR194" s="22"/>
      <c r="AS194" s="22"/>
      <c r="AT194" s="22"/>
      <c r="AU194" s="22"/>
      <c r="AV194" s="22"/>
      <c r="AW194" s="22"/>
      <c r="AX194" s="22"/>
      <c r="AY194" s="22"/>
      <c r="AZ194" s="22"/>
      <c r="BA194" s="22"/>
      <c r="BB194" s="22">
        <v>1</v>
      </c>
      <c r="BC194" s="22"/>
      <c r="BD194" s="22"/>
      <c r="BE194" s="22">
        <v>53</v>
      </c>
      <c r="BF194" s="22"/>
      <c r="BG194" s="22"/>
      <c r="BH194" s="22"/>
      <c r="BI194" s="22"/>
      <c r="BJ194" s="22"/>
      <c r="BK194" s="22"/>
      <c r="BL194" s="22"/>
      <c r="BM194" s="22">
        <v>84</v>
      </c>
      <c r="BN194" s="22"/>
      <c r="BO194" s="22"/>
      <c r="BP194" s="22"/>
      <c r="BQ194" s="22">
        <v>2</v>
      </c>
      <c r="BR194" s="22"/>
      <c r="BS194" s="22"/>
      <c r="BT194" s="22"/>
      <c r="BU194" s="22"/>
      <c r="BV194" s="22">
        <v>17</v>
      </c>
      <c r="BW194" s="22"/>
      <c r="BX194" s="22"/>
      <c r="BY194" s="22"/>
      <c r="BZ194" s="22">
        <v>2</v>
      </c>
      <c r="CA194" s="22"/>
      <c r="CB194" s="22"/>
      <c r="CC194" s="22"/>
      <c r="CD194" s="22"/>
      <c r="CE194" s="22"/>
      <c r="CF194" s="22"/>
      <c r="CG194" s="22"/>
      <c r="CH194" s="22"/>
      <c r="CI194" s="22"/>
      <c r="CJ194" s="22"/>
      <c r="CK194" s="22"/>
      <c r="CL194" s="22"/>
      <c r="CM194" s="22"/>
      <c r="CN194" s="22"/>
      <c r="CO194" s="22">
        <v>18</v>
      </c>
      <c r="CP194" s="22"/>
      <c r="CQ194" s="22"/>
      <c r="CR194" s="22"/>
      <c r="CS194" s="22"/>
      <c r="CT194" s="22"/>
      <c r="CU194" s="22"/>
      <c r="CV194" s="22"/>
      <c r="CW194" s="22"/>
      <c r="CX194" s="22"/>
      <c r="CY194" s="22"/>
      <c r="CZ194" s="22"/>
      <c r="DA194" s="22"/>
      <c r="DB194" s="22"/>
      <c r="DC194" s="22"/>
      <c r="DD194" s="22"/>
      <c r="DE194" s="22"/>
      <c r="DF194" s="22"/>
      <c r="DG194" s="22">
        <v>5</v>
      </c>
      <c r="DH194" s="22"/>
      <c r="DI194" s="22"/>
      <c r="DJ194" s="22"/>
      <c r="DK194" s="22"/>
      <c r="DL194" s="22"/>
      <c r="DM194" s="22"/>
      <c r="DN194" s="22"/>
      <c r="DO194" s="22">
        <v>12</v>
      </c>
      <c r="DP194" s="22"/>
      <c r="DQ194" s="22"/>
      <c r="DR194" s="22"/>
      <c r="DS194" s="22"/>
      <c r="DT194" s="22"/>
      <c r="DU194" s="22"/>
      <c r="DV194" s="22">
        <v>37</v>
      </c>
      <c r="DW194" s="22"/>
      <c r="DX194" s="22"/>
      <c r="DY194" s="22"/>
      <c r="DZ194" s="22"/>
      <c r="EA194" s="22"/>
      <c r="EB194" s="22"/>
      <c r="EC194" s="22">
        <v>7</v>
      </c>
      <c r="ED194" s="22"/>
      <c r="EE194" s="22"/>
      <c r="EF194" s="22"/>
      <c r="EG194" s="22"/>
      <c r="EH194" s="22"/>
      <c r="EI194" s="22"/>
      <c r="EJ194" s="22">
        <v>64</v>
      </c>
      <c r="EK194" s="22"/>
      <c r="EL194" s="22"/>
      <c r="EM194" s="22"/>
      <c r="EN194" s="22"/>
      <c r="EO194" s="22">
        <v>1</v>
      </c>
      <c r="EP194" s="22"/>
      <c r="EQ194" s="22"/>
      <c r="ER194" s="22"/>
      <c r="ES194" s="22"/>
      <c r="ET194" s="22"/>
      <c r="EU194" s="22"/>
      <c r="EV194" s="22"/>
      <c r="EW194" s="22"/>
      <c r="EX194" s="22"/>
      <c r="FG194" s="22"/>
      <c r="FH194" s="22"/>
      <c r="FI194" s="22"/>
      <c r="FJ194" s="22"/>
      <c r="FK194" s="22"/>
      <c r="FL194" s="22"/>
      <c r="FM194" s="22">
        <v>5</v>
      </c>
      <c r="FN194" s="22"/>
      <c r="FO194" s="22"/>
      <c r="FP194" s="22"/>
      <c r="FQ194" s="22">
        <v>4</v>
      </c>
      <c r="FR194" s="22"/>
      <c r="FS194" s="22">
        <v>169</v>
      </c>
      <c r="FT194" s="22"/>
      <c r="FU194" s="22"/>
      <c r="FV194" s="22"/>
      <c r="FW194" s="22"/>
      <c r="FZ194" s="22"/>
      <c r="GA194" s="22"/>
      <c r="GB194" s="22"/>
      <c r="GC194" s="22"/>
      <c r="GD194" s="22"/>
      <c r="GE194" s="22"/>
      <c r="GF194" s="22"/>
      <c r="GG194" s="22"/>
      <c r="GH194" s="3">
        <f t="shared" si="104"/>
        <v>21</v>
      </c>
      <c r="GI194" s="3">
        <f t="shared" si="105"/>
        <v>18</v>
      </c>
      <c r="GJ194" s="3">
        <f t="shared" si="106"/>
        <v>14</v>
      </c>
      <c r="GK194" s="3">
        <f t="shared" si="107"/>
        <v>503</v>
      </c>
      <c r="GL194" s="3">
        <f t="shared" si="108"/>
        <v>600</v>
      </c>
      <c r="GM194" s="3">
        <f t="shared" si="109"/>
        <v>97</v>
      </c>
    </row>
    <row r="195" spans="1:217" ht="16" x14ac:dyDescent="0.2">
      <c r="A195" s="13">
        <v>43536</v>
      </c>
      <c r="B195" s="22" t="s">
        <v>201</v>
      </c>
      <c r="C195" s="16">
        <f t="shared" si="103"/>
        <v>184</v>
      </c>
      <c r="D195" s="3">
        <v>21.25544</v>
      </c>
      <c r="E195" s="22">
        <v>-157.810303</v>
      </c>
      <c r="F195" s="22" t="s">
        <v>418</v>
      </c>
      <c r="G195" s="34">
        <v>0.5625</v>
      </c>
      <c r="H195" s="36">
        <v>0.66666666666666663</v>
      </c>
      <c r="I195" s="22">
        <v>7</v>
      </c>
      <c r="J195" s="22">
        <v>8</v>
      </c>
      <c r="K195" s="22" t="s">
        <v>198</v>
      </c>
      <c r="L195" s="22">
        <v>25</v>
      </c>
      <c r="M195" s="22">
        <v>35</v>
      </c>
      <c r="N195" s="22"/>
      <c r="O195" s="22"/>
      <c r="P195" s="22">
        <v>35</v>
      </c>
      <c r="Q195" s="22"/>
      <c r="R195" s="22">
        <v>1</v>
      </c>
      <c r="S195" s="22"/>
      <c r="T195" s="22"/>
      <c r="U195" s="22"/>
      <c r="V195" s="22"/>
      <c r="W195" s="22"/>
      <c r="X195" s="22">
        <v>1</v>
      </c>
      <c r="Y195" s="22"/>
      <c r="Z195" s="22"/>
      <c r="AA195" s="22"/>
      <c r="AB195" s="22">
        <v>5</v>
      </c>
      <c r="AC195" s="22"/>
      <c r="AD195" s="22">
        <v>1</v>
      </c>
      <c r="AE195" s="22">
        <v>5</v>
      </c>
      <c r="AF195" s="22"/>
      <c r="AG195" s="22"/>
      <c r="AH195" s="22"/>
      <c r="AI195" s="22">
        <v>6</v>
      </c>
      <c r="AJ195" s="22"/>
      <c r="AK195" s="22"/>
      <c r="AL195" s="22"/>
      <c r="AM195" s="22">
        <v>2</v>
      </c>
      <c r="AN195" s="22">
        <v>1</v>
      </c>
      <c r="AO195" s="22"/>
      <c r="AP195" s="22"/>
      <c r="AQ195" s="22"/>
      <c r="AR195" s="22"/>
      <c r="AS195" s="22"/>
      <c r="AT195" s="22"/>
      <c r="AU195" s="22"/>
      <c r="AV195" s="22"/>
      <c r="AW195" s="22"/>
      <c r="AX195" s="22"/>
      <c r="AY195" s="22"/>
      <c r="AZ195" s="22"/>
      <c r="BA195" s="22"/>
      <c r="BB195" s="22">
        <v>4</v>
      </c>
      <c r="BC195" s="22">
        <v>1</v>
      </c>
      <c r="BD195" s="22"/>
      <c r="BE195" s="22"/>
      <c r="BF195" s="22"/>
      <c r="BG195" s="22"/>
      <c r="BH195" s="22"/>
      <c r="BI195" s="22"/>
      <c r="BJ195" s="22"/>
      <c r="BK195" s="22">
        <v>32</v>
      </c>
      <c r="BL195" s="22"/>
      <c r="BM195" s="22">
        <v>5</v>
      </c>
      <c r="BN195" s="22"/>
      <c r="BO195" s="22"/>
      <c r="BP195" s="22"/>
      <c r="BQ195" s="22">
        <v>24</v>
      </c>
      <c r="BR195" s="22"/>
      <c r="BS195" s="22"/>
      <c r="BT195" s="22"/>
      <c r="BU195" s="22"/>
      <c r="BV195" s="22">
        <v>10</v>
      </c>
      <c r="BW195" s="22">
        <v>1</v>
      </c>
      <c r="BX195" s="22"/>
      <c r="BY195" s="22">
        <v>2</v>
      </c>
      <c r="BZ195" s="22">
        <v>9</v>
      </c>
      <c r="CA195" s="22"/>
      <c r="CB195" s="22"/>
      <c r="CC195" s="22"/>
      <c r="CD195" s="22"/>
      <c r="CE195" s="22"/>
      <c r="CF195" s="22"/>
      <c r="CG195" s="22"/>
      <c r="CH195" s="22">
        <v>6</v>
      </c>
      <c r="CI195" s="22"/>
      <c r="CJ195" s="22"/>
      <c r="CK195" s="22">
        <v>2</v>
      </c>
      <c r="CL195" s="22"/>
      <c r="CM195" s="22"/>
      <c r="CN195" s="22"/>
      <c r="CO195" s="22">
        <v>3</v>
      </c>
      <c r="CP195" s="22"/>
      <c r="CQ195" s="22"/>
      <c r="CR195" s="22"/>
      <c r="CS195" s="22"/>
      <c r="CT195" s="22"/>
      <c r="CU195" s="22"/>
      <c r="CV195" s="22"/>
      <c r="CW195" s="22"/>
      <c r="CX195" s="22"/>
      <c r="CY195" s="22"/>
      <c r="CZ195" s="22"/>
      <c r="DA195" s="22">
        <v>1</v>
      </c>
      <c r="DB195" s="22"/>
      <c r="DC195" s="22"/>
      <c r="DD195" s="22"/>
      <c r="DE195" s="22"/>
      <c r="DF195" s="22"/>
      <c r="DG195" s="22">
        <v>27</v>
      </c>
      <c r="DH195" s="22"/>
      <c r="DI195" s="22"/>
      <c r="DJ195" s="22"/>
      <c r="DK195" s="22"/>
      <c r="DL195" s="22">
        <v>1</v>
      </c>
      <c r="DM195" s="22">
        <v>46</v>
      </c>
      <c r="DN195" s="22">
        <v>2</v>
      </c>
      <c r="DO195" s="22"/>
      <c r="DP195" s="22">
        <v>2</v>
      </c>
      <c r="DQ195" s="22">
        <v>2</v>
      </c>
      <c r="DR195" s="22"/>
      <c r="DS195" s="22">
        <v>2</v>
      </c>
      <c r="DT195" s="22"/>
      <c r="DU195" s="22"/>
      <c r="DV195" s="22">
        <v>1</v>
      </c>
      <c r="DW195" s="22"/>
      <c r="DX195" s="22"/>
      <c r="DY195" s="22"/>
      <c r="DZ195" s="22"/>
      <c r="EA195" s="22"/>
      <c r="EB195" s="22"/>
      <c r="EC195" s="22"/>
      <c r="ED195" s="22"/>
      <c r="EE195" s="22"/>
      <c r="EF195" s="22"/>
      <c r="EG195" s="22"/>
      <c r="EH195" s="22"/>
      <c r="EI195" s="22"/>
      <c r="EJ195" s="22">
        <v>33</v>
      </c>
      <c r="EK195" s="22"/>
      <c r="EL195" s="22"/>
      <c r="EM195" s="22"/>
      <c r="EN195" s="22"/>
      <c r="EO195" s="22"/>
      <c r="EP195" s="22"/>
      <c r="EQ195" s="22"/>
      <c r="ER195" s="22"/>
      <c r="ES195" s="22"/>
      <c r="ET195" s="22"/>
      <c r="EU195" s="22"/>
      <c r="EV195" s="22"/>
      <c r="EW195" s="22"/>
      <c r="EX195" s="22"/>
      <c r="EY195" s="22"/>
      <c r="EZ195" s="22">
        <v>2</v>
      </c>
      <c r="FA195" s="22">
        <v>26</v>
      </c>
      <c r="FB195" s="22">
        <v>31</v>
      </c>
      <c r="FC195" s="22">
        <v>1</v>
      </c>
      <c r="FD195" s="22"/>
      <c r="FE195" s="22">
        <v>2</v>
      </c>
      <c r="FF195" s="22">
        <v>6</v>
      </c>
      <c r="FG195" s="22"/>
      <c r="FH195" s="22"/>
      <c r="FI195" s="22"/>
      <c r="FJ195" s="22"/>
      <c r="FK195" s="22"/>
      <c r="FL195" s="22"/>
      <c r="FM195" s="22"/>
      <c r="FN195" s="22"/>
      <c r="FO195" s="22"/>
      <c r="FP195" s="22"/>
      <c r="FQ195" s="22"/>
      <c r="FR195" s="22">
        <v>55</v>
      </c>
      <c r="FS195" s="22">
        <v>266</v>
      </c>
      <c r="FT195" s="22"/>
      <c r="FU195" s="22">
        <v>23</v>
      </c>
      <c r="FV195" s="22"/>
      <c r="FW195" s="22">
        <v>2</v>
      </c>
      <c r="FZ195" s="22"/>
      <c r="GA195" s="22"/>
      <c r="GB195" s="22"/>
      <c r="GC195" s="22"/>
      <c r="GD195" s="22"/>
      <c r="GE195" s="22"/>
      <c r="GF195" s="22"/>
      <c r="GG195" s="22"/>
      <c r="GH195" s="3">
        <f t="shared" si="104"/>
        <v>40</v>
      </c>
      <c r="GI195" s="3">
        <f t="shared" si="105"/>
        <v>30</v>
      </c>
      <c r="GJ195" s="3">
        <f t="shared" si="106"/>
        <v>18</v>
      </c>
      <c r="GK195" s="3">
        <f t="shared" si="107"/>
        <v>652</v>
      </c>
      <c r="GL195" s="3">
        <f t="shared" si="108"/>
        <v>875</v>
      </c>
      <c r="GM195" s="3">
        <f t="shared" si="109"/>
        <v>223</v>
      </c>
    </row>
    <row r="196" spans="1:217" ht="16" x14ac:dyDescent="0.2">
      <c r="A196" s="27">
        <v>43536</v>
      </c>
      <c r="B196" s="39" t="s">
        <v>473</v>
      </c>
      <c r="C196" s="16">
        <f t="shared" si="103"/>
        <v>185</v>
      </c>
      <c r="D196" s="28">
        <v>21.3962</v>
      </c>
      <c r="E196" s="28">
        <v>-157.72030599999999</v>
      </c>
      <c r="F196" s="39" t="s">
        <v>418</v>
      </c>
      <c r="G196" s="40">
        <v>0.39305555555555555</v>
      </c>
      <c r="H196" s="40">
        <v>0.4375</v>
      </c>
      <c r="I196" s="39">
        <v>5</v>
      </c>
      <c r="J196" s="39">
        <v>10</v>
      </c>
      <c r="K196" s="39" t="s">
        <v>217</v>
      </c>
      <c r="L196" s="39">
        <v>6</v>
      </c>
      <c r="M196" s="39">
        <v>20</v>
      </c>
      <c r="N196" s="39" t="s">
        <v>541</v>
      </c>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c r="BC196" s="39">
        <v>8</v>
      </c>
      <c r="BD196" s="39"/>
      <c r="BE196" s="39">
        <v>6</v>
      </c>
      <c r="BF196" s="39"/>
      <c r="BG196" s="39"/>
      <c r="BH196" s="39"/>
      <c r="BI196" s="39"/>
      <c r="BJ196" s="39"/>
      <c r="BK196" s="39"/>
      <c r="BL196" s="39"/>
      <c r="BM196" s="39"/>
      <c r="BN196" s="39"/>
      <c r="BO196" s="39"/>
      <c r="BP196" s="39"/>
      <c r="BQ196" s="39"/>
      <c r="BR196" s="39"/>
      <c r="BS196" s="39"/>
      <c r="BT196" s="39"/>
      <c r="BU196" s="39"/>
      <c r="BV196" s="39">
        <v>4</v>
      </c>
      <c r="BW196" s="39"/>
      <c r="BX196" s="39"/>
      <c r="BY196" s="39"/>
      <c r="BZ196" s="39"/>
      <c r="CA196" s="39"/>
      <c r="CB196" s="39"/>
      <c r="CC196" s="39"/>
      <c r="CD196" s="39"/>
      <c r="CE196" s="39"/>
      <c r="CF196" s="39"/>
      <c r="CG196" s="39"/>
      <c r="CH196" s="39"/>
      <c r="CI196" s="39"/>
      <c r="CJ196" s="39"/>
      <c r="CK196" s="39"/>
      <c r="CL196" s="39"/>
      <c r="CM196" s="39"/>
      <c r="CN196" s="39"/>
      <c r="CO196" s="39"/>
      <c r="CP196" s="39"/>
      <c r="CQ196" s="39"/>
      <c r="CR196" s="39"/>
      <c r="CS196" s="39">
        <v>1</v>
      </c>
      <c r="CT196" s="39"/>
      <c r="CU196" s="39"/>
      <c r="CV196" s="39">
        <v>1</v>
      </c>
      <c r="CW196" s="39"/>
      <c r="CX196" s="39"/>
      <c r="CY196" s="39"/>
      <c r="CZ196" s="39"/>
      <c r="DA196" s="39"/>
      <c r="DB196" s="39"/>
      <c r="DC196" s="39"/>
      <c r="DD196" s="39"/>
      <c r="DE196" s="39"/>
      <c r="DF196" s="39"/>
      <c r="DG196" s="39"/>
      <c r="DH196" s="39"/>
      <c r="DI196" s="39"/>
      <c r="DJ196" s="39"/>
      <c r="DK196" s="39"/>
      <c r="DL196" s="39"/>
      <c r="DM196" s="39"/>
      <c r="DN196" s="39"/>
      <c r="DO196" s="39"/>
      <c r="DP196" s="39"/>
      <c r="DQ196" s="39"/>
      <c r="DR196" s="39"/>
      <c r="DS196" s="39"/>
      <c r="DT196" s="39"/>
      <c r="DU196" s="39"/>
      <c r="DV196" s="39">
        <v>3</v>
      </c>
      <c r="DW196" s="39"/>
      <c r="DX196" s="39"/>
      <c r="DY196" s="39"/>
      <c r="DZ196" s="39"/>
      <c r="EA196" s="39"/>
      <c r="EB196" s="39"/>
      <c r="EC196" s="39"/>
      <c r="ED196" s="39"/>
      <c r="EE196" s="39"/>
      <c r="EF196" s="39"/>
      <c r="EG196" s="39"/>
      <c r="EH196" s="39"/>
      <c r="EI196" s="39"/>
      <c r="EJ196" s="39"/>
      <c r="EK196" s="39"/>
      <c r="EL196" s="39"/>
      <c r="EM196" s="39"/>
      <c r="EN196" s="39"/>
      <c r="EO196" s="39"/>
      <c r="EP196" s="39"/>
      <c r="EQ196" s="39"/>
      <c r="ER196" s="39"/>
      <c r="ES196" s="39"/>
      <c r="ET196" s="39"/>
      <c r="EU196" s="39"/>
      <c r="EV196" s="39"/>
      <c r="EW196" s="39"/>
      <c r="EX196" s="39"/>
      <c r="EY196" s="39"/>
      <c r="EZ196" s="39"/>
      <c r="FA196" s="39"/>
      <c r="FB196" s="39"/>
      <c r="FC196" s="39"/>
      <c r="FD196" s="39"/>
      <c r="FE196" s="39"/>
      <c r="FF196" s="39"/>
      <c r="FG196" s="39"/>
      <c r="FH196" s="39"/>
      <c r="FI196" s="39"/>
      <c r="FJ196" s="39"/>
      <c r="FK196" s="39"/>
      <c r="FL196" s="39"/>
      <c r="FM196" s="39"/>
      <c r="FN196" s="39"/>
      <c r="FO196" s="39"/>
      <c r="FP196" s="39"/>
      <c r="FQ196" s="39"/>
      <c r="FR196" s="39"/>
      <c r="FS196" s="39">
        <v>218</v>
      </c>
      <c r="FT196" s="39"/>
      <c r="FU196" s="39"/>
      <c r="FV196" s="39"/>
      <c r="FW196" s="39"/>
      <c r="FX196" s="28"/>
      <c r="FY196" s="28"/>
      <c r="FZ196" s="39"/>
      <c r="GA196" s="39"/>
      <c r="GB196" s="39"/>
      <c r="GC196" s="39"/>
      <c r="GD196" s="39"/>
      <c r="GE196" s="39"/>
      <c r="GF196" s="39"/>
      <c r="GG196" s="39"/>
      <c r="GH196" s="28"/>
      <c r="GI196" s="28"/>
      <c r="GJ196" s="28"/>
      <c r="GK196" s="28"/>
      <c r="GL196" s="28"/>
      <c r="GM196" s="28"/>
      <c r="GN196" s="28"/>
      <c r="GO196" s="28"/>
      <c r="GP196" s="28"/>
      <c r="GQ196" s="28"/>
      <c r="GR196" s="28"/>
      <c r="GS196" s="28"/>
      <c r="GT196" s="28"/>
      <c r="GU196" s="28"/>
      <c r="GV196" s="28"/>
      <c r="GW196" s="28"/>
      <c r="GX196" s="28"/>
      <c r="GY196" s="28"/>
      <c r="GZ196" s="28"/>
      <c r="HA196" s="28"/>
      <c r="HB196" s="28"/>
      <c r="HC196" s="28"/>
      <c r="HD196" s="28"/>
      <c r="HE196" s="28"/>
      <c r="HF196" s="28"/>
      <c r="HG196" s="28"/>
      <c r="HH196" s="28"/>
      <c r="HI196" s="28"/>
    </row>
    <row r="197" spans="1:217" ht="16" x14ac:dyDescent="0.2">
      <c r="A197" s="24">
        <v>43556</v>
      </c>
      <c r="B197" s="41" t="s">
        <v>456</v>
      </c>
      <c r="C197" s="16">
        <f t="shared" si="103"/>
        <v>186</v>
      </c>
      <c r="D197" s="25">
        <v>21.316488</v>
      </c>
      <c r="E197" s="25">
        <v>-157.66426100000001</v>
      </c>
      <c r="F197" s="41" t="s">
        <v>418</v>
      </c>
      <c r="G197" s="42">
        <v>0.36458333333333331</v>
      </c>
      <c r="H197" s="42">
        <v>0.45833333333333331</v>
      </c>
      <c r="I197" s="41">
        <v>7</v>
      </c>
      <c r="J197" s="41">
        <v>15</v>
      </c>
      <c r="K197" s="41" t="s">
        <v>318</v>
      </c>
      <c r="L197" s="41">
        <v>5</v>
      </c>
      <c r="M197" s="41">
        <v>28</v>
      </c>
      <c r="N197" s="41" t="s">
        <v>457</v>
      </c>
      <c r="O197" s="41"/>
      <c r="P197" s="41"/>
      <c r="Q197" s="41"/>
      <c r="R197" s="41"/>
      <c r="S197" s="41"/>
      <c r="T197" s="41"/>
      <c r="U197" s="41"/>
      <c r="V197" s="41"/>
      <c r="W197" s="41"/>
      <c r="X197" s="41"/>
      <c r="Y197" s="41"/>
      <c r="Z197" s="41"/>
      <c r="AA197" s="41"/>
      <c r="AB197" s="41">
        <v>2</v>
      </c>
      <c r="AC197" s="41"/>
      <c r="AD197" s="41"/>
      <c r="AE197" s="41"/>
      <c r="AF197" s="41"/>
      <c r="AG197" s="41"/>
      <c r="AH197" s="41"/>
      <c r="AI197" s="41"/>
      <c r="AJ197" s="41"/>
      <c r="AK197" s="41"/>
      <c r="AL197" s="41"/>
      <c r="AM197" s="41">
        <v>4</v>
      </c>
      <c r="AN197" s="41">
        <v>1</v>
      </c>
      <c r="AO197" s="41"/>
      <c r="AP197" s="41"/>
      <c r="AQ197" s="41"/>
      <c r="AR197" s="41"/>
      <c r="AS197" s="41"/>
      <c r="AT197" s="41"/>
      <c r="AU197" s="41"/>
      <c r="AV197" s="41"/>
      <c r="AW197" s="41"/>
      <c r="AX197" s="41"/>
      <c r="AY197" s="41">
        <v>1</v>
      </c>
      <c r="AZ197" s="41"/>
      <c r="BA197" s="41"/>
      <c r="BB197" s="41"/>
      <c r="BC197" s="41"/>
      <c r="BD197" s="41"/>
      <c r="BE197" s="41"/>
      <c r="BF197" s="41">
        <v>2</v>
      </c>
      <c r="BG197" s="41"/>
      <c r="BH197" s="41"/>
      <c r="BI197" s="41"/>
      <c r="BJ197" s="41"/>
      <c r="BK197" s="41"/>
      <c r="BL197" s="41"/>
      <c r="BM197" s="41">
        <v>44</v>
      </c>
      <c r="BN197" s="41"/>
      <c r="BO197" s="41"/>
      <c r="BP197" s="41"/>
      <c r="BQ197" s="41"/>
      <c r="BR197" s="41"/>
      <c r="BS197" s="41"/>
      <c r="BT197" s="41"/>
      <c r="BU197" s="41"/>
      <c r="BV197" s="41"/>
      <c r="BW197" s="41"/>
      <c r="BX197" s="41"/>
      <c r="BY197" s="41">
        <v>1</v>
      </c>
      <c r="BZ197" s="41"/>
      <c r="CA197" s="41"/>
      <c r="CB197" s="41"/>
      <c r="CC197" s="41">
        <v>1</v>
      </c>
      <c r="CD197" s="41">
        <v>2</v>
      </c>
      <c r="CE197" s="41">
        <v>1</v>
      </c>
      <c r="CF197" s="41">
        <v>1</v>
      </c>
      <c r="CG197" s="41"/>
      <c r="CH197" s="41"/>
      <c r="CI197" s="41"/>
      <c r="CJ197" s="41"/>
      <c r="CK197" s="41"/>
      <c r="CL197" s="41"/>
      <c r="CM197" s="41"/>
      <c r="CN197" s="41"/>
      <c r="CO197" s="41"/>
      <c r="CP197" s="41"/>
      <c r="CQ197" s="41"/>
      <c r="CR197" s="41"/>
      <c r="CS197" s="41"/>
      <c r="CT197" s="41"/>
      <c r="CU197" s="41"/>
      <c r="CV197" s="41">
        <v>1</v>
      </c>
      <c r="CW197" s="41"/>
      <c r="CX197" s="41"/>
      <c r="CY197" s="41"/>
      <c r="CZ197" s="41"/>
      <c r="DA197" s="41"/>
      <c r="DB197" s="41"/>
      <c r="DC197" s="41"/>
      <c r="DD197" s="41"/>
      <c r="DE197" s="41"/>
      <c r="DF197" s="41"/>
      <c r="DG197" s="41">
        <v>1</v>
      </c>
      <c r="DH197" s="41">
        <v>1</v>
      </c>
      <c r="DI197" s="41"/>
      <c r="DJ197" s="41"/>
      <c r="DK197" s="41"/>
      <c r="DL197" s="41"/>
      <c r="DM197" s="41"/>
      <c r="DN197" s="41"/>
      <c r="DO197" s="41"/>
      <c r="DP197" s="41"/>
      <c r="DQ197" s="41"/>
      <c r="DR197" s="41"/>
      <c r="DS197" s="41">
        <v>2</v>
      </c>
      <c r="DT197" s="41"/>
      <c r="DU197" s="41"/>
      <c r="DV197" s="41"/>
      <c r="DW197" s="41"/>
      <c r="DX197" s="41"/>
      <c r="DY197" s="41"/>
      <c r="DZ197" s="41"/>
      <c r="EA197" s="41"/>
      <c r="EB197" s="41">
        <v>1</v>
      </c>
      <c r="EC197" s="41"/>
      <c r="ED197" s="41"/>
      <c r="EE197" s="41"/>
      <c r="EF197" s="41"/>
      <c r="EG197" s="41"/>
      <c r="EH197" s="41"/>
      <c r="EI197" s="41"/>
      <c r="EJ197" s="41">
        <v>37</v>
      </c>
      <c r="EK197" s="41"/>
      <c r="EL197" s="41"/>
      <c r="EM197" s="41"/>
      <c r="EN197" s="41"/>
      <c r="EO197" s="41"/>
      <c r="EP197" s="41"/>
      <c r="EQ197" s="41"/>
      <c r="ER197" s="41"/>
      <c r="ES197" s="41"/>
      <c r="ET197" s="41"/>
      <c r="EU197" s="41"/>
      <c r="EV197" s="41">
        <v>1</v>
      </c>
      <c r="EW197" s="41"/>
      <c r="EX197" s="41"/>
      <c r="EY197" s="41"/>
      <c r="EZ197" s="41"/>
      <c r="FA197" s="41"/>
      <c r="FB197" s="41"/>
      <c r="FC197" s="41"/>
      <c r="FD197" s="41"/>
      <c r="FE197" s="41"/>
      <c r="FF197" s="41"/>
      <c r="FG197" s="41"/>
      <c r="FH197" s="41"/>
      <c r="FI197" s="41"/>
      <c r="FJ197" s="41"/>
      <c r="FK197" s="41"/>
      <c r="FL197" s="41"/>
      <c r="FM197" s="41"/>
      <c r="FN197" s="41"/>
      <c r="FO197" s="41"/>
      <c r="FP197" s="41"/>
      <c r="FQ197" s="41"/>
      <c r="FR197" s="41"/>
      <c r="FS197" s="41">
        <v>106</v>
      </c>
      <c r="FT197" s="41"/>
      <c r="FU197" s="41"/>
      <c r="FV197" s="41"/>
      <c r="FW197" s="41"/>
      <c r="FX197" s="25"/>
      <c r="FY197" s="25"/>
      <c r="FZ197" s="41"/>
      <c r="GA197" s="41"/>
      <c r="GB197" s="41"/>
      <c r="GC197" s="41"/>
      <c r="GD197" s="41"/>
      <c r="GE197" s="41"/>
      <c r="GF197" s="41"/>
      <c r="GG197" s="41"/>
      <c r="GH197" s="25">
        <f t="shared" ref="GH197:GH198" si="110">COUNT(R197:GG197)</f>
        <v>19</v>
      </c>
      <c r="GI197" s="25">
        <f t="shared" ref="GI197:GI198" si="111">COUNTIF(R197:GG197,"&gt;=2")</f>
        <v>8</v>
      </c>
      <c r="GJ197" s="25">
        <f t="shared" ref="GJ197:GJ198" si="112">COUNTIF(R197:GG197,"&gt;=5")</f>
        <v>3</v>
      </c>
      <c r="GK197" s="25">
        <f t="shared" ref="GK197:GK198" si="113">SUM(R197:GG197)</f>
        <v>210</v>
      </c>
      <c r="GL197" s="25">
        <f t="shared" ref="GL197:GL198" si="114">25*P197</f>
        <v>0</v>
      </c>
      <c r="GM197" s="25">
        <f t="shared" ref="GM197:GM198" si="115">GL197-GK197</f>
        <v>-210</v>
      </c>
      <c r="GN197" s="25"/>
      <c r="GO197" s="25"/>
      <c r="GP197" s="25"/>
      <c r="GQ197" s="25"/>
      <c r="GR197" s="25"/>
      <c r="GS197" s="25"/>
      <c r="GT197" s="25"/>
      <c r="GU197" s="25"/>
      <c r="GV197" s="25"/>
      <c r="GW197" s="25"/>
      <c r="GX197" s="25"/>
      <c r="GY197" s="25"/>
      <c r="GZ197" s="25"/>
      <c r="HA197" s="25"/>
      <c r="HB197" s="25"/>
      <c r="HC197" s="25"/>
      <c r="HD197" s="25"/>
      <c r="HE197" s="25"/>
      <c r="HF197" s="25"/>
      <c r="HG197" s="25"/>
      <c r="HH197" s="25"/>
      <c r="HI197" s="25"/>
    </row>
    <row r="198" spans="1:217" ht="13" x14ac:dyDescent="0.15">
      <c r="A198" s="24">
        <v>43557</v>
      </c>
      <c r="B198" s="25" t="s">
        <v>456</v>
      </c>
      <c r="C198" s="16">
        <f t="shared" si="103"/>
        <v>187</v>
      </c>
      <c r="D198" s="25">
        <v>21.316488</v>
      </c>
      <c r="E198" s="25">
        <v>-157.66426100000001</v>
      </c>
      <c r="F198" s="25" t="s">
        <v>418</v>
      </c>
      <c r="G198" s="26">
        <v>0.36458333333333331</v>
      </c>
      <c r="H198" s="26">
        <v>0.46875</v>
      </c>
      <c r="I198" s="25">
        <v>7</v>
      </c>
      <c r="J198" s="25">
        <v>10</v>
      </c>
      <c r="K198" s="25" t="s">
        <v>318</v>
      </c>
      <c r="L198" s="25">
        <v>5</v>
      </c>
      <c r="M198" s="25">
        <v>31</v>
      </c>
      <c r="N198" s="25" t="s">
        <v>462</v>
      </c>
      <c r="O198" s="25" t="s">
        <v>463</v>
      </c>
      <c r="P198" s="25">
        <v>27</v>
      </c>
      <c r="Q198" s="25"/>
      <c r="R198" s="25"/>
      <c r="S198" s="25"/>
      <c r="T198" s="25"/>
      <c r="U198" s="25"/>
      <c r="V198" s="25"/>
      <c r="W198" s="25"/>
      <c r="X198" s="25">
        <v>10</v>
      </c>
      <c r="Y198" s="25"/>
      <c r="Z198" s="25"/>
      <c r="AA198" s="25"/>
      <c r="AB198" s="25">
        <v>11</v>
      </c>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v>2</v>
      </c>
      <c r="BG198" s="25"/>
      <c r="BH198" s="25"/>
      <c r="BI198" s="25"/>
      <c r="BJ198" s="25"/>
      <c r="BK198" s="25"/>
      <c r="BL198" s="25">
        <v>1</v>
      </c>
      <c r="BM198" s="25">
        <v>20</v>
      </c>
      <c r="BN198" s="25"/>
      <c r="BO198" s="25"/>
      <c r="BP198" s="25"/>
      <c r="BQ198" s="25">
        <v>3</v>
      </c>
      <c r="BR198" s="25"/>
      <c r="BS198" s="25"/>
      <c r="BT198" s="25"/>
      <c r="BU198" s="25">
        <v>3</v>
      </c>
      <c r="BV198" s="25"/>
      <c r="BW198" s="25"/>
      <c r="BX198" s="25"/>
      <c r="BY198" s="25">
        <v>1</v>
      </c>
      <c r="BZ198" s="25"/>
      <c r="CA198" s="25"/>
      <c r="CB198" s="25"/>
      <c r="CC198" s="25"/>
      <c r="CD198" s="25"/>
      <c r="CE198" s="25"/>
      <c r="CF198" s="25"/>
      <c r="CG198" s="25"/>
      <c r="CH198" s="25"/>
      <c r="CI198" s="25"/>
      <c r="CJ198" s="25"/>
      <c r="CK198" s="25"/>
      <c r="CL198" s="25"/>
      <c r="CM198" s="25"/>
      <c r="CN198" s="25"/>
      <c r="CO198" s="25">
        <v>6</v>
      </c>
      <c r="CP198" s="25"/>
      <c r="CQ198" s="25"/>
      <c r="CR198" s="25"/>
      <c r="CS198" s="25"/>
      <c r="CT198" s="25"/>
      <c r="CU198" s="25"/>
      <c r="CV198" s="25"/>
      <c r="CW198" s="25"/>
      <c r="CX198" s="25"/>
      <c r="CY198" s="25"/>
      <c r="CZ198" s="25"/>
      <c r="DA198" s="25"/>
      <c r="DB198" s="25"/>
      <c r="DC198" s="25"/>
      <c r="DD198" s="25"/>
      <c r="DE198" s="25"/>
      <c r="DF198" s="25"/>
      <c r="DG198" s="25">
        <v>1</v>
      </c>
      <c r="DH198" s="25"/>
      <c r="DI198" s="25"/>
      <c r="DJ198" s="25">
        <v>1</v>
      </c>
      <c r="DK198" s="25"/>
      <c r="DL198" s="25"/>
      <c r="DM198" s="25"/>
      <c r="DN198" s="25"/>
      <c r="DO198" s="25">
        <v>3</v>
      </c>
      <c r="DP198" s="25"/>
      <c r="DQ198" s="25"/>
      <c r="DR198" s="25"/>
      <c r="DS198" s="25">
        <v>7</v>
      </c>
      <c r="DT198" s="25"/>
      <c r="DU198" s="25"/>
      <c r="DV198" s="25"/>
      <c r="DW198" s="25"/>
      <c r="DX198" s="25"/>
      <c r="DY198" s="25"/>
      <c r="DZ198" s="25"/>
      <c r="EA198" s="25"/>
      <c r="EB198" s="25">
        <v>2</v>
      </c>
      <c r="EC198" s="25"/>
      <c r="ED198" s="25"/>
      <c r="EE198" s="25"/>
      <c r="EF198" s="25"/>
      <c r="EG198" s="25"/>
      <c r="EH198" s="25"/>
      <c r="EI198" s="25"/>
      <c r="EJ198" s="25">
        <v>37</v>
      </c>
      <c r="EK198" s="25">
        <v>3</v>
      </c>
      <c r="EL198" s="25"/>
      <c r="EM198" s="25"/>
      <c r="EN198" s="25"/>
      <c r="EO198" s="25"/>
      <c r="EP198" s="25"/>
      <c r="EQ198" s="25"/>
      <c r="ER198" s="25"/>
      <c r="ES198" s="25"/>
      <c r="ET198" s="25"/>
      <c r="EU198" s="25"/>
      <c r="EV198" s="25"/>
      <c r="EW198" s="25"/>
      <c r="EX198" s="25"/>
      <c r="EY198" s="25"/>
      <c r="EZ198" s="25"/>
      <c r="FA198" s="25">
        <v>2</v>
      </c>
      <c r="FB198" s="25"/>
      <c r="FC198" s="25"/>
      <c r="FD198" s="25"/>
      <c r="FE198" s="25"/>
      <c r="FF198" s="25">
        <v>36</v>
      </c>
      <c r="FG198" s="25"/>
      <c r="FH198" s="25"/>
      <c r="FI198" s="25"/>
      <c r="FJ198" s="25"/>
      <c r="FK198" s="25"/>
      <c r="FL198" s="25"/>
      <c r="FM198" s="25"/>
      <c r="FN198" s="25"/>
      <c r="FO198" s="25"/>
      <c r="FP198" s="25"/>
      <c r="FQ198" s="25"/>
      <c r="FR198" s="25"/>
      <c r="FS198" s="25">
        <v>254</v>
      </c>
      <c r="FT198" s="25"/>
      <c r="FU198" s="25"/>
      <c r="FV198" s="25"/>
      <c r="FW198" s="25"/>
      <c r="FX198" s="25"/>
      <c r="FY198" s="25"/>
      <c r="FZ198" s="25"/>
      <c r="GA198" s="25"/>
      <c r="GB198" s="25"/>
      <c r="GC198" s="25"/>
      <c r="GD198" s="25"/>
      <c r="GE198" s="25"/>
      <c r="GF198" s="25">
        <v>3</v>
      </c>
      <c r="GG198" s="25"/>
      <c r="GH198" s="25">
        <f t="shared" si="110"/>
        <v>20</v>
      </c>
      <c r="GI198" s="25">
        <f t="shared" si="111"/>
        <v>16</v>
      </c>
      <c r="GJ198" s="25">
        <f t="shared" si="112"/>
        <v>8</v>
      </c>
      <c r="GK198" s="25">
        <f t="shared" si="113"/>
        <v>406</v>
      </c>
      <c r="GL198" s="25">
        <f t="shared" si="114"/>
        <v>675</v>
      </c>
      <c r="GM198" s="25">
        <f t="shared" si="115"/>
        <v>269</v>
      </c>
      <c r="GN198" s="25"/>
      <c r="GO198" s="25"/>
      <c r="GP198" s="25"/>
      <c r="GQ198" s="25"/>
      <c r="GR198" s="25"/>
      <c r="GS198" s="25"/>
      <c r="GT198" s="25"/>
      <c r="GU198" s="25"/>
      <c r="GV198" s="25"/>
      <c r="GW198" s="25"/>
      <c r="GX198" s="25"/>
      <c r="GY198" s="25"/>
      <c r="GZ198" s="25"/>
      <c r="HA198" s="25"/>
      <c r="HB198" s="25"/>
      <c r="HC198" s="25"/>
      <c r="HD198" s="25"/>
      <c r="HE198" s="25"/>
      <c r="HF198" s="25"/>
      <c r="HG198" s="25"/>
      <c r="HH198" s="25"/>
      <c r="HI198" s="25"/>
    </row>
    <row r="199" spans="1:217" ht="13" x14ac:dyDescent="0.15">
      <c r="A199" s="90">
        <v>43557</v>
      </c>
      <c r="B199" s="20" t="s">
        <v>499</v>
      </c>
      <c r="C199" s="16"/>
      <c r="D199" s="20"/>
      <c r="E199" s="20"/>
      <c r="F199" s="20"/>
      <c r="G199" s="21"/>
      <c r="H199" s="21"/>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0"/>
      <c r="DG199" s="20"/>
      <c r="DH199" s="20"/>
      <c r="DI199" s="20"/>
      <c r="DJ199" s="20"/>
      <c r="DK199" s="20"/>
      <c r="DL199" s="20"/>
      <c r="DM199" s="20"/>
      <c r="DN199" s="20"/>
      <c r="DO199" s="20"/>
      <c r="DP199" s="20"/>
      <c r="DQ199" s="20"/>
      <c r="DR199" s="20"/>
      <c r="DS199" s="20"/>
      <c r="DT199" s="20"/>
      <c r="DU199" s="20"/>
      <c r="DV199" s="20"/>
      <c r="DW199" s="20"/>
      <c r="DX199" s="20"/>
      <c r="DY199" s="20"/>
      <c r="DZ199" s="20"/>
      <c r="EA199" s="20"/>
      <c r="EB199" s="20"/>
      <c r="EC199" s="20"/>
      <c r="ED199" s="20"/>
      <c r="EE199" s="20"/>
      <c r="EF199" s="20"/>
      <c r="EG199" s="20"/>
      <c r="EH199" s="20"/>
      <c r="EI199" s="20"/>
      <c r="EJ199" s="20"/>
      <c r="EK199" s="20"/>
      <c r="EL199" s="20"/>
      <c r="EM199" s="20"/>
      <c r="EN199" s="20"/>
      <c r="EO199" s="20"/>
      <c r="EP199" s="20"/>
      <c r="EQ199" s="20"/>
      <c r="ER199" s="20"/>
      <c r="ES199" s="20"/>
      <c r="ET199" s="20"/>
      <c r="EU199" s="20"/>
      <c r="EV199" s="20"/>
      <c r="EW199" s="20"/>
      <c r="EX199" s="20"/>
      <c r="EY199" s="20"/>
      <c r="EZ199" s="20"/>
      <c r="FA199" s="20"/>
      <c r="FB199" s="20"/>
      <c r="FC199" s="20"/>
      <c r="FD199" s="20"/>
      <c r="FE199" s="20"/>
      <c r="FF199" s="20"/>
      <c r="FG199" s="20"/>
      <c r="FH199" s="20"/>
      <c r="FI199" s="20"/>
      <c r="FJ199" s="20"/>
      <c r="FK199" s="20"/>
      <c r="FL199" s="20"/>
      <c r="FM199" s="20"/>
      <c r="FN199" s="20"/>
      <c r="FO199" s="20"/>
      <c r="FP199" s="20"/>
      <c r="FQ199" s="20"/>
      <c r="FR199" s="20"/>
      <c r="FS199" s="20"/>
      <c r="FT199" s="20"/>
      <c r="FU199" s="20"/>
      <c r="FV199" s="20"/>
      <c r="FW199" s="20"/>
      <c r="FX199" s="20"/>
      <c r="FY199" s="20"/>
      <c r="FZ199" s="20"/>
      <c r="GA199" s="20"/>
      <c r="GB199" s="20"/>
      <c r="GC199" s="20"/>
      <c r="GD199" s="20"/>
      <c r="GE199" s="20"/>
      <c r="GF199" s="20"/>
      <c r="GG199" s="20"/>
      <c r="GH199" s="20"/>
      <c r="GI199" s="20"/>
      <c r="GJ199" s="20"/>
      <c r="GK199" s="20"/>
      <c r="GL199" s="20"/>
      <c r="GM199" s="20"/>
      <c r="GN199" s="20"/>
      <c r="GO199" s="20"/>
      <c r="GP199" s="20"/>
      <c r="GQ199" s="20"/>
      <c r="GR199" s="20"/>
      <c r="GS199" s="20"/>
      <c r="GT199" s="20"/>
      <c r="GU199" s="20"/>
      <c r="GV199" s="20"/>
      <c r="GW199" s="20"/>
      <c r="GX199" s="20"/>
      <c r="GY199" s="20"/>
      <c r="GZ199" s="20"/>
      <c r="HA199" s="20"/>
      <c r="HB199" s="20"/>
      <c r="HC199" s="20"/>
      <c r="HD199" s="20"/>
      <c r="HE199" s="20"/>
      <c r="HF199" s="20"/>
      <c r="HG199" s="20"/>
      <c r="HH199" s="20"/>
      <c r="HI199" s="20"/>
    </row>
    <row r="200" spans="1:217" ht="13" x14ac:dyDescent="0.15">
      <c r="A200" s="13">
        <v>43558</v>
      </c>
      <c r="B200" s="3" t="s">
        <v>456</v>
      </c>
      <c r="C200" s="16">
        <v>188</v>
      </c>
      <c r="D200" s="3">
        <v>21.316488</v>
      </c>
      <c r="E200" s="3">
        <v>-157.66426100000001</v>
      </c>
      <c r="F200" s="3" t="s">
        <v>418</v>
      </c>
      <c r="G200" s="14">
        <v>0.375</v>
      </c>
      <c r="H200" s="14">
        <v>0.45833333333333331</v>
      </c>
      <c r="I200" s="3">
        <v>5</v>
      </c>
      <c r="J200" s="3">
        <v>10</v>
      </c>
      <c r="K200" s="3" t="s">
        <v>318</v>
      </c>
      <c r="L200" s="3">
        <v>5</v>
      </c>
      <c r="M200" s="3">
        <v>22</v>
      </c>
      <c r="N200" s="3" t="s">
        <v>464</v>
      </c>
      <c r="P200" s="3">
        <v>22</v>
      </c>
      <c r="T200" s="3">
        <v>2</v>
      </c>
      <c r="AJ200" s="3"/>
      <c r="AK200" s="3"/>
      <c r="AL200" s="3"/>
      <c r="AM200" s="3">
        <v>23</v>
      </c>
      <c r="AZ200" s="3">
        <v>13</v>
      </c>
      <c r="BA200" s="3"/>
      <c r="BB200" s="3">
        <v>10</v>
      </c>
      <c r="BF200" s="3">
        <v>6</v>
      </c>
      <c r="BM200" s="3">
        <v>42</v>
      </c>
      <c r="CC200" s="3">
        <v>1</v>
      </c>
      <c r="CN200" s="3"/>
      <c r="CO200" s="3">
        <v>6</v>
      </c>
      <c r="CV200" s="3">
        <v>7</v>
      </c>
      <c r="DI200" s="3">
        <v>1</v>
      </c>
      <c r="EE200" s="3"/>
      <c r="EF200" s="3"/>
      <c r="EG200" s="3"/>
      <c r="EH200" s="3"/>
      <c r="EI200" s="3"/>
      <c r="EJ200" s="3">
        <v>39</v>
      </c>
      <c r="EK200" s="3">
        <v>8</v>
      </c>
      <c r="FF200" s="3">
        <v>6</v>
      </c>
      <c r="FS200" s="3">
        <v>110</v>
      </c>
      <c r="GA200" s="3">
        <v>3</v>
      </c>
      <c r="GG200" s="3">
        <v>8</v>
      </c>
      <c r="GH200" s="3">
        <f>COUNT(R200:GG200)</f>
        <v>16</v>
      </c>
      <c r="GI200" s="3">
        <f>COUNTIF(R200:GG200,"&gt;=2")</f>
        <v>14</v>
      </c>
      <c r="GJ200" s="3">
        <f>COUNTIF(R200:GG200,"&gt;=5")</f>
        <v>12</v>
      </c>
      <c r="GK200" s="3">
        <f>SUM(R200:GG200)</f>
        <v>285</v>
      </c>
      <c r="GL200" s="3">
        <f>25*P200</f>
        <v>550</v>
      </c>
      <c r="GM200" s="3">
        <f>GL200-GK200</f>
        <v>265</v>
      </c>
    </row>
    <row r="201" spans="1:217" ht="13" x14ac:dyDescent="0.15">
      <c r="A201" s="27">
        <v>43558</v>
      </c>
      <c r="B201" s="28" t="s">
        <v>216</v>
      </c>
      <c r="C201" s="16">
        <f t="shared" ref="C201:C204" si="116">C200+1</f>
        <v>189</v>
      </c>
      <c r="D201" s="28">
        <v>21.3002</v>
      </c>
      <c r="E201" s="28">
        <v>-157.882599</v>
      </c>
      <c r="F201" s="28" t="s">
        <v>542</v>
      </c>
      <c r="G201" s="29">
        <v>0.39305555555555555</v>
      </c>
      <c r="H201" s="29">
        <v>0.44791666666666669</v>
      </c>
      <c r="I201" s="28">
        <v>6</v>
      </c>
      <c r="J201" s="28">
        <v>18</v>
      </c>
      <c r="K201" s="28" t="s">
        <v>198</v>
      </c>
      <c r="L201" s="28">
        <v>5</v>
      </c>
      <c r="M201" s="28">
        <v>12</v>
      </c>
      <c r="N201" s="28" t="s">
        <v>543</v>
      </c>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v>10</v>
      </c>
      <c r="AO201" s="28"/>
      <c r="AP201" s="28"/>
      <c r="AQ201" s="28"/>
      <c r="AR201" s="28"/>
      <c r="AS201" s="28"/>
      <c r="AT201" s="28"/>
      <c r="AU201" s="28"/>
      <c r="AV201" s="28"/>
      <c r="AW201" s="28"/>
      <c r="AX201" s="28"/>
      <c r="AY201" s="28"/>
      <c r="AZ201" s="28"/>
      <c r="BA201" s="28"/>
      <c r="BB201" s="28"/>
      <c r="BC201" s="28"/>
      <c r="BD201" s="28"/>
      <c r="BE201" s="28">
        <v>1</v>
      </c>
      <c r="BF201" s="28"/>
      <c r="BG201" s="28"/>
      <c r="BH201" s="28"/>
      <c r="BI201" s="28"/>
      <c r="BJ201" s="28"/>
      <c r="BK201" s="28"/>
      <c r="BL201" s="28"/>
      <c r="BM201" s="28">
        <v>3</v>
      </c>
      <c r="BN201" s="28"/>
      <c r="BO201" s="28"/>
      <c r="BP201" s="28"/>
      <c r="BQ201" s="28"/>
      <c r="BR201" s="28"/>
      <c r="BS201" s="28"/>
      <c r="BT201" s="28">
        <v>3</v>
      </c>
      <c r="BU201" s="28">
        <v>2</v>
      </c>
      <c r="BV201" s="28">
        <v>1</v>
      </c>
      <c r="BW201" s="28"/>
      <c r="BX201" s="28"/>
      <c r="BY201" s="28"/>
      <c r="BZ201" s="28"/>
      <c r="CA201" s="28"/>
      <c r="CB201" s="28"/>
      <c r="CC201" s="28"/>
      <c r="CD201" s="28"/>
      <c r="CE201" s="28"/>
      <c r="CF201" s="28"/>
      <c r="CG201" s="28"/>
      <c r="CH201" s="28"/>
      <c r="CI201" s="28"/>
      <c r="CJ201" s="28"/>
      <c r="CK201" s="28"/>
      <c r="CL201" s="28"/>
      <c r="CM201" s="28"/>
      <c r="CN201" s="28"/>
      <c r="CO201" s="28"/>
      <c r="CP201" s="28"/>
      <c r="CQ201" s="28"/>
      <c r="CR201" s="28"/>
      <c r="CS201" s="28"/>
      <c r="CT201" s="28"/>
      <c r="CU201" s="28"/>
      <c r="CV201" s="28"/>
      <c r="CW201" s="28"/>
      <c r="CX201" s="28"/>
      <c r="CY201" s="28"/>
      <c r="CZ201" s="28"/>
      <c r="DA201" s="28"/>
      <c r="DB201" s="28"/>
      <c r="DC201" s="28"/>
      <c r="DD201" s="28"/>
      <c r="DE201" s="28"/>
      <c r="DF201" s="28"/>
      <c r="DG201" s="28"/>
      <c r="DH201" s="28"/>
      <c r="DI201" s="28"/>
      <c r="DJ201" s="28"/>
      <c r="DK201" s="28"/>
      <c r="DL201" s="28"/>
      <c r="DM201" s="28">
        <v>1</v>
      </c>
      <c r="DN201" s="28"/>
      <c r="DO201" s="28"/>
      <c r="DP201" s="28"/>
      <c r="DQ201" s="28"/>
      <c r="DR201" s="28"/>
      <c r="DS201" s="28"/>
      <c r="DT201" s="28"/>
      <c r="DU201" s="28"/>
      <c r="DV201" s="28"/>
      <c r="DW201" s="28"/>
      <c r="DX201" s="28"/>
      <c r="DY201" s="28"/>
      <c r="DZ201" s="28"/>
      <c r="EA201" s="28"/>
      <c r="EB201" s="28"/>
      <c r="EC201" s="28">
        <v>1</v>
      </c>
      <c r="ED201" s="28"/>
      <c r="EE201" s="28"/>
      <c r="EF201" s="28"/>
      <c r="EG201" s="28"/>
      <c r="EH201" s="28"/>
      <c r="EI201" s="28"/>
      <c r="EJ201" s="28">
        <v>3</v>
      </c>
      <c r="EK201" s="28"/>
      <c r="EL201" s="28"/>
      <c r="EM201" s="28"/>
      <c r="EN201" s="28"/>
      <c r="EO201" s="28"/>
      <c r="EP201" s="28"/>
      <c r="EQ201" s="28"/>
      <c r="ER201" s="28"/>
      <c r="ES201" s="28"/>
      <c r="ET201" s="28"/>
      <c r="EU201" s="28"/>
      <c r="EV201" s="28"/>
      <c r="EW201" s="28"/>
      <c r="EX201" s="28"/>
      <c r="EY201" s="28"/>
      <c r="EZ201" s="28"/>
      <c r="FA201" s="28"/>
      <c r="FB201" s="28"/>
      <c r="FC201" s="28"/>
      <c r="FD201" s="28"/>
      <c r="FE201" s="28"/>
      <c r="FF201" s="28"/>
      <c r="FG201" s="28"/>
      <c r="FH201" s="28"/>
      <c r="FI201" s="28"/>
      <c r="FJ201" s="28"/>
      <c r="FK201" s="28"/>
      <c r="FL201" s="28"/>
      <c r="FM201" s="28"/>
      <c r="FN201" s="28"/>
      <c r="FO201" s="28"/>
      <c r="FP201" s="28"/>
      <c r="FQ201" s="28"/>
      <c r="FR201" s="28"/>
      <c r="FS201" s="28">
        <v>6</v>
      </c>
      <c r="FT201" s="28"/>
      <c r="FU201" s="28"/>
      <c r="FV201" s="28"/>
      <c r="FW201" s="28"/>
      <c r="FX201" s="28"/>
      <c r="FY201" s="28"/>
      <c r="FZ201" s="28"/>
      <c r="GA201" s="28"/>
      <c r="GB201" s="28"/>
      <c r="GC201" s="28"/>
      <c r="GD201" s="28"/>
      <c r="GE201" s="28"/>
      <c r="GF201" s="28"/>
      <c r="GG201" s="28"/>
      <c r="GH201" s="28"/>
      <c r="GI201" s="28"/>
      <c r="GJ201" s="28"/>
      <c r="GK201" s="28"/>
      <c r="GL201" s="28"/>
      <c r="GM201" s="28"/>
      <c r="GN201" s="28"/>
      <c r="GO201" s="28"/>
      <c r="GP201" s="28"/>
      <c r="GQ201" s="28"/>
      <c r="GR201" s="28"/>
      <c r="GS201" s="28"/>
      <c r="GT201" s="28"/>
      <c r="GU201" s="28"/>
      <c r="GV201" s="28"/>
      <c r="GW201" s="28"/>
      <c r="GX201" s="28"/>
      <c r="GY201" s="28"/>
      <c r="GZ201" s="28"/>
      <c r="HA201" s="28"/>
      <c r="HB201" s="28"/>
      <c r="HC201" s="28"/>
      <c r="HD201" s="28"/>
      <c r="HE201" s="28"/>
      <c r="HF201" s="28"/>
      <c r="HG201" s="28"/>
      <c r="HH201" s="28"/>
      <c r="HI201" s="28"/>
    </row>
    <row r="202" spans="1:217" ht="13" x14ac:dyDescent="0.15">
      <c r="A202" s="13">
        <v>43559</v>
      </c>
      <c r="B202" s="3" t="s">
        <v>456</v>
      </c>
      <c r="C202" s="16">
        <f t="shared" si="116"/>
        <v>190</v>
      </c>
      <c r="D202" s="3">
        <v>21.316488</v>
      </c>
      <c r="E202" s="3">
        <v>-157.66426100000001</v>
      </c>
      <c r="F202" s="3" t="s">
        <v>418</v>
      </c>
      <c r="G202" s="14">
        <v>0.375</v>
      </c>
      <c r="H202" s="14">
        <v>0.47916666666666669</v>
      </c>
      <c r="I202" s="3">
        <v>5</v>
      </c>
      <c r="J202" s="3">
        <v>10</v>
      </c>
      <c r="K202" s="3" t="s">
        <v>318</v>
      </c>
      <c r="L202" s="3">
        <v>5</v>
      </c>
      <c r="M202" s="3">
        <v>25</v>
      </c>
      <c r="P202" s="3">
        <v>25</v>
      </c>
      <c r="BD202" s="3">
        <v>6</v>
      </c>
      <c r="BI202" s="3"/>
      <c r="BJ202" s="3"/>
      <c r="BK202" s="3">
        <v>1</v>
      </c>
      <c r="BM202" s="3">
        <v>68</v>
      </c>
      <c r="BS202" s="3"/>
      <c r="BT202" s="3">
        <v>1</v>
      </c>
      <c r="BY202" s="3">
        <v>10</v>
      </c>
      <c r="BZ202" s="3">
        <v>23</v>
      </c>
      <c r="CC202" s="3">
        <v>1</v>
      </c>
      <c r="CF202" s="3">
        <v>2</v>
      </c>
      <c r="CN202" s="3"/>
      <c r="CO202" s="3">
        <v>8</v>
      </c>
      <c r="DO202" s="3">
        <v>1</v>
      </c>
      <c r="DR202" s="3"/>
      <c r="DS202" s="3">
        <v>4</v>
      </c>
      <c r="EC202" s="3">
        <v>1</v>
      </c>
      <c r="EE202" s="3"/>
      <c r="EF202" s="3"/>
      <c r="EG202" s="3"/>
      <c r="EH202" s="3"/>
      <c r="EI202" s="3"/>
      <c r="EJ202" s="3">
        <v>45</v>
      </c>
      <c r="EK202" s="3">
        <v>11</v>
      </c>
      <c r="EW202" s="3">
        <v>2</v>
      </c>
      <c r="FG202" s="3"/>
      <c r="FH202" s="3">
        <v>2</v>
      </c>
      <c r="FS202" s="3">
        <v>151</v>
      </c>
      <c r="GH202" s="3">
        <f>COUNT(R202:GG202)</f>
        <v>17</v>
      </c>
      <c r="GI202" s="3">
        <f>COUNTIF(R202:GG202,"&gt;=2")</f>
        <v>12</v>
      </c>
      <c r="GJ202" s="3">
        <f>COUNTIF(R202:GG202,"&gt;=5")</f>
        <v>8</v>
      </c>
      <c r="GK202" s="3">
        <f>SUM(R202:GG202)</f>
        <v>337</v>
      </c>
      <c r="GL202" s="3">
        <f>25*P202</f>
        <v>625</v>
      </c>
      <c r="GM202" s="3">
        <f>GL202-GK202</f>
        <v>288</v>
      </c>
    </row>
    <row r="203" spans="1:217" ht="13" x14ac:dyDescent="0.15">
      <c r="A203" s="27">
        <v>43560</v>
      </c>
      <c r="B203" s="28" t="s">
        <v>544</v>
      </c>
      <c r="C203" s="16">
        <f t="shared" si="116"/>
        <v>191</v>
      </c>
      <c r="D203" s="28">
        <v>19.5791</v>
      </c>
      <c r="E203" s="28">
        <v>-155.967804</v>
      </c>
      <c r="F203" s="28" t="s">
        <v>508</v>
      </c>
      <c r="G203" s="29">
        <v>0.43055555555555558</v>
      </c>
      <c r="H203" s="29">
        <v>0.4548611111111111</v>
      </c>
      <c r="I203" s="28">
        <v>5</v>
      </c>
      <c r="J203" s="28">
        <v>20</v>
      </c>
      <c r="K203" s="28" t="s">
        <v>198</v>
      </c>
      <c r="L203" s="28">
        <v>6</v>
      </c>
      <c r="M203" s="28">
        <v>29</v>
      </c>
      <c r="N203" s="28" t="s">
        <v>545</v>
      </c>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v>7</v>
      </c>
      <c r="BN203" s="28"/>
      <c r="BO203" s="28"/>
      <c r="BP203" s="28"/>
      <c r="BQ203" s="28"/>
      <c r="BR203" s="28"/>
      <c r="BS203" s="28"/>
      <c r="BT203" s="28"/>
      <c r="BU203" s="28"/>
      <c r="BV203" s="28"/>
      <c r="BW203" s="28"/>
      <c r="BX203" s="28"/>
      <c r="BY203" s="28"/>
      <c r="BZ203" s="28"/>
      <c r="CA203" s="28"/>
      <c r="CB203" s="28"/>
      <c r="CC203" s="28">
        <v>3</v>
      </c>
      <c r="CD203" s="28"/>
      <c r="CE203" s="28"/>
      <c r="CF203" s="28"/>
      <c r="CG203" s="28"/>
      <c r="CH203" s="28"/>
      <c r="CI203" s="28"/>
      <c r="CJ203" s="28"/>
      <c r="CK203" s="28"/>
      <c r="CL203" s="28"/>
      <c r="CM203" s="28"/>
      <c r="CN203" s="28"/>
      <c r="CO203" s="28"/>
      <c r="CP203" s="28"/>
      <c r="CQ203" s="28"/>
      <c r="CR203" s="28"/>
      <c r="CS203" s="28"/>
      <c r="CT203" s="28"/>
      <c r="CU203" s="28"/>
      <c r="CV203" s="28"/>
      <c r="CW203" s="28"/>
      <c r="CX203" s="28"/>
      <c r="CY203" s="28"/>
      <c r="CZ203" s="28"/>
      <c r="DA203" s="28"/>
      <c r="DB203" s="28"/>
      <c r="DC203" s="28"/>
      <c r="DD203" s="28"/>
      <c r="DE203" s="28"/>
      <c r="DF203" s="28"/>
      <c r="DG203" s="28"/>
      <c r="DH203" s="28"/>
      <c r="DI203" s="28"/>
      <c r="DJ203" s="28"/>
      <c r="DK203" s="28"/>
      <c r="DL203" s="28"/>
      <c r="DM203" s="28"/>
      <c r="DN203" s="28"/>
      <c r="DO203" s="28"/>
      <c r="DP203" s="28"/>
      <c r="DQ203" s="28"/>
      <c r="DR203" s="28"/>
      <c r="DS203" s="28"/>
      <c r="DT203" s="28"/>
      <c r="DU203" s="28"/>
      <c r="DV203" s="28"/>
      <c r="DW203" s="28"/>
      <c r="DX203" s="28"/>
      <c r="DY203" s="28"/>
      <c r="DZ203" s="28"/>
      <c r="EA203" s="28"/>
      <c r="EB203" s="28"/>
      <c r="EC203" s="28"/>
      <c r="ED203" s="28">
        <v>3</v>
      </c>
      <c r="EE203" s="28"/>
      <c r="EF203" s="28"/>
      <c r="EG203" s="28"/>
      <c r="EH203" s="28"/>
      <c r="EI203" s="28"/>
      <c r="EJ203" s="28"/>
      <c r="EK203" s="28"/>
      <c r="EL203" s="28"/>
      <c r="EM203" s="28"/>
      <c r="EN203" s="28"/>
      <c r="EO203" s="28"/>
      <c r="EP203" s="28"/>
      <c r="EQ203" s="28"/>
      <c r="ER203" s="28"/>
      <c r="ES203" s="28"/>
      <c r="ET203" s="28"/>
      <c r="EU203" s="28"/>
      <c r="EV203" s="28"/>
      <c r="EW203" s="28"/>
      <c r="EX203" s="28"/>
      <c r="EY203" s="28"/>
      <c r="EZ203" s="28"/>
      <c r="FA203" s="28"/>
      <c r="FB203" s="28"/>
      <c r="FC203" s="28"/>
      <c r="FD203" s="28"/>
      <c r="FE203" s="28"/>
      <c r="FF203" s="28"/>
      <c r="FG203" s="28"/>
      <c r="FH203" s="28"/>
      <c r="FI203" s="28"/>
      <c r="FJ203" s="28"/>
      <c r="FK203" s="28"/>
      <c r="FL203" s="28"/>
      <c r="FM203" s="28">
        <v>25</v>
      </c>
      <c r="FN203" s="28"/>
      <c r="FO203" s="28"/>
      <c r="FP203" s="28"/>
      <c r="FQ203" s="28"/>
      <c r="FR203" s="28"/>
      <c r="FS203" s="28">
        <v>598</v>
      </c>
      <c r="FT203" s="28"/>
      <c r="FU203" s="28"/>
      <c r="FV203" s="28"/>
      <c r="FW203" s="28"/>
      <c r="FX203" s="28"/>
      <c r="FY203" s="28"/>
      <c r="FZ203" s="28"/>
      <c r="GA203" s="28"/>
      <c r="GB203" s="28"/>
      <c r="GC203" s="28"/>
      <c r="GD203" s="28"/>
      <c r="GE203" s="28"/>
      <c r="GF203" s="28"/>
      <c r="GG203" s="28"/>
      <c r="GH203" s="28"/>
      <c r="GI203" s="28"/>
      <c r="GJ203" s="28"/>
      <c r="GK203" s="28"/>
      <c r="GL203" s="28"/>
      <c r="GM203" s="28"/>
      <c r="GN203" s="28"/>
      <c r="GO203" s="28"/>
      <c r="GP203" s="28"/>
      <c r="GQ203" s="28"/>
      <c r="GR203" s="28"/>
      <c r="GS203" s="28"/>
      <c r="GT203" s="28"/>
      <c r="GU203" s="28"/>
      <c r="GV203" s="28"/>
      <c r="GW203" s="28"/>
      <c r="GX203" s="28"/>
      <c r="GY203" s="28"/>
      <c r="GZ203" s="28"/>
      <c r="HA203" s="28"/>
      <c r="HB203" s="28"/>
      <c r="HC203" s="28"/>
      <c r="HD203" s="28"/>
      <c r="HE203" s="28"/>
      <c r="HF203" s="28"/>
      <c r="HG203" s="28"/>
      <c r="HH203" s="28"/>
      <c r="HI203" s="28"/>
    </row>
    <row r="204" spans="1:217" ht="13" x14ac:dyDescent="0.15">
      <c r="A204" s="27">
        <v>43562</v>
      </c>
      <c r="B204" s="28" t="s">
        <v>293</v>
      </c>
      <c r="C204" s="16">
        <f t="shared" si="116"/>
        <v>192</v>
      </c>
      <c r="D204" s="28">
        <v>19.738602</v>
      </c>
      <c r="E204" s="28">
        <v>-155.03887900000001</v>
      </c>
      <c r="F204" s="28" t="s">
        <v>482</v>
      </c>
      <c r="G204" s="29">
        <v>0.45833333333333331</v>
      </c>
      <c r="H204" s="29">
        <v>0.47916666666666669</v>
      </c>
      <c r="I204" s="28">
        <v>2</v>
      </c>
      <c r="J204" s="28">
        <v>10</v>
      </c>
      <c r="K204" s="28" t="s">
        <v>198</v>
      </c>
      <c r="L204" s="28">
        <v>5</v>
      </c>
      <c r="M204" s="28">
        <v>10</v>
      </c>
      <c r="N204" s="28" t="s">
        <v>546</v>
      </c>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v>10</v>
      </c>
      <c r="BL204" s="28"/>
      <c r="BM204" s="28">
        <v>40</v>
      </c>
      <c r="BN204" s="28"/>
      <c r="BO204" s="28"/>
      <c r="BP204" s="28"/>
      <c r="BQ204" s="28"/>
      <c r="BR204" s="28"/>
      <c r="BS204" s="28"/>
      <c r="BT204" s="28"/>
      <c r="BU204" s="28"/>
      <c r="BV204" s="28"/>
      <c r="BW204" s="28"/>
      <c r="BX204" s="28"/>
      <c r="BY204" s="28"/>
      <c r="BZ204" s="28"/>
      <c r="CA204" s="28"/>
      <c r="CB204" s="28"/>
      <c r="CC204" s="28">
        <v>2</v>
      </c>
      <c r="CD204" s="28"/>
      <c r="CE204" s="28"/>
      <c r="CF204" s="28"/>
      <c r="CG204" s="28"/>
      <c r="CH204" s="28"/>
      <c r="CI204" s="28"/>
      <c r="CJ204" s="28"/>
      <c r="CK204" s="28"/>
      <c r="CL204" s="28"/>
      <c r="CM204" s="28"/>
      <c r="CN204" s="28"/>
      <c r="CO204" s="28">
        <v>7</v>
      </c>
      <c r="CP204" s="28"/>
      <c r="CQ204" s="28"/>
      <c r="CR204" s="28"/>
      <c r="CS204" s="28"/>
      <c r="CT204" s="28"/>
      <c r="CU204" s="28"/>
      <c r="CV204" s="28"/>
      <c r="CW204" s="28"/>
      <c r="CX204" s="28"/>
      <c r="CY204" s="28"/>
      <c r="CZ204" s="28"/>
      <c r="DA204" s="28"/>
      <c r="DB204" s="28"/>
      <c r="DC204" s="28"/>
      <c r="DD204" s="28"/>
      <c r="DE204" s="28"/>
      <c r="DF204" s="28"/>
      <c r="DG204" s="28"/>
      <c r="DH204" s="28"/>
      <c r="DI204" s="28"/>
      <c r="DJ204" s="28"/>
      <c r="DK204" s="28"/>
      <c r="DL204" s="28"/>
      <c r="DM204" s="28"/>
      <c r="DN204" s="28"/>
      <c r="DO204" s="28"/>
      <c r="DP204" s="28"/>
      <c r="DQ204" s="28"/>
      <c r="DR204" s="28"/>
      <c r="DS204" s="28"/>
      <c r="DT204" s="28"/>
      <c r="DU204" s="28"/>
      <c r="DV204" s="28"/>
      <c r="DW204" s="28"/>
      <c r="DX204" s="28"/>
      <c r="DY204" s="28">
        <v>1</v>
      </c>
      <c r="DZ204" s="28"/>
      <c r="EA204" s="28"/>
      <c r="EB204" s="28"/>
      <c r="EC204" s="28"/>
      <c r="ED204" s="28"/>
      <c r="EE204" s="28"/>
      <c r="EF204" s="28"/>
      <c r="EG204" s="28"/>
      <c r="EH204" s="28"/>
      <c r="EI204" s="28"/>
      <c r="EJ204" s="28">
        <v>4</v>
      </c>
      <c r="EK204" s="28"/>
      <c r="EL204" s="28"/>
      <c r="EM204" s="28"/>
      <c r="EN204" s="28"/>
      <c r="EO204" s="28"/>
      <c r="EP204" s="28"/>
      <c r="EQ204" s="28"/>
      <c r="ER204" s="28">
        <v>1</v>
      </c>
      <c r="ES204" s="28">
        <v>3</v>
      </c>
      <c r="ET204" s="28"/>
      <c r="EU204" s="28"/>
      <c r="EV204" s="28"/>
      <c r="EW204" s="28"/>
      <c r="EX204" s="28"/>
      <c r="EY204" s="28"/>
      <c r="EZ204" s="28"/>
      <c r="FA204" s="28"/>
      <c r="FB204" s="28"/>
      <c r="FC204" s="28"/>
      <c r="FD204" s="28"/>
      <c r="FE204" s="28"/>
      <c r="FF204" s="28"/>
      <c r="FG204" s="28"/>
      <c r="FH204" s="28"/>
      <c r="FI204" s="28"/>
      <c r="FJ204" s="28"/>
      <c r="FK204" s="28"/>
      <c r="FL204" s="28"/>
      <c r="FM204" s="28"/>
      <c r="FN204" s="28"/>
      <c r="FO204" s="28"/>
      <c r="FP204" s="28">
        <v>1</v>
      </c>
      <c r="FQ204" s="28"/>
      <c r="FR204" s="28"/>
      <c r="FS204" s="28">
        <v>146</v>
      </c>
      <c r="FT204" s="28"/>
      <c r="FU204" s="28"/>
      <c r="FV204" s="28"/>
      <c r="FW204" s="28"/>
      <c r="FX204" s="28"/>
      <c r="FY204" s="28"/>
      <c r="FZ204" s="28"/>
      <c r="GA204" s="28"/>
      <c r="GB204" s="28"/>
      <c r="GC204" s="28"/>
      <c r="GD204" s="28"/>
      <c r="GE204" s="28"/>
      <c r="GF204" s="28"/>
      <c r="GG204" s="28"/>
      <c r="GH204" s="28"/>
      <c r="GI204" s="28"/>
      <c r="GJ204" s="28"/>
      <c r="GK204" s="28"/>
      <c r="GL204" s="28"/>
      <c r="GM204" s="28"/>
      <c r="GN204" s="28"/>
      <c r="GO204" s="28"/>
      <c r="GP204" s="28"/>
      <c r="GQ204" s="28"/>
      <c r="GR204" s="28"/>
      <c r="GS204" s="28"/>
      <c r="GT204" s="28"/>
      <c r="GU204" s="28"/>
      <c r="GV204" s="28"/>
      <c r="GW204" s="28"/>
      <c r="GX204" s="28"/>
      <c r="GY204" s="28"/>
      <c r="GZ204" s="28"/>
      <c r="HA204" s="28"/>
      <c r="HB204" s="28"/>
      <c r="HC204" s="28"/>
      <c r="HD204" s="28"/>
      <c r="HE204" s="28"/>
      <c r="HF204" s="28"/>
      <c r="HG204" s="28"/>
      <c r="HH204" s="28"/>
      <c r="HI204" s="28"/>
    </row>
    <row r="205" spans="1:217" ht="13" x14ac:dyDescent="0.15">
      <c r="A205" s="90">
        <v>43563</v>
      </c>
      <c r="B205" s="20" t="s">
        <v>216</v>
      </c>
      <c r="C205" s="16"/>
      <c r="D205" s="20"/>
      <c r="E205" s="20"/>
      <c r="F205" s="20"/>
      <c r="G205" s="21"/>
      <c r="H205" s="21"/>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0"/>
      <c r="DG205" s="20"/>
      <c r="DH205" s="20"/>
      <c r="DI205" s="20"/>
      <c r="DJ205" s="20"/>
      <c r="DK205" s="20"/>
      <c r="DL205" s="20"/>
      <c r="DM205" s="20"/>
      <c r="DN205" s="20"/>
      <c r="DO205" s="20"/>
      <c r="DP205" s="20"/>
      <c r="DQ205" s="20"/>
      <c r="DR205" s="20"/>
      <c r="DS205" s="20"/>
      <c r="DT205" s="20"/>
      <c r="DU205" s="20"/>
      <c r="DV205" s="20"/>
      <c r="DW205" s="20"/>
      <c r="DX205" s="20"/>
      <c r="DY205" s="20"/>
      <c r="DZ205" s="20"/>
      <c r="EA205" s="20"/>
      <c r="EB205" s="20"/>
      <c r="EC205" s="20"/>
      <c r="ED205" s="20"/>
      <c r="EE205" s="20"/>
      <c r="EF205" s="20"/>
      <c r="EG205" s="20"/>
      <c r="EH205" s="20"/>
      <c r="EI205" s="20"/>
      <c r="EJ205" s="20"/>
      <c r="EK205" s="20"/>
      <c r="EL205" s="20"/>
      <c r="EM205" s="20"/>
      <c r="EN205" s="20"/>
      <c r="EO205" s="20"/>
      <c r="EP205" s="20"/>
      <c r="EQ205" s="20"/>
      <c r="ER205" s="20"/>
      <c r="ES205" s="20"/>
      <c r="ET205" s="20"/>
      <c r="EU205" s="20"/>
      <c r="EV205" s="20"/>
      <c r="EW205" s="20"/>
      <c r="EX205" s="20"/>
      <c r="EY205" s="20"/>
      <c r="EZ205" s="20"/>
      <c r="FA205" s="20"/>
      <c r="FB205" s="20"/>
      <c r="FC205" s="20"/>
      <c r="FD205" s="20"/>
      <c r="FE205" s="20"/>
      <c r="FF205" s="20"/>
      <c r="FG205" s="20"/>
      <c r="FH205" s="20"/>
      <c r="FI205" s="20"/>
      <c r="FJ205" s="20"/>
      <c r="FK205" s="20"/>
      <c r="FL205" s="20"/>
      <c r="FM205" s="20"/>
      <c r="FN205" s="20"/>
      <c r="FO205" s="20"/>
      <c r="FP205" s="20"/>
      <c r="FQ205" s="20"/>
      <c r="FR205" s="20"/>
      <c r="FS205" s="20"/>
      <c r="FT205" s="20"/>
      <c r="FU205" s="20"/>
      <c r="FV205" s="20"/>
      <c r="FW205" s="20"/>
      <c r="FX205" s="20"/>
      <c r="FY205" s="20"/>
      <c r="FZ205" s="20"/>
      <c r="GA205" s="20"/>
      <c r="GB205" s="20"/>
      <c r="GC205" s="20"/>
      <c r="GD205" s="20"/>
      <c r="GE205" s="20"/>
      <c r="GF205" s="20"/>
      <c r="GG205" s="20"/>
      <c r="GH205" s="20"/>
      <c r="GI205" s="20"/>
      <c r="GJ205" s="20"/>
      <c r="GK205" s="20"/>
      <c r="GL205" s="20"/>
      <c r="GM205" s="20"/>
      <c r="GN205" s="20"/>
      <c r="GO205" s="20"/>
      <c r="GP205" s="20"/>
      <c r="GQ205" s="20"/>
      <c r="GR205" s="20"/>
      <c r="GS205" s="20"/>
      <c r="GT205" s="20"/>
      <c r="GU205" s="20"/>
      <c r="GV205" s="20"/>
      <c r="GW205" s="20"/>
      <c r="GX205" s="20"/>
      <c r="GY205" s="20"/>
      <c r="GZ205" s="20"/>
      <c r="HA205" s="20"/>
      <c r="HB205" s="20"/>
      <c r="HC205" s="20"/>
      <c r="HD205" s="20"/>
      <c r="HE205" s="20"/>
      <c r="HF205" s="20"/>
      <c r="HG205" s="20"/>
      <c r="HH205" s="20"/>
      <c r="HI205" s="20"/>
    </row>
    <row r="206" spans="1:217" ht="13" x14ac:dyDescent="0.15">
      <c r="A206" s="13">
        <v>43563</v>
      </c>
      <c r="B206" s="3" t="s">
        <v>400</v>
      </c>
      <c r="C206" s="16">
        <v>193</v>
      </c>
      <c r="D206" s="3">
        <v>21.900562000000001</v>
      </c>
      <c r="E206" s="3">
        <v>-159.60981799999999</v>
      </c>
      <c r="F206" s="3" t="s">
        <v>465</v>
      </c>
      <c r="G206" s="14">
        <v>0.4548611111111111</v>
      </c>
      <c r="H206" s="14">
        <v>0.48958333333333331</v>
      </c>
      <c r="I206" s="3">
        <v>6</v>
      </c>
      <c r="J206" s="3">
        <v>10</v>
      </c>
      <c r="K206" s="3" t="s">
        <v>198</v>
      </c>
      <c r="L206" s="3">
        <v>5</v>
      </c>
      <c r="M206" s="3">
        <v>29</v>
      </c>
      <c r="N206" s="3" t="s">
        <v>466</v>
      </c>
      <c r="P206" s="3">
        <v>29</v>
      </c>
      <c r="R206" s="3">
        <v>14</v>
      </c>
      <c r="BA206" s="3"/>
      <c r="BB206" s="3">
        <v>2</v>
      </c>
      <c r="BL206" s="3">
        <v>2</v>
      </c>
      <c r="BW206" s="3">
        <v>19</v>
      </c>
      <c r="CE206" s="3">
        <v>6</v>
      </c>
      <c r="DM206" s="3">
        <v>174</v>
      </c>
      <c r="DR206" s="3"/>
      <c r="DS206" s="3">
        <v>12</v>
      </c>
      <c r="DT206" s="3"/>
      <c r="DU206" s="3"/>
      <c r="DV206" s="3">
        <v>8</v>
      </c>
      <c r="DY206" s="3"/>
      <c r="DZ206" s="3">
        <v>2</v>
      </c>
      <c r="EB206" s="3">
        <v>1</v>
      </c>
      <c r="ED206" s="3">
        <v>1</v>
      </c>
      <c r="EE206" s="3"/>
      <c r="EF206" s="3"/>
      <c r="EG206" s="3"/>
      <c r="EH206" s="3"/>
      <c r="EI206" s="3"/>
      <c r="EJ206" s="3">
        <v>55</v>
      </c>
      <c r="EL206" s="3"/>
      <c r="EM206" s="3"/>
      <c r="EN206" s="3">
        <v>1</v>
      </c>
      <c r="FB206" s="3">
        <v>31</v>
      </c>
      <c r="FC206" s="3">
        <v>1</v>
      </c>
      <c r="FR206" s="3">
        <v>2</v>
      </c>
      <c r="FS206" s="3">
        <v>15</v>
      </c>
      <c r="GA206" s="3">
        <v>2</v>
      </c>
      <c r="GB206" s="3"/>
      <c r="GC206" s="3">
        <v>3</v>
      </c>
      <c r="GD206" s="3">
        <v>1</v>
      </c>
      <c r="GH206" s="3">
        <f t="shared" ref="GH206:GH208" si="117">COUNT(R206:GG206)</f>
        <v>20</v>
      </c>
      <c r="GI206" s="3">
        <f t="shared" ref="GI206:GI208" si="118">COUNTIF(R206:GG206,"&gt;=2")</f>
        <v>15</v>
      </c>
      <c r="GJ206" s="3">
        <f t="shared" ref="GJ206:GJ208" si="119">COUNTIF(R206:GG206,"&gt;=5")</f>
        <v>9</v>
      </c>
      <c r="GK206" s="3">
        <f t="shared" ref="GK206:GK208" si="120">SUM(R206:GG206)</f>
        <v>352</v>
      </c>
      <c r="GL206" s="3">
        <f t="shared" ref="GL206:GL208" si="121">25*P206</f>
        <v>725</v>
      </c>
      <c r="GM206" s="3">
        <f t="shared" ref="GM206:GM208" si="122">GL206-GK206</f>
        <v>373</v>
      </c>
    </row>
    <row r="207" spans="1:217" ht="13" x14ac:dyDescent="0.15">
      <c r="A207" s="13">
        <v>43564</v>
      </c>
      <c r="B207" s="3" t="s">
        <v>456</v>
      </c>
      <c r="C207" s="16">
        <f t="shared" ref="C207:C221" si="123">C206+1</f>
        <v>194</v>
      </c>
      <c r="D207" s="3">
        <v>21.316488</v>
      </c>
      <c r="E207" s="3">
        <v>-157.66426100000001</v>
      </c>
      <c r="F207" s="3" t="s">
        <v>469</v>
      </c>
      <c r="G207" s="14">
        <v>0.36319444444444443</v>
      </c>
      <c r="H207" s="14">
        <v>0.39583333333333331</v>
      </c>
      <c r="I207" s="3">
        <v>4</v>
      </c>
      <c r="J207" s="3">
        <v>40</v>
      </c>
      <c r="K207" s="3" t="s">
        <v>470</v>
      </c>
      <c r="L207" s="3">
        <v>5</v>
      </c>
      <c r="M207" s="3">
        <v>10</v>
      </c>
      <c r="N207" s="3" t="s">
        <v>471</v>
      </c>
      <c r="P207" s="3">
        <v>10</v>
      </c>
      <c r="CC207" s="3">
        <v>2</v>
      </c>
      <c r="CG207" s="3"/>
      <c r="CH207" s="3">
        <v>3</v>
      </c>
      <c r="DF207" s="3"/>
      <c r="DG207" s="3">
        <v>2</v>
      </c>
      <c r="EE207" s="3"/>
      <c r="EF207" s="3"/>
      <c r="EG207" s="3"/>
      <c r="EH207" s="3"/>
      <c r="EI207" s="3"/>
      <c r="EJ207" s="3">
        <v>15</v>
      </c>
      <c r="FS207" s="3">
        <v>13</v>
      </c>
      <c r="GH207" s="3">
        <f t="shared" si="117"/>
        <v>5</v>
      </c>
      <c r="GI207" s="3">
        <f t="shared" si="118"/>
        <v>5</v>
      </c>
      <c r="GJ207" s="3">
        <f t="shared" si="119"/>
        <v>2</v>
      </c>
      <c r="GK207" s="3">
        <f t="shared" si="120"/>
        <v>35</v>
      </c>
      <c r="GL207" s="3">
        <f t="shared" si="121"/>
        <v>250</v>
      </c>
      <c r="GM207" s="3">
        <f t="shared" si="122"/>
        <v>215</v>
      </c>
    </row>
    <row r="208" spans="1:217" ht="13" x14ac:dyDescent="0.15">
      <c r="A208" s="13">
        <v>43564</v>
      </c>
      <c r="B208" s="3" t="s">
        <v>244</v>
      </c>
      <c r="C208" s="16">
        <f t="shared" si="123"/>
        <v>195</v>
      </c>
      <c r="D208" s="3">
        <v>21.310611999999999</v>
      </c>
      <c r="E208" s="3">
        <v>-158.00441000000001</v>
      </c>
      <c r="F208" s="3" t="s">
        <v>326</v>
      </c>
      <c r="G208" s="14">
        <v>0.39583333333333331</v>
      </c>
      <c r="H208" s="14">
        <v>0.4375</v>
      </c>
      <c r="I208" s="3">
        <v>7</v>
      </c>
      <c r="J208" s="3">
        <v>20</v>
      </c>
      <c r="K208" s="3" t="s">
        <v>198</v>
      </c>
      <c r="L208" s="3">
        <v>5</v>
      </c>
      <c r="M208" s="3">
        <v>28</v>
      </c>
      <c r="N208" s="3" t="s">
        <v>472</v>
      </c>
      <c r="P208" s="3">
        <v>28</v>
      </c>
      <c r="R208" s="3">
        <v>1</v>
      </c>
      <c r="Y208" s="3"/>
      <c r="Z208" s="3"/>
      <c r="AA208" s="3"/>
      <c r="AB208" s="3">
        <v>1</v>
      </c>
      <c r="AE208" s="3">
        <v>29</v>
      </c>
      <c r="BC208" s="3">
        <v>16</v>
      </c>
      <c r="BE208" s="3">
        <v>49</v>
      </c>
      <c r="BM208" s="3">
        <v>16</v>
      </c>
      <c r="BS208" s="3">
        <v>1</v>
      </c>
      <c r="BV208" s="3">
        <v>11</v>
      </c>
      <c r="BZ208" s="3">
        <v>29</v>
      </c>
      <c r="CN208" s="3">
        <v>1</v>
      </c>
      <c r="DF208" s="3"/>
      <c r="DG208" s="3">
        <v>4</v>
      </c>
      <c r="DN208" s="3">
        <v>5</v>
      </c>
      <c r="DO208" s="3">
        <v>10</v>
      </c>
      <c r="DP208" s="3">
        <v>5</v>
      </c>
      <c r="EE208" s="3"/>
      <c r="EF208" s="3"/>
      <c r="EG208" s="3"/>
      <c r="EH208" s="3"/>
      <c r="EI208" s="3"/>
      <c r="EJ208" s="3">
        <v>99</v>
      </c>
      <c r="FB208" s="3">
        <v>20</v>
      </c>
      <c r="FS208" s="3">
        <v>23</v>
      </c>
      <c r="GH208" s="3">
        <f t="shared" si="117"/>
        <v>17</v>
      </c>
      <c r="GI208" s="3">
        <f t="shared" si="118"/>
        <v>13</v>
      </c>
      <c r="GJ208" s="3">
        <f t="shared" si="119"/>
        <v>12</v>
      </c>
      <c r="GK208" s="3">
        <f t="shared" si="120"/>
        <v>320</v>
      </c>
      <c r="GL208" s="3">
        <f t="shared" si="121"/>
        <v>700</v>
      </c>
      <c r="GM208" s="3">
        <f t="shared" si="122"/>
        <v>380</v>
      </c>
    </row>
    <row r="209" spans="1:217" ht="13" x14ac:dyDescent="0.15">
      <c r="A209" s="27">
        <v>43564</v>
      </c>
      <c r="B209" s="28" t="s">
        <v>246</v>
      </c>
      <c r="C209" s="16">
        <f t="shared" si="123"/>
        <v>196</v>
      </c>
      <c r="D209" s="28">
        <v>21.2882</v>
      </c>
      <c r="E209" s="28">
        <v>-157.66799900000001</v>
      </c>
      <c r="F209" s="28" t="s">
        <v>548</v>
      </c>
      <c r="G209" s="29">
        <v>0.3888888888888889</v>
      </c>
      <c r="H209" s="29">
        <v>0.45833333333333331</v>
      </c>
      <c r="I209" s="28">
        <v>6</v>
      </c>
      <c r="J209" s="28">
        <v>12</v>
      </c>
      <c r="K209" s="28" t="s">
        <v>198</v>
      </c>
      <c r="L209" s="28">
        <v>6</v>
      </c>
      <c r="M209" s="28">
        <v>20</v>
      </c>
      <c r="N209" s="28" t="s">
        <v>549</v>
      </c>
      <c r="O209" s="28"/>
      <c r="P209" s="28"/>
      <c r="Q209" s="28"/>
      <c r="R209" s="28"/>
      <c r="S209" s="28"/>
      <c r="T209" s="28"/>
      <c r="U209" s="28"/>
      <c r="V209" s="28"/>
      <c r="W209" s="28"/>
      <c r="X209" s="28"/>
      <c r="Y209" s="28"/>
      <c r="Z209" s="28"/>
      <c r="AA209" s="28"/>
      <c r="AB209" s="28">
        <v>8</v>
      </c>
      <c r="AC209" s="28"/>
      <c r="AD209" s="28"/>
      <c r="AE209" s="28"/>
      <c r="AF209" s="28"/>
      <c r="AG209" s="28"/>
      <c r="AH209" s="28"/>
      <c r="AI209" s="28"/>
      <c r="AJ209" s="28"/>
      <c r="AK209" s="28"/>
      <c r="AL209" s="28"/>
      <c r="AM209" s="28"/>
      <c r="AN209" s="28"/>
      <c r="AO209" s="28"/>
      <c r="AP209" s="28"/>
      <c r="AQ209" s="28"/>
      <c r="AR209" s="28">
        <v>1</v>
      </c>
      <c r="AS209" s="28"/>
      <c r="AT209" s="28"/>
      <c r="AU209" s="28"/>
      <c r="AV209" s="28"/>
      <c r="AW209" s="28"/>
      <c r="AX209" s="28"/>
      <c r="AY209" s="28"/>
      <c r="AZ209" s="28"/>
      <c r="BA209" s="28"/>
      <c r="BB209" s="28"/>
      <c r="BC209" s="28"/>
      <c r="BD209" s="28"/>
      <c r="BE209" s="28"/>
      <c r="BF209" s="28"/>
      <c r="BG209" s="28"/>
      <c r="BH209" s="28"/>
      <c r="BI209" s="28"/>
      <c r="BJ209" s="28"/>
      <c r="BK209" s="28">
        <v>1</v>
      </c>
      <c r="BL209" s="28"/>
      <c r="BM209" s="28"/>
      <c r="BN209" s="28"/>
      <c r="BO209" s="28"/>
      <c r="BP209" s="28"/>
      <c r="BQ209" s="28"/>
      <c r="BR209" s="28"/>
      <c r="BS209" s="28"/>
      <c r="BT209" s="28"/>
      <c r="BU209" s="28"/>
      <c r="BV209" s="28"/>
      <c r="BW209" s="28"/>
      <c r="BX209" s="28"/>
      <c r="BY209" s="28"/>
      <c r="BZ209" s="28"/>
      <c r="CA209" s="28"/>
      <c r="CB209" s="28"/>
      <c r="CC209" s="28"/>
      <c r="CD209" s="28"/>
      <c r="CE209" s="28"/>
      <c r="CF209" s="28"/>
      <c r="CG209" s="28"/>
      <c r="CH209" s="28"/>
      <c r="CI209" s="28"/>
      <c r="CJ209" s="28"/>
      <c r="CK209" s="28"/>
      <c r="CL209" s="28"/>
      <c r="CM209" s="28"/>
      <c r="CN209" s="28"/>
      <c r="CO209" s="28"/>
      <c r="CP209" s="28"/>
      <c r="CQ209" s="28"/>
      <c r="CR209" s="28"/>
      <c r="CS209" s="28"/>
      <c r="CT209" s="28"/>
      <c r="CU209" s="28"/>
      <c r="CV209" s="28"/>
      <c r="CW209" s="28"/>
      <c r="CX209" s="28"/>
      <c r="CY209" s="28"/>
      <c r="CZ209" s="28"/>
      <c r="DA209" s="28"/>
      <c r="DB209" s="28"/>
      <c r="DC209" s="28"/>
      <c r="DD209" s="28"/>
      <c r="DE209" s="28"/>
      <c r="DF209" s="28"/>
      <c r="DG209" s="28"/>
      <c r="DH209" s="28"/>
      <c r="DI209" s="28"/>
      <c r="DJ209" s="28"/>
      <c r="DK209" s="28"/>
      <c r="DL209" s="28"/>
      <c r="DM209" s="28"/>
      <c r="DN209" s="28"/>
      <c r="DO209" s="28"/>
      <c r="DP209" s="28"/>
      <c r="DQ209" s="28"/>
      <c r="DR209" s="28"/>
      <c r="DS209" s="28"/>
      <c r="DT209" s="28"/>
      <c r="DU209" s="28"/>
      <c r="DV209" s="28"/>
      <c r="DW209" s="28"/>
      <c r="DX209" s="28"/>
      <c r="DY209" s="28"/>
      <c r="DZ209" s="28"/>
      <c r="EA209" s="28"/>
      <c r="EB209" s="28"/>
      <c r="EC209" s="28"/>
      <c r="ED209" s="28"/>
      <c r="EE209" s="28"/>
      <c r="EF209" s="28"/>
      <c r="EG209" s="28"/>
      <c r="EH209" s="28"/>
      <c r="EI209" s="28"/>
      <c r="EJ209" s="28">
        <v>14</v>
      </c>
      <c r="EK209" s="28"/>
      <c r="EL209" s="28"/>
      <c r="EM209" s="28"/>
      <c r="EN209" s="28"/>
      <c r="EO209" s="28"/>
      <c r="EP209" s="28"/>
      <c r="EQ209" s="28"/>
      <c r="ER209" s="28"/>
      <c r="ES209" s="28"/>
      <c r="ET209" s="28"/>
      <c r="EU209" s="28"/>
      <c r="EV209" s="28"/>
      <c r="EW209" s="28"/>
      <c r="EX209" s="28"/>
      <c r="EY209" s="28"/>
      <c r="EZ209" s="28"/>
      <c r="FA209" s="28"/>
      <c r="FB209" s="28">
        <v>5</v>
      </c>
      <c r="FC209" s="28"/>
      <c r="FD209" s="28"/>
      <c r="FE209" s="28"/>
      <c r="FF209" s="28"/>
      <c r="FG209" s="28"/>
      <c r="FH209" s="28"/>
      <c r="FI209" s="28"/>
      <c r="FJ209" s="28"/>
      <c r="FK209" s="28"/>
      <c r="FL209" s="28"/>
      <c r="FM209" s="28"/>
      <c r="FN209" s="28"/>
      <c r="FO209" s="28"/>
      <c r="FP209" s="28"/>
      <c r="FQ209" s="28"/>
      <c r="FR209" s="28">
        <v>2</v>
      </c>
      <c r="FS209" s="28">
        <v>142</v>
      </c>
      <c r="FT209" s="28"/>
      <c r="FU209" s="28"/>
      <c r="FV209" s="28"/>
      <c r="FW209" s="28"/>
      <c r="FX209" s="28"/>
      <c r="FY209" s="28"/>
      <c r="FZ209" s="28"/>
      <c r="GA209" s="28"/>
      <c r="GB209" s="28"/>
      <c r="GC209" s="28"/>
      <c r="GD209" s="28"/>
      <c r="GE209" s="28"/>
      <c r="GF209" s="28"/>
      <c r="GG209" s="28"/>
      <c r="GH209" s="28"/>
      <c r="GI209" s="28"/>
      <c r="GJ209" s="28"/>
      <c r="GK209" s="28"/>
      <c r="GL209" s="28"/>
      <c r="GM209" s="28"/>
      <c r="GN209" s="28"/>
      <c r="GO209" s="28"/>
      <c r="GP209" s="28"/>
      <c r="GQ209" s="28"/>
      <c r="GR209" s="28"/>
      <c r="GS209" s="28"/>
      <c r="GT209" s="28"/>
      <c r="GU209" s="28"/>
      <c r="GV209" s="28"/>
      <c r="GW209" s="28"/>
      <c r="GX209" s="28"/>
      <c r="GY209" s="28"/>
      <c r="GZ209" s="28"/>
      <c r="HA209" s="28"/>
      <c r="HB209" s="28"/>
      <c r="HC209" s="28"/>
      <c r="HD209" s="28"/>
      <c r="HE209" s="28"/>
      <c r="HF209" s="28"/>
      <c r="HG209" s="28"/>
      <c r="HH209" s="28"/>
      <c r="HI209" s="28"/>
    </row>
    <row r="210" spans="1:217" ht="13" x14ac:dyDescent="0.15">
      <c r="A210" s="27">
        <v>43566</v>
      </c>
      <c r="B210" s="28" t="s">
        <v>246</v>
      </c>
      <c r="C210" s="16">
        <f t="shared" si="123"/>
        <v>197</v>
      </c>
      <c r="D210" s="28">
        <v>21.2882</v>
      </c>
      <c r="E210" s="28">
        <v>-157.66799900000001</v>
      </c>
      <c r="F210" s="28" t="s">
        <v>548</v>
      </c>
      <c r="G210" s="29">
        <v>0.3888888888888889</v>
      </c>
      <c r="H210" s="29">
        <v>0.46180555555555558</v>
      </c>
      <c r="I210" s="28">
        <v>5</v>
      </c>
      <c r="J210" s="28">
        <v>10</v>
      </c>
      <c r="K210" s="28" t="s">
        <v>198</v>
      </c>
      <c r="L210" s="28">
        <v>6</v>
      </c>
      <c r="M210" s="28">
        <v>11</v>
      </c>
      <c r="N210" s="28" t="s">
        <v>550</v>
      </c>
      <c r="O210" s="28"/>
      <c r="P210" s="28"/>
      <c r="Q210" s="28"/>
      <c r="R210" s="28"/>
      <c r="S210" s="28"/>
      <c r="T210" s="28"/>
      <c r="U210" s="28"/>
      <c r="V210" s="28"/>
      <c r="W210" s="28"/>
      <c r="X210" s="28"/>
      <c r="Y210" s="28"/>
      <c r="Z210" s="28"/>
      <c r="AA210" s="28"/>
      <c r="AB210" s="28"/>
      <c r="AC210" s="28"/>
      <c r="AD210" s="28"/>
      <c r="AE210" s="28"/>
      <c r="AF210" s="28"/>
      <c r="AG210" s="28">
        <v>1</v>
      </c>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v>1</v>
      </c>
      <c r="BF210" s="28"/>
      <c r="BG210" s="28"/>
      <c r="BH210" s="28"/>
      <c r="BI210" s="28"/>
      <c r="BJ210" s="28"/>
      <c r="BK210" s="28"/>
      <c r="BL210" s="28"/>
      <c r="BM210" s="28"/>
      <c r="BN210" s="28"/>
      <c r="BO210" s="28"/>
      <c r="BP210" s="28"/>
      <c r="BQ210" s="28"/>
      <c r="BR210" s="28"/>
      <c r="BS210" s="28"/>
      <c r="BT210" s="28"/>
      <c r="BU210" s="28"/>
      <c r="BV210" s="28"/>
      <c r="BW210" s="28"/>
      <c r="BX210" s="28"/>
      <c r="BY210" s="28"/>
      <c r="BZ210" s="28"/>
      <c r="CA210" s="28"/>
      <c r="CB210" s="28"/>
      <c r="CC210" s="28"/>
      <c r="CD210" s="28"/>
      <c r="CE210" s="28"/>
      <c r="CF210" s="28"/>
      <c r="CG210" s="28"/>
      <c r="CH210" s="28"/>
      <c r="CI210" s="28"/>
      <c r="CJ210" s="28"/>
      <c r="CK210" s="28"/>
      <c r="CL210" s="28"/>
      <c r="CM210" s="28"/>
      <c r="CN210" s="28"/>
      <c r="CO210" s="28"/>
      <c r="CP210" s="28"/>
      <c r="CQ210" s="28"/>
      <c r="CR210" s="28"/>
      <c r="CS210" s="28"/>
      <c r="CT210" s="28"/>
      <c r="CU210" s="28"/>
      <c r="CV210" s="28"/>
      <c r="CW210" s="28"/>
      <c r="CX210" s="28"/>
      <c r="CY210" s="28"/>
      <c r="CZ210" s="28"/>
      <c r="DA210" s="28"/>
      <c r="DB210" s="28"/>
      <c r="DC210" s="28"/>
      <c r="DD210" s="28"/>
      <c r="DE210" s="28"/>
      <c r="DF210" s="28"/>
      <c r="DG210" s="28"/>
      <c r="DH210" s="28"/>
      <c r="DI210" s="28"/>
      <c r="DJ210" s="28"/>
      <c r="DK210" s="28"/>
      <c r="DL210" s="28"/>
      <c r="DM210" s="28"/>
      <c r="DN210" s="28"/>
      <c r="DO210" s="28"/>
      <c r="DP210" s="28"/>
      <c r="DQ210" s="28"/>
      <c r="DR210" s="28"/>
      <c r="DS210" s="28"/>
      <c r="DT210" s="28"/>
      <c r="DU210" s="28"/>
      <c r="DV210" s="28"/>
      <c r="DW210" s="28"/>
      <c r="DX210" s="28"/>
      <c r="DY210" s="28"/>
      <c r="DZ210" s="28"/>
      <c r="EA210" s="28"/>
      <c r="EB210" s="28"/>
      <c r="EC210" s="28"/>
      <c r="ED210" s="28"/>
      <c r="EE210" s="28"/>
      <c r="EF210" s="28"/>
      <c r="EG210" s="28"/>
      <c r="EH210" s="28"/>
      <c r="EI210" s="28">
        <v>1</v>
      </c>
      <c r="EJ210" s="28">
        <v>2</v>
      </c>
      <c r="EK210" s="28"/>
      <c r="EL210" s="28"/>
      <c r="EM210" s="28"/>
      <c r="EN210" s="28"/>
      <c r="EO210" s="28"/>
      <c r="EP210" s="28"/>
      <c r="EQ210" s="28"/>
      <c r="ER210" s="28"/>
      <c r="ES210" s="28"/>
      <c r="ET210" s="28"/>
      <c r="EU210" s="28"/>
      <c r="EV210" s="28"/>
      <c r="EW210" s="28"/>
      <c r="EX210" s="28"/>
      <c r="EY210" s="28"/>
      <c r="EZ210" s="28"/>
      <c r="FA210" s="28"/>
      <c r="FB210" s="28"/>
      <c r="FC210" s="28"/>
      <c r="FD210" s="28"/>
      <c r="FE210" s="28"/>
      <c r="FF210" s="28"/>
      <c r="FG210" s="28"/>
      <c r="FH210" s="28"/>
      <c r="FI210" s="28"/>
      <c r="FJ210" s="28"/>
      <c r="FK210" s="28"/>
      <c r="FL210" s="28"/>
      <c r="FM210" s="28"/>
      <c r="FN210" s="28"/>
      <c r="FO210" s="28"/>
      <c r="FP210" s="28"/>
      <c r="FQ210" s="28"/>
      <c r="FR210" s="28">
        <v>1</v>
      </c>
      <c r="FS210" s="28">
        <v>34</v>
      </c>
      <c r="FT210" s="28"/>
      <c r="FU210" s="28"/>
      <c r="FV210" s="28"/>
      <c r="FW210" s="28"/>
      <c r="FX210" s="28"/>
      <c r="FY210" s="28"/>
      <c r="FZ210" s="28"/>
      <c r="GA210" s="28"/>
      <c r="GB210" s="28"/>
      <c r="GC210" s="28"/>
      <c r="GD210" s="28">
        <v>12</v>
      </c>
      <c r="GE210" s="28"/>
      <c r="GF210" s="28"/>
      <c r="GG210" s="28"/>
      <c r="GH210" s="28"/>
      <c r="GI210" s="28"/>
      <c r="GJ210" s="28"/>
      <c r="GK210" s="28"/>
      <c r="GL210" s="28"/>
      <c r="GM210" s="28"/>
      <c r="GN210" s="28"/>
      <c r="GO210" s="28"/>
      <c r="GP210" s="28"/>
      <c r="GQ210" s="28"/>
      <c r="GR210" s="28"/>
      <c r="GS210" s="28"/>
      <c r="GT210" s="28"/>
      <c r="GU210" s="28"/>
      <c r="GV210" s="28"/>
      <c r="GW210" s="28"/>
      <c r="GX210" s="28"/>
      <c r="GY210" s="28"/>
      <c r="GZ210" s="28"/>
      <c r="HA210" s="28"/>
      <c r="HB210" s="28"/>
      <c r="HC210" s="28"/>
      <c r="HD210" s="28"/>
      <c r="HE210" s="28"/>
      <c r="HF210" s="28"/>
      <c r="HG210" s="28"/>
      <c r="HH210" s="28"/>
      <c r="HI210" s="28"/>
    </row>
    <row r="211" spans="1:217" ht="13" x14ac:dyDescent="0.15">
      <c r="A211" s="24">
        <v>43566</v>
      </c>
      <c r="B211" s="25" t="s">
        <v>473</v>
      </c>
      <c r="C211" s="16">
        <f t="shared" si="123"/>
        <v>198</v>
      </c>
      <c r="D211" s="25">
        <v>21.3962</v>
      </c>
      <c r="E211" s="25">
        <v>-157.72030599999999</v>
      </c>
      <c r="F211" s="25" t="s">
        <v>418</v>
      </c>
      <c r="G211" s="26">
        <v>0.41666666666666669</v>
      </c>
      <c r="H211" s="26">
        <v>0.47916666666666669</v>
      </c>
      <c r="I211" s="25">
        <v>6</v>
      </c>
      <c r="J211" s="25">
        <v>11</v>
      </c>
      <c r="K211" s="25" t="s">
        <v>318</v>
      </c>
      <c r="L211" s="25">
        <v>10</v>
      </c>
      <c r="M211" s="25">
        <v>40</v>
      </c>
      <c r="N211" s="25" t="s">
        <v>474</v>
      </c>
      <c r="O211" s="25"/>
      <c r="P211" s="25"/>
      <c r="Q211" s="25"/>
      <c r="R211" s="25"/>
      <c r="S211" s="25"/>
      <c r="T211" s="25"/>
      <c r="U211" s="25"/>
      <c r="V211" s="25"/>
      <c r="W211" s="25"/>
      <c r="X211" s="25"/>
      <c r="Y211" s="25"/>
      <c r="Z211" s="25"/>
      <c r="AA211" s="25"/>
      <c r="AB211" s="25"/>
      <c r="AC211" s="25"/>
      <c r="AD211" s="25">
        <v>39</v>
      </c>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v>195</v>
      </c>
      <c r="BN211" s="25"/>
      <c r="BO211" s="25"/>
      <c r="BP211" s="25"/>
      <c r="BQ211" s="25"/>
      <c r="BR211" s="25"/>
      <c r="BS211" s="25"/>
      <c r="BT211" s="25"/>
      <c r="BU211" s="25"/>
      <c r="BV211" s="25"/>
      <c r="BW211" s="25"/>
      <c r="BX211" s="25"/>
      <c r="BY211" s="25"/>
      <c r="BZ211" s="25"/>
      <c r="CA211" s="25">
        <v>71</v>
      </c>
      <c r="CB211" s="25"/>
      <c r="CC211" s="25"/>
      <c r="CD211" s="25"/>
      <c r="CE211" s="25"/>
      <c r="CF211" s="25"/>
      <c r="CG211" s="25"/>
      <c r="CH211" s="25"/>
      <c r="CI211" s="25"/>
      <c r="CJ211" s="25"/>
      <c r="CK211" s="25"/>
      <c r="CL211" s="25"/>
      <c r="CM211" s="25"/>
      <c r="CN211" s="25"/>
      <c r="CO211" s="25"/>
      <c r="CP211" s="25"/>
      <c r="CQ211" s="25"/>
      <c r="CR211" s="25"/>
      <c r="CS211" s="25"/>
      <c r="CT211" s="25"/>
      <c r="CU211" s="25"/>
      <c r="CV211" s="25"/>
      <c r="CW211" s="25"/>
      <c r="CX211" s="25"/>
      <c r="CY211" s="25"/>
      <c r="CZ211" s="25"/>
      <c r="DA211" s="25"/>
      <c r="DB211" s="25"/>
      <c r="DC211" s="25"/>
      <c r="DD211" s="25"/>
      <c r="DE211" s="25"/>
      <c r="DF211" s="25"/>
      <c r="DG211" s="25"/>
      <c r="DH211" s="25">
        <v>23</v>
      </c>
      <c r="DI211" s="25"/>
      <c r="DJ211" s="25"/>
      <c r="DK211" s="25"/>
      <c r="DL211" s="25"/>
      <c r="DM211" s="25"/>
      <c r="DN211" s="25"/>
      <c r="DO211" s="25"/>
      <c r="DP211" s="25">
        <v>18</v>
      </c>
      <c r="DQ211" s="25"/>
      <c r="DR211" s="25"/>
      <c r="DS211" s="25">
        <v>2</v>
      </c>
      <c r="DT211" s="25"/>
      <c r="DU211" s="25"/>
      <c r="DV211" s="25"/>
      <c r="DW211" s="25"/>
      <c r="DX211" s="25"/>
      <c r="DY211" s="25"/>
      <c r="DZ211" s="25"/>
      <c r="EA211" s="25"/>
      <c r="EB211" s="25"/>
      <c r="EC211" s="25"/>
      <c r="ED211" s="25"/>
      <c r="EE211" s="25"/>
      <c r="EF211" s="25"/>
      <c r="EG211" s="25"/>
      <c r="EH211" s="25"/>
      <c r="EI211" s="25"/>
      <c r="EJ211" s="25"/>
      <c r="EK211" s="25"/>
      <c r="EL211" s="25"/>
      <c r="EM211" s="25"/>
      <c r="EN211" s="25">
        <v>5</v>
      </c>
      <c r="EO211" s="25"/>
      <c r="EP211" s="25"/>
      <c r="EQ211" s="25"/>
      <c r="ER211" s="25"/>
      <c r="ES211" s="25"/>
      <c r="ET211" s="25"/>
      <c r="EU211" s="25"/>
      <c r="EV211" s="25"/>
      <c r="EW211" s="25"/>
      <c r="EX211" s="25"/>
      <c r="EY211" s="25"/>
      <c r="EZ211" s="25"/>
      <c r="FA211" s="25"/>
      <c r="FB211" s="25"/>
      <c r="FC211" s="25">
        <v>3</v>
      </c>
      <c r="FD211" s="25"/>
      <c r="FE211" s="25"/>
      <c r="FF211" s="25"/>
      <c r="FG211" s="25"/>
      <c r="FH211" s="25"/>
      <c r="FI211" s="25"/>
      <c r="FJ211" s="25"/>
      <c r="FK211" s="25"/>
      <c r="FL211" s="25"/>
      <c r="FM211" s="25"/>
      <c r="FN211" s="25"/>
      <c r="FO211" s="25"/>
      <c r="FP211" s="25"/>
      <c r="FQ211" s="25"/>
      <c r="FR211" s="25"/>
      <c r="FS211" s="25">
        <v>54</v>
      </c>
      <c r="FT211" s="25"/>
      <c r="FU211" s="25"/>
      <c r="FV211" s="25"/>
      <c r="FW211" s="25"/>
      <c r="FX211" s="25"/>
      <c r="FY211" s="25"/>
      <c r="FZ211" s="25"/>
      <c r="GA211" s="25"/>
      <c r="GB211" s="25"/>
      <c r="GC211" s="25"/>
      <c r="GD211" s="25"/>
      <c r="GE211" s="25"/>
      <c r="GF211" s="25"/>
      <c r="GG211" s="25"/>
      <c r="GH211" s="25">
        <f>COUNT(R211:GG211)</f>
        <v>9</v>
      </c>
      <c r="GI211" s="25">
        <f>COUNTIF(R211:GG211,"&gt;=2")</f>
        <v>9</v>
      </c>
      <c r="GJ211" s="25">
        <f>COUNTIF(R211:GG211,"&gt;=5")</f>
        <v>7</v>
      </c>
      <c r="GK211" s="25">
        <f>SUM(R211:GG211)</f>
        <v>410</v>
      </c>
      <c r="GL211" s="25">
        <f>25*P211</f>
        <v>0</v>
      </c>
      <c r="GM211" s="25">
        <f>GL211-GK211</f>
        <v>-410</v>
      </c>
      <c r="GN211" s="25"/>
      <c r="GO211" s="25"/>
      <c r="GP211" s="25"/>
      <c r="GQ211" s="25"/>
      <c r="GR211" s="25"/>
      <c r="GS211" s="25"/>
      <c r="GT211" s="25"/>
      <c r="GU211" s="25"/>
      <c r="GV211" s="25"/>
      <c r="GW211" s="25"/>
      <c r="GX211" s="25"/>
      <c r="GY211" s="25"/>
      <c r="GZ211" s="25"/>
      <c r="HA211" s="25"/>
      <c r="HB211" s="25"/>
      <c r="HC211" s="25"/>
      <c r="HD211" s="25"/>
      <c r="HE211" s="25"/>
      <c r="HF211" s="25"/>
      <c r="HG211" s="25"/>
      <c r="HH211" s="25"/>
      <c r="HI211" s="25"/>
    </row>
    <row r="212" spans="1:217" ht="13" x14ac:dyDescent="0.15">
      <c r="A212" s="27">
        <v>43567</v>
      </c>
      <c r="B212" s="28" t="s">
        <v>473</v>
      </c>
      <c r="C212" s="16">
        <f t="shared" si="123"/>
        <v>199</v>
      </c>
      <c r="D212" s="28">
        <v>21.3962</v>
      </c>
      <c r="E212" s="28">
        <v>-157.72030599999999</v>
      </c>
      <c r="F212" s="28" t="s">
        <v>418</v>
      </c>
      <c r="G212" s="29">
        <v>0.41666666666666669</v>
      </c>
      <c r="H212" s="29">
        <v>0.5</v>
      </c>
      <c r="I212" s="28">
        <v>5</v>
      </c>
      <c r="J212" s="28">
        <v>15</v>
      </c>
      <c r="K212" s="28" t="s">
        <v>314</v>
      </c>
      <c r="L212" s="28">
        <v>5</v>
      </c>
      <c r="M212" s="28">
        <v>9</v>
      </c>
      <c r="N212" s="28" t="s">
        <v>551</v>
      </c>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v>7</v>
      </c>
      <c r="BN212" s="28"/>
      <c r="BO212" s="28"/>
      <c r="BP212" s="28"/>
      <c r="BQ212" s="28">
        <v>33</v>
      </c>
      <c r="BR212" s="28"/>
      <c r="BS212" s="28"/>
      <c r="BT212" s="28"/>
      <c r="BU212" s="28"/>
      <c r="BV212" s="28"/>
      <c r="BW212" s="28"/>
      <c r="BX212" s="28"/>
      <c r="BY212" s="28"/>
      <c r="BZ212" s="28"/>
      <c r="CA212" s="28"/>
      <c r="CB212" s="28"/>
      <c r="CC212" s="28"/>
      <c r="CD212" s="28"/>
      <c r="CE212" s="28"/>
      <c r="CF212" s="28"/>
      <c r="CG212" s="28"/>
      <c r="CH212" s="28"/>
      <c r="CI212" s="28"/>
      <c r="CJ212" s="28"/>
      <c r="CK212" s="28"/>
      <c r="CL212" s="28"/>
      <c r="CM212" s="28"/>
      <c r="CN212" s="28"/>
      <c r="CO212" s="28"/>
      <c r="CP212" s="28"/>
      <c r="CQ212" s="28"/>
      <c r="CR212" s="28"/>
      <c r="CS212" s="28"/>
      <c r="CT212" s="28"/>
      <c r="CU212" s="28"/>
      <c r="CV212" s="28"/>
      <c r="CW212" s="28"/>
      <c r="CX212" s="28"/>
      <c r="CY212" s="28"/>
      <c r="CZ212" s="28"/>
      <c r="DA212" s="28"/>
      <c r="DB212" s="28"/>
      <c r="DC212" s="28"/>
      <c r="DD212" s="28"/>
      <c r="DE212" s="28"/>
      <c r="DF212" s="28"/>
      <c r="DG212" s="28"/>
      <c r="DH212" s="28"/>
      <c r="DI212" s="28"/>
      <c r="DJ212" s="28"/>
      <c r="DK212" s="28"/>
      <c r="DL212" s="28"/>
      <c r="DM212" s="28"/>
      <c r="DN212" s="28"/>
      <c r="DO212" s="28"/>
      <c r="DP212" s="28">
        <v>18</v>
      </c>
      <c r="DQ212" s="28"/>
      <c r="DR212" s="28"/>
      <c r="DS212" s="28"/>
      <c r="DT212" s="28"/>
      <c r="DU212" s="28"/>
      <c r="DV212" s="28"/>
      <c r="DW212" s="28"/>
      <c r="DX212" s="28"/>
      <c r="DY212" s="28"/>
      <c r="DZ212" s="28"/>
      <c r="EA212" s="28"/>
      <c r="EB212" s="28"/>
      <c r="EC212" s="28"/>
      <c r="ED212" s="28"/>
      <c r="EE212" s="28"/>
      <c r="EF212" s="28"/>
      <c r="EG212" s="28"/>
      <c r="EH212" s="28"/>
      <c r="EI212" s="28"/>
      <c r="EJ212" s="28"/>
      <c r="EK212" s="28"/>
      <c r="EL212" s="28"/>
      <c r="EM212" s="28"/>
      <c r="EN212" s="28"/>
      <c r="EO212" s="28"/>
      <c r="EP212" s="28"/>
      <c r="EQ212" s="28"/>
      <c r="ER212" s="28"/>
      <c r="ES212" s="28"/>
      <c r="ET212" s="28"/>
      <c r="EU212" s="28"/>
      <c r="EV212" s="28"/>
      <c r="EW212" s="28"/>
      <c r="EX212" s="28"/>
      <c r="EY212" s="28"/>
      <c r="EZ212" s="28"/>
      <c r="FA212" s="28"/>
      <c r="FB212" s="28"/>
      <c r="FC212" s="28"/>
      <c r="FD212" s="28"/>
      <c r="FE212" s="28"/>
      <c r="FF212" s="28"/>
      <c r="FG212" s="28"/>
      <c r="FH212" s="28"/>
      <c r="FI212" s="28"/>
      <c r="FJ212" s="28"/>
      <c r="FK212" s="28"/>
      <c r="FL212" s="28"/>
      <c r="FM212" s="28"/>
      <c r="FN212" s="28"/>
      <c r="FO212" s="28"/>
      <c r="FP212" s="28"/>
      <c r="FQ212" s="28"/>
      <c r="FR212" s="28"/>
      <c r="FS212" s="28">
        <v>30</v>
      </c>
      <c r="FT212" s="28"/>
      <c r="FU212" s="28"/>
      <c r="FV212" s="28"/>
      <c r="FW212" s="28"/>
      <c r="FX212" s="28"/>
      <c r="FY212" s="28"/>
      <c r="FZ212" s="28"/>
      <c r="GA212" s="28"/>
      <c r="GB212" s="28"/>
      <c r="GC212" s="28"/>
      <c r="GD212" s="28"/>
      <c r="GE212" s="28"/>
      <c r="GF212" s="28"/>
      <c r="GG212" s="28"/>
      <c r="GH212" s="28"/>
      <c r="GI212" s="28"/>
      <c r="GJ212" s="28"/>
      <c r="GK212" s="28"/>
      <c r="GL212" s="28"/>
      <c r="GM212" s="28"/>
      <c r="GN212" s="28"/>
      <c r="GO212" s="28"/>
      <c r="GP212" s="28"/>
      <c r="GQ212" s="28"/>
      <c r="GR212" s="28"/>
      <c r="GS212" s="28"/>
      <c r="GT212" s="28"/>
      <c r="GU212" s="28"/>
      <c r="GV212" s="28"/>
      <c r="GW212" s="28"/>
      <c r="GX212" s="28"/>
      <c r="GY212" s="28"/>
      <c r="GZ212" s="28"/>
      <c r="HA212" s="28"/>
      <c r="HB212" s="28"/>
      <c r="HC212" s="28"/>
      <c r="HD212" s="28"/>
      <c r="HE212" s="28"/>
      <c r="HF212" s="28"/>
      <c r="HG212" s="28"/>
      <c r="HH212" s="28"/>
      <c r="HI212" s="28"/>
    </row>
    <row r="213" spans="1:217" ht="13" x14ac:dyDescent="0.15">
      <c r="A213" s="13">
        <v>43571</v>
      </c>
      <c r="B213" s="3" t="s">
        <v>244</v>
      </c>
      <c r="C213" s="16">
        <f t="shared" si="123"/>
        <v>200</v>
      </c>
      <c r="D213" s="3">
        <v>21.310611999999999</v>
      </c>
      <c r="E213" s="3">
        <v>-158.00441000000001</v>
      </c>
      <c r="F213" s="3" t="s">
        <v>326</v>
      </c>
      <c r="G213" s="14">
        <v>0.3888888888888889</v>
      </c>
      <c r="H213" s="14">
        <v>0.41319444444444442</v>
      </c>
      <c r="I213" s="3">
        <v>5</v>
      </c>
      <c r="J213" s="3">
        <v>20</v>
      </c>
      <c r="K213" s="3" t="s">
        <v>198</v>
      </c>
      <c r="L213" s="3">
        <v>5</v>
      </c>
      <c r="M213" s="3">
        <v>20</v>
      </c>
      <c r="N213" s="3" t="s">
        <v>476</v>
      </c>
      <c r="P213" s="3">
        <v>20</v>
      </c>
      <c r="R213" s="3">
        <v>6</v>
      </c>
      <c r="AE213" s="3">
        <v>1</v>
      </c>
      <c r="AN213" s="3">
        <v>1</v>
      </c>
      <c r="BA213" s="3"/>
      <c r="BB213" s="3">
        <v>1</v>
      </c>
      <c r="BC213" s="3">
        <v>17</v>
      </c>
      <c r="BE213" s="3">
        <v>22</v>
      </c>
      <c r="BV213" s="3">
        <v>9</v>
      </c>
      <c r="BZ213" s="3">
        <v>22</v>
      </c>
      <c r="CI213" s="3"/>
      <c r="CJ213" s="3"/>
      <c r="CK213" s="3">
        <v>1</v>
      </c>
      <c r="CO213" s="3">
        <v>2</v>
      </c>
      <c r="DM213" s="3">
        <v>19</v>
      </c>
      <c r="DO213" s="3">
        <v>2</v>
      </c>
      <c r="DT213" s="3"/>
      <c r="DU213" s="3"/>
      <c r="DV213" s="3">
        <v>4</v>
      </c>
      <c r="EC213" s="3">
        <v>9</v>
      </c>
      <c r="EE213" s="3"/>
      <c r="EF213" s="3"/>
      <c r="EG213" s="3"/>
      <c r="EH213" s="3"/>
      <c r="EI213" s="3"/>
      <c r="EJ213" s="3">
        <v>111</v>
      </c>
      <c r="EX213" s="3">
        <v>3</v>
      </c>
      <c r="FR213" s="3">
        <v>3</v>
      </c>
      <c r="FS213" s="3">
        <v>65</v>
      </c>
      <c r="GH213" s="3">
        <f t="shared" ref="GH213:GH221" si="124">COUNT(R213:GG213)</f>
        <v>18</v>
      </c>
      <c r="GI213" s="3">
        <f t="shared" ref="GI213:GI221" si="125">COUNTIF(R213:GG213,"&gt;=2")</f>
        <v>14</v>
      </c>
      <c r="GJ213" s="3">
        <f t="shared" ref="GJ213:GJ221" si="126">COUNTIF(R213:GG213,"&gt;=5")</f>
        <v>9</v>
      </c>
      <c r="GK213" s="3">
        <f t="shared" ref="GK213:GK221" si="127">SUM(R213:GG213)</f>
        <v>298</v>
      </c>
      <c r="GL213" s="3">
        <f t="shared" ref="GL213:GL221" si="128">25*P213</f>
        <v>500</v>
      </c>
      <c r="GM213" s="3">
        <f t="shared" ref="GM213:GM221" si="129">GL213-GK213</f>
        <v>202</v>
      </c>
    </row>
    <row r="214" spans="1:217" ht="13" x14ac:dyDescent="0.15">
      <c r="A214" s="13">
        <v>43571</v>
      </c>
      <c r="B214" s="3" t="s">
        <v>201</v>
      </c>
      <c r="C214" s="16">
        <f t="shared" si="123"/>
        <v>201</v>
      </c>
      <c r="D214" s="3">
        <v>21.25544</v>
      </c>
      <c r="E214" s="3">
        <v>-157.810303</v>
      </c>
      <c r="F214" s="3" t="s">
        <v>477</v>
      </c>
      <c r="G214" s="14">
        <v>0.3576388888888889</v>
      </c>
      <c r="H214" s="14">
        <v>0.41666666666666669</v>
      </c>
      <c r="I214" s="3">
        <v>6</v>
      </c>
      <c r="J214" s="3">
        <v>12.5</v>
      </c>
      <c r="K214" s="3" t="s">
        <v>318</v>
      </c>
      <c r="L214" s="3">
        <v>5</v>
      </c>
      <c r="M214" s="3">
        <v>28</v>
      </c>
      <c r="N214" s="3" t="s">
        <v>478</v>
      </c>
      <c r="P214" s="3">
        <v>28</v>
      </c>
      <c r="BA214" s="3"/>
      <c r="BB214" s="3">
        <v>5</v>
      </c>
      <c r="BM214" s="3">
        <v>28</v>
      </c>
      <c r="BV214" s="3">
        <v>3</v>
      </c>
      <c r="BW214" s="3">
        <v>9</v>
      </c>
      <c r="BY214" s="3">
        <v>11</v>
      </c>
      <c r="DB214" s="3"/>
      <c r="DC214" s="3">
        <v>1</v>
      </c>
      <c r="DK214" s="3"/>
      <c r="DL214" s="3">
        <v>55</v>
      </c>
      <c r="DM214" s="3">
        <v>2</v>
      </c>
      <c r="DR214" s="3"/>
      <c r="DS214" s="3">
        <v>27</v>
      </c>
      <c r="DT214" s="3"/>
      <c r="DU214" s="3"/>
      <c r="DV214" s="3">
        <v>22</v>
      </c>
      <c r="EE214" s="3"/>
      <c r="EF214" s="3"/>
      <c r="EG214" s="3"/>
      <c r="EH214" s="3"/>
      <c r="EI214" s="3"/>
      <c r="EJ214" s="3">
        <v>95</v>
      </c>
      <c r="EY214" s="3"/>
      <c r="EZ214" s="3">
        <v>18</v>
      </c>
      <c r="FA214" s="3">
        <v>1</v>
      </c>
      <c r="FB214" s="3">
        <v>3</v>
      </c>
      <c r="FR214" s="3">
        <v>98</v>
      </c>
      <c r="FS214" s="3">
        <v>85</v>
      </c>
      <c r="GH214" s="3">
        <f t="shared" si="124"/>
        <v>16</v>
      </c>
      <c r="GI214" s="3">
        <f t="shared" si="125"/>
        <v>14</v>
      </c>
      <c r="GJ214" s="3">
        <f t="shared" si="126"/>
        <v>11</v>
      </c>
      <c r="GK214" s="3">
        <f t="shared" si="127"/>
        <v>463</v>
      </c>
      <c r="GL214" s="3">
        <f t="shared" si="128"/>
        <v>700</v>
      </c>
      <c r="GM214" s="3">
        <f t="shared" si="129"/>
        <v>237</v>
      </c>
    </row>
    <row r="215" spans="1:217" ht="13" x14ac:dyDescent="0.15">
      <c r="A215" s="13">
        <v>43572</v>
      </c>
      <c r="B215" s="3" t="s">
        <v>201</v>
      </c>
      <c r="C215" s="16">
        <f t="shared" si="123"/>
        <v>202</v>
      </c>
      <c r="D215" s="3">
        <v>21.25544</v>
      </c>
      <c r="E215" s="3">
        <v>-157.810303</v>
      </c>
      <c r="F215" s="3" t="s">
        <v>477</v>
      </c>
      <c r="G215" s="14">
        <v>0.3611111111111111</v>
      </c>
      <c r="H215" s="14">
        <v>0.41666666666666669</v>
      </c>
      <c r="I215" s="3">
        <v>5</v>
      </c>
      <c r="J215" s="3">
        <v>11</v>
      </c>
      <c r="K215" s="3" t="s">
        <v>318</v>
      </c>
      <c r="L215" s="3">
        <v>10</v>
      </c>
      <c r="M215" s="3">
        <v>46</v>
      </c>
      <c r="N215" s="3" t="s">
        <v>481</v>
      </c>
      <c r="P215" s="3">
        <v>46</v>
      </c>
      <c r="T215" s="3">
        <v>1</v>
      </c>
      <c r="Y215" s="3"/>
      <c r="Z215" s="3"/>
      <c r="AA215" s="3"/>
      <c r="AB215" s="3">
        <v>5</v>
      </c>
      <c r="AQ215" s="3"/>
      <c r="AR215" s="3">
        <v>1</v>
      </c>
      <c r="BC215" s="3">
        <v>1</v>
      </c>
      <c r="BM215" s="3">
        <v>92</v>
      </c>
      <c r="BU215" s="3">
        <v>14</v>
      </c>
      <c r="BV215" s="3">
        <v>4</v>
      </c>
      <c r="BW215" s="3">
        <v>9</v>
      </c>
      <c r="BX215" s="3">
        <v>6</v>
      </c>
      <c r="BZ215" s="3">
        <v>44</v>
      </c>
      <c r="DB215" s="3"/>
      <c r="DC215" s="3">
        <v>1</v>
      </c>
      <c r="DD215" s="3"/>
      <c r="DE215" s="3">
        <v>8</v>
      </c>
      <c r="DJ215" s="3">
        <v>5</v>
      </c>
      <c r="DK215" s="3"/>
      <c r="DL215" s="3">
        <v>4</v>
      </c>
      <c r="DR215" s="3"/>
      <c r="DS215" s="3">
        <v>68</v>
      </c>
      <c r="DT215" s="3"/>
      <c r="DU215" s="3"/>
      <c r="DV215" s="3">
        <v>3</v>
      </c>
      <c r="EE215" s="3"/>
      <c r="EF215" s="3"/>
      <c r="EG215" s="3"/>
      <c r="EH215" s="3"/>
      <c r="EI215" s="3"/>
      <c r="EJ215" s="3">
        <v>471</v>
      </c>
      <c r="EY215" s="3"/>
      <c r="EZ215" s="3">
        <v>16</v>
      </c>
      <c r="FA215" s="3">
        <v>5</v>
      </c>
      <c r="FF215" s="3">
        <v>7</v>
      </c>
      <c r="FR215" s="3">
        <v>59</v>
      </c>
      <c r="FS215" s="3">
        <v>119</v>
      </c>
      <c r="FV215" s="3"/>
      <c r="FW215" s="3">
        <v>20</v>
      </c>
      <c r="GH215" s="3">
        <f t="shared" si="124"/>
        <v>23</v>
      </c>
      <c r="GI215" s="3">
        <f t="shared" si="125"/>
        <v>19</v>
      </c>
      <c r="GJ215" s="3">
        <f t="shared" si="126"/>
        <v>16</v>
      </c>
      <c r="GK215" s="3">
        <f t="shared" si="127"/>
        <v>963</v>
      </c>
      <c r="GL215" s="3">
        <f t="shared" si="128"/>
        <v>1150</v>
      </c>
      <c r="GM215" s="3">
        <f t="shared" si="129"/>
        <v>187</v>
      </c>
    </row>
    <row r="216" spans="1:217" ht="13" x14ac:dyDescent="0.15">
      <c r="A216" s="24">
        <v>43572</v>
      </c>
      <c r="B216" s="25" t="s">
        <v>259</v>
      </c>
      <c r="C216" s="16">
        <f t="shared" si="123"/>
        <v>203</v>
      </c>
      <c r="D216" s="25">
        <v>19.737894000000001</v>
      </c>
      <c r="E216" s="25">
        <v>-155.03405799999999</v>
      </c>
      <c r="F216" s="25" t="s">
        <v>482</v>
      </c>
      <c r="G216" s="26">
        <v>0.36805555555555558</v>
      </c>
      <c r="H216" s="26">
        <v>0.44791666666666669</v>
      </c>
      <c r="I216" s="25">
        <v>7</v>
      </c>
      <c r="J216" s="25">
        <v>20</v>
      </c>
      <c r="K216" s="25" t="s">
        <v>217</v>
      </c>
      <c r="L216" s="25">
        <v>5</v>
      </c>
      <c r="M216" s="25">
        <v>29</v>
      </c>
      <c r="N216" s="25" t="s">
        <v>483</v>
      </c>
      <c r="O216" s="25"/>
      <c r="P216" s="25"/>
      <c r="Q216" s="25"/>
      <c r="R216" s="25"/>
      <c r="S216" s="25"/>
      <c r="T216" s="25"/>
      <c r="U216" s="25"/>
      <c r="V216" s="25"/>
      <c r="W216" s="25"/>
      <c r="X216" s="25"/>
      <c r="Y216" s="25"/>
      <c r="Z216" s="25"/>
      <c r="AA216" s="25"/>
      <c r="AB216" s="25"/>
      <c r="AC216" s="25"/>
      <c r="AD216" s="25"/>
      <c r="AE216" s="25"/>
      <c r="AF216" s="25"/>
      <c r="AG216" s="25">
        <v>4</v>
      </c>
      <c r="AH216" s="25"/>
      <c r="AI216" s="25"/>
      <c r="AJ216" s="25"/>
      <c r="AK216" s="25"/>
      <c r="AL216" s="25"/>
      <c r="AM216" s="25">
        <v>94</v>
      </c>
      <c r="AN216" s="25"/>
      <c r="AO216" s="25"/>
      <c r="AP216" s="25">
        <v>1</v>
      </c>
      <c r="AQ216" s="25"/>
      <c r="AR216" s="25"/>
      <c r="AS216" s="25"/>
      <c r="AT216" s="25"/>
      <c r="AU216" s="25"/>
      <c r="AV216" s="25"/>
      <c r="AW216" s="25"/>
      <c r="AX216" s="25"/>
      <c r="AY216" s="25"/>
      <c r="AZ216" s="25"/>
      <c r="BA216" s="25"/>
      <c r="BB216" s="25">
        <v>12</v>
      </c>
      <c r="BC216" s="25"/>
      <c r="BD216" s="25"/>
      <c r="BE216" s="25"/>
      <c r="BF216" s="25"/>
      <c r="BG216" s="25"/>
      <c r="BH216" s="25"/>
      <c r="BI216" s="25"/>
      <c r="BJ216" s="25"/>
      <c r="BK216" s="25">
        <v>20</v>
      </c>
      <c r="BL216" s="25"/>
      <c r="BM216" s="25">
        <v>75</v>
      </c>
      <c r="BN216" s="25"/>
      <c r="BO216" s="25"/>
      <c r="BP216" s="25"/>
      <c r="BQ216" s="25"/>
      <c r="BR216" s="25"/>
      <c r="BS216" s="25"/>
      <c r="BT216" s="25"/>
      <c r="BU216" s="25"/>
      <c r="BV216" s="25"/>
      <c r="BW216" s="25"/>
      <c r="BX216" s="25"/>
      <c r="BY216" s="25"/>
      <c r="BZ216" s="25"/>
      <c r="CA216" s="25"/>
      <c r="CB216" s="25"/>
      <c r="CC216" s="25"/>
      <c r="CD216" s="25"/>
      <c r="CE216" s="25"/>
      <c r="CF216" s="25"/>
      <c r="CG216" s="25"/>
      <c r="CH216" s="25"/>
      <c r="CI216" s="25"/>
      <c r="CJ216" s="25"/>
      <c r="CK216" s="25"/>
      <c r="CL216" s="25"/>
      <c r="CM216" s="25"/>
      <c r="CN216" s="25"/>
      <c r="CO216" s="25">
        <v>11</v>
      </c>
      <c r="CP216" s="25"/>
      <c r="CQ216" s="25"/>
      <c r="CR216" s="25"/>
      <c r="CS216" s="25"/>
      <c r="CT216" s="25"/>
      <c r="CU216" s="25"/>
      <c r="CV216" s="25"/>
      <c r="CW216" s="25"/>
      <c r="CX216" s="25"/>
      <c r="CY216" s="25"/>
      <c r="CZ216" s="25"/>
      <c r="DA216" s="25"/>
      <c r="DB216" s="25"/>
      <c r="DC216" s="25"/>
      <c r="DD216" s="25"/>
      <c r="DE216" s="25"/>
      <c r="DF216" s="25"/>
      <c r="DG216" s="25"/>
      <c r="DH216" s="25">
        <v>28</v>
      </c>
      <c r="DI216" s="25"/>
      <c r="DJ216" s="25"/>
      <c r="DK216" s="25"/>
      <c r="DL216" s="25"/>
      <c r="DM216" s="25"/>
      <c r="DN216" s="25"/>
      <c r="DO216" s="25"/>
      <c r="DP216" s="25"/>
      <c r="DQ216" s="25"/>
      <c r="DR216" s="25"/>
      <c r="DS216" s="25"/>
      <c r="DT216" s="25"/>
      <c r="DU216" s="25"/>
      <c r="DV216" s="25"/>
      <c r="DW216" s="25"/>
      <c r="DX216" s="25"/>
      <c r="DY216" s="25"/>
      <c r="DZ216" s="25"/>
      <c r="EA216" s="25"/>
      <c r="EB216" s="25"/>
      <c r="EC216" s="25"/>
      <c r="ED216" s="25"/>
      <c r="EE216" s="25"/>
      <c r="EF216" s="25"/>
      <c r="EG216" s="25"/>
      <c r="EH216" s="25"/>
      <c r="EI216" s="25"/>
      <c r="EJ216" s="25"/>
      <c r="EK216" s="25"/>
      <c r="EL216" s="25"/>
      <c r="EM216" s="25"/>
      <c r="EN216" s="25"/>
      <c r="EO216" s="25"/>
      <c r="EP216" s="25"/>
      <c r="EQ216" s="25"/>
      <c r="ER216" s="25"/>
      <c r="ES216" s="25"/>
      <c r="ET216" s="25"/>
      <c r="EU216" s="25"/>
      <c r="EV216" s="25"/>
      <c r="EW216" s="25"/>
      <c r="EX216" s="25"/>
      <c r="EY216" s="25"/>
      <c r="EZ216" s="25"/>
      <c r="FA216" s="25"/>
      <c r="FB216" s="25"/>
      <c r="FC216" s="25"/>
      <c r="FD216" s="25"/>
      <c r="FE216" s="25">
        <v>17</v>
      </c>
      <c r="FF216" s="25"/>
      <c r="FG216" s="25"/>
      <c r="FH216" s="25"/>
      <c r="FI216" s="25"/>
      <c r="FJ216" s="25"/>
      <c r="FK216" s="25"/>
      <c r="FL216" s="25"/>
      <c r="FM216" s="25">
        <v>3</v>
      </c>
      <c r="FN216" s="25"/>
      <c r="FO216" s="25"/>
      <c r="FP216" s="25"/>
      <c r="FQ216" s="25"/>
      <c r="FR216" s="25"/>
      <c r="FS216" s="25">
        <v>186</v>
      </c>
      <c r="FT216" s="25"/>
      <c r="FU216" s="25"/>
      <c r="FV216" s="25"/>
      <c r="FW216" s="25">
        <v>8</v>
      </c>
      <c r="FX216" s="25"/>
      <c r="FY216" s="25"/>
      <c r="FZ216" s="25"/>
      <c r="GA216" s="25"/>
      <c r="GB216" s="25"/>
      <c r="GC216" s="25"/>
      <c r="GD216" s="25"/>
      <c r="GE216" s="25"/>
      <c r="GF216" s="25"/>
      <c r="GG216" s="25"/>
      <c r="GH216" s="25">
        <f t="shared" si="124"/>
        <v>12</v>
      </c>
      <c r="GI216" s="25">
        <f t="shared" si="125"/>
        <v>11</v>
      </c>
      <c r="GJ216" s="25">
        <f t="shared" si="126"/>
        <v>9</v>
      </c>
      <c r="GK216" s="25">
        <f t="shared" si="127"/>
        <v>459</v>
      </c>
      <c r="GL216" s="25">
        <f t="shared" si="128"/>
        <v>0</v>
      </c>
      <c r="GM216" s="25">
        <f t="shared" si="129"/>
        <v>-459</v>
      </c>
      <c r="GN216" s="25"/>
      <c r="GO216" s="25"/>
      <c r="GP216" s="25"/>
      <c r="GQ216" s="25"/>
      <c r="GR216" s="25"/>
      <c r="GS216" s="25"/>
      <c r="GT216" s="25"/>
      <c r="GU216" s="25"/>
      <c r="GV216" s="25"/>
      <c r="GW216" s="25"/>
      <c r="GX216" s="25"/>
      <c r="GY216" s="25"/>
      <c r="GZ216" s="25"/>
      <c r="HA216" s="25"/>
      <c r="HB216" s="25"/>
      <c r="HC216" s="25"/>
      <c r="HD216" s="25"/>
      <c r="HE216" s="25"/>
      <c r="HF216" s="25"/>
      <c r="HG216" s="25"/>
      <c r="HH216" s="25"/>
      <c r="HI216" s="25"/>
    </row>
    <row r="217" spans="1:217" ht="13" x14ac:dyDescent="0.15">
      <c r="A217" s="13">
        <v>43573</v>
      </c>
      <c r="B217" s="3" t="s">
        <v>340</v>
      </c>
      <c r="C217" s="16">
        <f t="shared" si="123"/>
        <v>204</v>
      </c>
      <c r="D217" s="3">
        <v>19.643276</v>
      </c>
      <c r="E217" s="3">
        <v>-156.01019299999999</v>
      </c>
      <c r="F217" s="3" t="s">
        <v>418</v>
      </c>
      <c r="G217" s="14">
        <v>0.41319444444444442</v>
      </c>
      <c r="H217" s="14">
        <v>0.47916666666666669</v>
      </c>
      <c r="I217" s="3">
        <v>4</v>
      </c>
      <c r="J217" s="3">
        <v>18</v>
      </c>
      <c r="K217" s="3" t="s">
        <v>198</v>
      </c>
      <c r="L217" s="3">
        <v>10</v>
      </c>
      <c r="M217" s="3">
        <v>26</v>
      </c>
      <c r="N217" s="3" t="s">
        <v>486</v>
      </c>
      <c r="P217" s="3">
        <v>26</v>
      </c>
      <c r="T217" s="3">
        <v>19</v>
      </c>
      <c r="AC217" s="3"/>
      <c r="AD217" s="3">
        <v>5</v>
      </c>
      <c r="AH217" s="3">
        <v>1</v>
      </c>
      <c r="AU217" s="3"/>
      <c r="AV217" s="3">
        <v>1</v>
      </c>
      <c r="BA217" s="3"/>
      <c r="BB217" s="3">
        <v>2</v>
      </c>
      <c r="BG217" s="3">
        <v>18</v>
      </c>
      <c r="BH217" s="3">
        <v>11</v>
      </c>
      <c r="BM217" s="3">
        <v>68</v>
      </c>
      <c r="BY217" s="3">
        <v>5</v>
      </c>
      <c r="CC217" s="3">
        <v>6</v>
      </c>
      <c r="CD217" s="3">
        <v>3</v>
      </c>
      <c r="DM217" s="3">
        <v>11</v>
      </c>
      <c r="DP217" s="3">
        <v>3</v>
      </c>
      <c r="DW217" s="3">
        <v>13</v>
      </c>
      <c r="EE217" s="3"/>
      <c r="EF217" s="3"/>
      <c r="EG217" s="3"/>
      <c r="EH217" s="3"/>
      <c r="EI217" s="3"/>
      <c r="EJ217" s="3">
        <v>10</v>
      </c>
      <c r="FB217" s="3">
        <v>48</v>
      </c>
      <c r="FS217" s="3">
        <v>117</v>
      </c>
      <c r="FZ217" s="3">
        <v>12</v>
      </c>
      <c r="GH217" s="3">
        <f t="shared" si="124"/>
        <v>18</v>
      </c>
      <c r="GI217" s="3">
        <f t="shared" si="125"/>
        <v>16</v>
      </c>
      <c r="GJ217" s="3">
        <f t="shared" si="126"/>
        <v>13</v>
      </c>
      <c r="GK217" s="3">
        <f t="shared" si="127"/>
        <v>353</v>
      </c>
      <c r="GL217" s="3">
        <f t="shared" si="128"/>
        <v>650</v>
      </c>
      <c r="GM217" s="3">
        <f t="shared" si="129"/>
        <v>297</v>
      </c>
    </row>
    <row r="218" spans="1:217" ht="13" x14ac:dyDescent="0.15">
      <c r="A218" s="24">
        <v>43573</v>
      </c>
      <c r="B218" s="25" t="s">
        <v>259</v>
      </c>
      <c r="C218" s="16">
        <f t="shared" si="123"/>
        <v>205</v>
      </c>
      <c r="D218" s="25">
        <v>19.737894000000001</v>
      </c>
      <c r="E218" s="25">
        <v>-155.03405799999999</v>
      </c>
      <c r="F218" s="25" t="s">
        <v>482</v>
      </c>
      <c r="G218" s="26">
        <v>0.375</v>
      </c>
      <c r="H218" s="26">
        <v>0.44791666666666669</v>
      </c>
      <c r="I218" s="25">
        <v>7</v>
      </c>
      <c r="J218" s="25">
        <v>20</v>
      </c>
      <c r="K218" s="25" t="s">
        <v>217</v>
      </c>
      <c r="L218" s="25">
        <v>5</v>
      </c>
      <c r="M218" s="25">
        <v>33</v>
      </c>
      <c r="N218" s="25" t="s">
        <v>487</v>
      </c>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v>49</v>
      </c>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v>24</v>
      </c>
      <c r="BL218" s="25"/>
      <c r="BM218" s="25">
        <v>36</v>
      </c>
      <c r="BN218" s="25"/>
      <c r="BO218" s="25"/>
      <c r="BP218" s="25"/>
      <c r="BQ218" s="25"/>
      <c r="BR218" s="25"/>
      <c r="BS218" s="25"/>
      <c r="BT218" s="25"/>
      <c r="BU218" s="25"/>
      <c r="BV218" s="25"/>
      <c r="BW218" s="25"/>
      <c r="BX218" s="25"/>
      <c r="BY218" s="25"/>
      <c r="BZ218" s="25"/>
      <c r="CA218" s="25"/>
      <c r="CB218" s="25"/>
      <c r="CC218" s="25"/>
      <c r="CD218" s="25">
        <v>1</v>
      </c>
      <c r="CE218" s="25"/>
      <c r="CF218" s="25"/>
      <c r="CG218" s="25"/>
      <c r="CH218" s="25"/>
      <c r="CI218" s="25"/>
      <c r="CJ218" s="25"/>
      <c r="CK218" s="25"/>
      <c r="CL218" s="25"/>
      <c r="CM218" s="25"/>
      <c r="CN218" s="25"/>
      <c r="CO218" s="25"/>
      <c r="CP218" s="25"/>
      <c r="CQ218" s="25"/>
      <c r="CR218" s="25"/>
      <c r="CS218" s="25"/>
      <c r="CT218" s="25"/>
      <c r="CU218" s="25"/>
      <c r="CV218" s="25"/>
      <c r="CW218" s="25"/>
      <c r="CX218" s="25"/>
      <c r="CY218" s="25"/>
      <c r="CZ218" s="25"/>
      <c r="DA218" s="25"/>
      <c r="DB218" s="25"/>
      <c r="DC218" s="25"/>
      <c r="DD218" s="25"/>
      <c r="DE218" s="25"/>
      <c r="DF218" s="25"/>
      <c r="DG218" s="25"/>
      <c r="DH218" s="25">
        <v>48</v>
      </c>
      <c r="DI218" s="25"/>
      <c r="DJ218" s="25"/>
      <c r="DK218" s="25"/>
      <c r="DL218" s="25"/>
      <c r="DM218" s="25"/>
      <c r="DN218" s="25"/>
      <c r="DO218" s="25"/>
      <c r="DP218" s="25"/>
      <c r="DQ218" s="25"/>
      <c r="DR218" s="25"/>
      <c r="DS218" s="25"/>
      <c r="DT218" s="25"/>
      <c r="DU218" s="25"/>
      <c r="DV218" s="25"/>
      <c r="DW218" s="25"/>
      <c r="DX218" s="25"/>
      <c r="DY218" s="25"/>
      <c r="DZ218" s="25"/>
      <c r="EA218" s="25"/>
      <c r="EB218" s="25"/>
      <c r="EC218" s="25"/>
      <c r="ED218" s="25"/>
      <c r="EE218" s="25"/>
      <c r="EF218" s="25"/>
      <c r="EG218" s="25"/>
      <c r="EH218" s="25"/>
      <c r="EI218" s="25"/>
      <c r="EJ218" s="25"/>
      <c r="EK218" s="25"/>
      <c r="EL218" s="25"/>
      <c r="EM218" s="25"/>
      <c r="EN218" s="25"/>
      <c r="EO218" s="25"/>
      <c r="EP218" s="25"/>
      <c r="EQ218" s="25"/>
      <c r="ER218" s="25"/>
      <c r="ES218" s="25"/>
      <c r="ET218" s="25"/>
      <c r="EU218" s="25"/>
      <c r="EV218" s="25"/>
      <c r="EW218" s="25"/>
      <c r="EX218" s="25"/>
      <c r="EY218" s="25"/>
      <c r="EZ218" s="25"/>
      <c r="FA218" s="25"/>
      <c r="FB218" s="25"/>
      <c r="FC218" s="25"/>
      <c r="FD218" s="25"/>
      <c r="FE218" s="25">
        <v>2</v>
      </c>
      <c r="FF218" s="25"/>
      <c r="FG218" s="25"/>
      <c r="FH218" s="25"/>
      <c r="FI218" s="25"/>
      <c r="FJ218" s="25"/>
      <c r="FK218" s="25"/>
      <c r="FL218" s="25"/>
      <c r="FM218" s="25">
        <v>3</v>
      </c>
      <c r="FN218" s="25"/>
      <c r="FO218" s="25"/>
      <c r="FP218" s="25">
        <v>1</v>
      </c>
      <c r="FQ218" s="25">
        <v>6</v>
      </c>
      <c r="FR218" s="25"/>
      <c r="FS218" s="25">
        <v>336</v>
      </c>
      <c r="FT218" s="25"/>
      <c r="FU218" s="25"/>
      <c r="FV218" s="25"/>
      <c r="FW218" s="25">
        <v>3</v>
      </c>
      <c r="FX218" s="25"/>
      <c r="FY218" s="25"/>
      <c r="FZ218" s="25"/>
      <c r="GA218" s="25"/>
      <c r="GB218" s="25"/>
      <c r="GC218" s="25"/>
      <c r="GD218" s="25"/>
      <c r="GE218" s="25"/>
      <c r="GF218" s="25"/>
      <c r="GG218" s="25"/>
      <c r="GH218" s="25">
        <f t="shared" si="124"/>
        <v>11</v>
      </c>
      <c r="GI218" s="25">
        <f t="shared" si="125"/>
        <v>9</v>
      </c>
      <c r="GJ218" s="25">
        <f t="shared" si="126"/>
        <v>6</v>
      </c>
      <c r="GK218" s="25">
        <f t="shared" si="127"/>
        <v>509</v>
      </c>
      <c r="GL218" s="25">
        <f t="shared" si="128"/>
        <v>0</v>
      </c>
      <c r="GM218" s="25">
        <f t="shared" si="129"/>
        <v>-509</v>
      </c>
      <c r="GN218" s="25"/>
      <c r="GO218" s="25"/>
      <c r="GP218" s="25"/>
      <c r="GQ218" s="25"/>
      <c r="GR218" s="25"/>
      <c r="GS218" s="25"/>
      <c r="GT218" s="25"/>
      <c r="GU218" s="25"/>
      <c r="GV218" s="25"/>
      <c r="GW218" s="25"/>
      <c r="GX218" s="25"/>
      <c r="GY218" s="25"/>
      <c r="GZ218" s="25"/>
      <c r="HA218" s="25"/>
      <c r="HB218" s="25"/>
      <c r="HC218" s="25"/>
      <c r="HD218" s="25"/>
      <c r="HE218" s="25"/>
      <c r="HF218" s="25"/>
      <c r="HG218" s="25"/>
      <c r="HH218" s="25"/>
      <c r="HI218" s="25"/>
    </row>
    <row r="219" spans="1:217" ht="13" x14ac:dyDescent="0.15">
      <c r="A219" s="13">
        <v>43573</v>
      </c>
      <c r="B219" s="3" t="s">
        <v>489</v>
      </c>
      <c r="C219" s="16">
        <f t="shared" si="123"/>
        <v>206</v>
      </c>
      <c r="D219" s="3">
        <v>19.640812</v>
      </c>
      <c r="E219" s="3">
        <v>-156.00692699999999</v>
      </c>
      <c r="F219" s="3" t="s">
        <v>367</v>
      </c>
      <c r="G219" s="14">
        <v>0.375</v>
      </c>
      <c r="H219" s="14">
        <v>0.47916666666666669</v>
      </c>
      <c r="I219" s="3">
        <v>4</v>
      </c>
      <c r="J219" s="3">
        <v>20</v>
      </c>
      <c r="K219" s="3" t="s">
        <v>198</v>
      </c>
      <c r="L219" s="3">
        <v>10</v>
      </c>
      <c r="M219" s="3">
        <v>26</v>
      </c>
      <c r="N219" s="3" t="s">
        <v>486</v>
      </c>
      <c r="P219" s="3">
        <v>26</v>
      </c>
      <c r="T219" s="3">
        <v>24</v>
      </c>
      <c r="AH219" s="3">
        <v>1</v>
      </c>
      <c r="AU219" s="3"/>
      <c r="AV219" s="3">
        <v>1</v>
      </c>
      <c r="BA219" s="3"/>
      <c r="BB219" s="3">
        <v>2</v>
      </c>
      <c r="BG219" s="3">
        <v>18</v>
      </c>
      <c r="BH219" s="3">
        <v>11</v>
      </c>
      <c r="BM219" s="3">
        <v>68</v>
      </c>
      <c r="BY219" s="3">
        <v>5</v>
      </c>
      <c r="CC219" s="3">
        <v>6</v>
      </c>
      <c r="CD219" s="3">
        <v>3</v>
      </c>
      <c r="DM219" s="3">
        <v>11</v>
      </c>
      <c r="DP219" s="3">
        <v>3</v>
      </c>
      <c r="EJ219" s="3">
        <v>10</v>
      </c>
      <c r="FB219" s="3">
        <v>48</v>
      </c>
      <c r="FS219" s="3">
        <v>117</v>
      </c>
      <c r="FZ219" s="3">
        <v>12</v>
      </c>
      <c r="GH219" s="3">
        <f t="shared" si="124"/>
        <v>16</v>
      </c>
      <c r="GI219" s="3">
        <f t="shared" si="125"/>
        <v>14</v>
      </c>
      <c r="GJ219" s="3">
        <f t="shared" si="126"/>
        <v>11</v>
      </c>
      <c r="GK219" s="3">
        <f t="shared" si="127"/>
        <v>340</v>
      </c>
      <c r="GL219" s="3">
        <f t="shared" si="128"/>
        <v>650</v>
      </c>
      <c r="GM219" s="3">
        <f t="shared" si="129"/>
        <v>310</v>
      </c>
    </row>
    <row r="220" spans="1:217" ht="13" x14ac:dyDescent="0.15">
      <c r="A220" s="13">
        <v>43573</v>
      </c>
      <c r="B220" s="3" t="s">
        <v>201</v>
      </c>
      <c r="C220" s="16">
        <f t="shared" si="123"/>
        <v>207</v>
      </c>
      <c r="D220" s="3">
        <v>21.25544</v>
      </c>
      <c r="E220" s="3">
        <v>-157.810303</v>
      </c>
      <c r="F220" s="3" t="s">
        <v>477</v>
      </c>
      <c r="G220" s="14">
        <v>0.375</v>
      </c>
      <c r="H220" s="14">
        <v>0.43055555555555558</v>
      </c>
      <c r="I220" s="3">
        <v>5</v>
      </c>
      <c r="J220" s="3">
        <v>10.5</v>
      </c>
      <c r="K220" s="3" t="s">
        <v>318</v>
      </c>
      <c r="L220" s="3">
        <v>10</v>
      </c>
      <c r="M220" s="3">
        <v>46</v>
      </c>
      <c r="N220" s="3" t="s">
        <v>491</v>
      </c>
      <c r="P220" s="3">
        <v>46</v>
      </c>
      <c r="R220" s="3">
        <v>1</v>
      </c>
      <c r="AJ220" s="3"/>
      <c r="AK220" s="3"/>
      <c r="AL220" s="3"/>
      <c r="AM220" s="3">
        <v>1</v>
      </c>
      <c r="AT220" s="3">
        <v>1</v>
      </c>
      <c r="BM220" s="3">
        <v>63</v>
      </c>
      <c r="BU220" s="3">
        <v>2</v>
      </c>
      <c r="BV220" s="3">
        <v>19</v>
      </c>
      <c r="BW220" s="3">
        <v>4</v>
      </c>
      <c r="DB220" s="3"/>
      <c r="DC220" s="3">
        <v>2</v>
      </c>
      <c r="DF220" s="3"/>
      <c r="DG220" s="3">
        <v>2</v>
      </c>
      <c r="DJ220" s="3">
        <v>1</v>
      </c>
      <c r="DK220" s="3"/>
      <c r="DL220" s="3">
        <v>8</v>
      </c>
      <c r="DM220" s="3">
        <v>24</v>
      </c>
      <c r="DR220" s="3"/>
      <c r="DS220" s="3">
        <v>91</v>
      </c>
      <c r="DT220" s="3"/>
      <c r="DU220" s="3"/>
      <c r="DV220" s="3">
        <v>12</v>
      </c>
      <c r="EC220" s="3">
        <v>1</v>
      </c>
      <c r="EE220" s="3"/>
      <c r="EF220" s="3"/>
      <c r="EG220" s="3"/>
      <c r="EH220" s="3"/>
      <c r="EI220" s="3"/>
      <c r="EJ220" s="3">
        <v>318</v>
      </c>
      <c r="EY220" s="3"/>
      <c r="EZ220" s="3">
        <v>18</v>
      </c>
      <c r="FA220" s="3">
        <v>15</v>
      </c>
      <c r="FB220" s="3">
        <v>51</v>
      </c>
      <c r="FI220" s="3">
        <v>1</v>
      </c>
      <c r="FQ220" s="3">
        <v>20</v>
      </c>
      <c r="FR220" s="3">
        <v>132</v>
      </c>
      <c r="FS220" s="3">
        <v>46</v>
      </c>
      <c r="FV220" s="3"/>
      <c r="FW220" s="3">
        <v>1</v>
      </c>
      <c r="GH220" s="3">
        <f t="shared" si="124"/>
        <v>24</v>
      </c>
      <c r="GI220" s="3">
        <f t="shared" si="125"/>
        <v>17</v>
      </c>
      <c r="GJ220" s="3">
        <f t="shared" si="126"/>
        <v>13</v>
      </c>
      <c r="GK220" s="3">
        <f t="shared" si="127"/>
        <v>834</v>
      </c>
      <c r="GL220" s="3">
        <f t="shared" si="128"/>
        <v>1150</v>
      </c>
      <c r="GM220" s="3">
        <f t="shared" si="129"/>
        <v>316</v>
      </c>
    </row>
    <row r="221" spans="1:217" ht="13" x14ac:dyDescent="0.15">
      <c r="A221" s="13">
        <v>43573</v>
      </c>
      <c r="B221" s="3" t="s">
        <v>492</v>
      </c>
      <c r="C221" s="16">
        <f t="shared" si="123"/>
        <v>208</v>
      </c>
      <c r="D221" s="3">
        <v>21.452874999999999</v>
      </c>
      <c r="E221" s="3">
        <v>-158.19996599999999</v>
      </c>
      <c r="F221" s="3" t="s">
        <v>493</v>
      </c>
      <c r="G221" s="14">
        <v>0.35416666666666669</v>
      </c>
      <c r="H221" s="14">
        <v>0.39930555555555558</v>
      </c>
      <c r="I221" s="3">
        <v>6</v>
      </c>
      <c r="J221" s="3">
        <v>11</v>
      </c>
      <c r="K221" s="3" t="s">
        <v>318</v>
      </c>
      <c r="L221" s="3">
        <v>5</v>
      </c>
      <c r="M221" s="3">
        <v>30</v>
      </c>
      <c r="P221" s="3">
        <v>30</v>
      </c>
      <c r="R221" s="3">
        <v>7</v>
      </c>
      <c r="BM221" s="3">
        <v>19</v>
      </c>
      <c r="BV221" s="3">
        <v>8</v>
      </c>
      <c r="BZ221" s="3">
        <v>35</v>
      </c>
      <c r="CE221" s="3">
        <v>25</v>
      </c>
      <c r="CF221" s="3">
        <v>12</v>
      </c>
      <c r="DM221" s="3">
        <v>89</v>
      </c>
      <c r="EE221" s="3"/>
      <c r="EF221" s="3"/>
      <c r="EG221" s="3"/>
      <c r="EH221" s="3"/>
      <c r="EI221" s="3"/>
      <c r="EJ221" s="3">
        <v>111</v>
      </c>
      <c r="EY221" s="3"/>
      <c r="EZ221" s="3">
        <v>2</v>
      </c>
      <c r="FB221" s="3">
        <v>187</v>
      </c>
      <c r="FI221" s="3">
        <v>11</v>
      </c>
      <c r="FR221" s="3">
        <v>12</v>
      </c>
      <c r="FS221" s="3">
        <v>157</v>
      </c>
      <c r="GH221" s="3">
        <f t="shared" si="124"/>
        <v>13</v>
      </c>
      <c r="GI221" s="3">
        <f t="shared" si="125"/>
        <v>13</v>
      </c>
      <c r="GJ221" s="3">
        <f t="shared" si="126"/>
        <v>12</v>
      </c>
      <c r="GK221" s="3">
        <f t="shared" si="127"/>
        <v>675</v>
      </c>
      <c r="GL221" s="3">
        <f t="shared" si="128"/>
        <v>750</v>
      </c>
      <c r="GM221" s="3">
        <f t="shared" si="129"/>
        <v>75</v>
      </c>
    </row>
    <row r="222" spans="1:217" ht="13" x14ac:dyDescent="0.15">
      <c r="A222" s="90">
        <v>43573</v>
      </c>
      <c r="B222" s="20" t="s">
        <v>246</v>
      </c>
      <c r="C222" s="16"/>
      <c r="D222" s="20"/>
      <c r="E222" s="20"/>
      <c r="F222" s="20"/>
      <c r="G222" s="21"/>
      <c r="H222" s="21"/>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c r="DU222" s="20"/>
      <c r="DV222" s="20"/>
      <c r="DW222" s="20"/>
      <c r="DX222" s="20"/>
      <c r="DY222" s="20"/>
      <c r="DZ222" s="20"/>
      <c r="EA222" s="20"/>
      <c r="EB222" s="20"/>
      <c r="EC222" s="20"/>
      <c r="ED222" s="20"/>
      <c r="EE222" s="20"/>
      <c r="EF222" s="20"/>
      <c r="EG222" s="20"/>
      <c r="EH222" s="20"/>
      <c r="EI222" s="20"/>
      <c r="EJ222" s="20"/>
      <c r="EK222" s="20"/>
      <c r="EL222" s="20"/>
      <c r="EM222" s="20"/>
      <c r="EN222" s="20"/>
      <c r="EO222" s="20"/>
      <c r="EP222" s="20"/>
      <c r="EQ222" s="20"/>
      <c r="ER222" s="20"/>
      <c r="ES222" s="20"/>
      <c r="ET222" s="20"/>
      <c r="EU222" s="20"/>
      <c r="EV222" s="20"/>
      <c r="EW222" s="20"/>
      <c r="EX222" s="20"/>
      <c r="EY222" s="20"/>
      <c r="EZ222" s="20"/>
      <c r="FA222" s="20"/>
      <c r="FB222" s="20"/>
      <c r="FC222" s="20"/>
      <c r="FD222" s="20"/>
      <c r="FE222" s="20"/>
      <c r="FF222" s="20"/>
      <c r="FG222" s="20"/>
      <c r="FH222" s="20"/>
      <c r="FI222" s="20"/>
      <c r="FJ222" s="20"/>
      <c r="FK222" s="20"/>
      <c r="FL222" s="20"/>
      <c r="FM222" s="20"/>
      <c r="FN222" s="20"/>
      <c r="FO222" s="20"/>
      <c r="FP222" s="20"/>
      <c r="FQ222" s="20"/>
      <c r="FR222" s="20"/>
      <c r="FS222" s="20"/>
      <c r="FT222" s="20"/>
      <c r="FU222" s="20"/>
      <c r="FV222" s="20"/>
      <c r="FW222" s="20"/>
      <c r="FX222" s="20"/>
      <c r="FY222" s="20"/>
      <c r="FZ222" s="20"/>
      <c r="GA222" s="20"/>
      <c r="GB222" s="20"/>
      <c r="GC222" s="20"/>
      <c r="GD222" s="20"/>
      <c r="GE222" s="20"/>
      <c r="GF222" s="20"/>
      <c r="GG222" s="20"/>
      <c r="GH222" s="20"/>
      <c r="GI222" s="20"/>
      <c r="GJ222" s="20"/>
      <c r="GK222" s="20"/>
      <c r="GL222" s="20"/>
      <c r="GM222" s="20"/>
      <c r="GN222" s="20"/>
      <c r="GO222" s="20"/>
      <c r="GP222" s="20"/>
      <c r="GQ222" s="20"/>
      <c r="GR222" s="20"/>
      <c r="GS222" s="20"/>
      <c r="GT222" s="20"/>
      <c r="GU222" s="20"/>
      <c r="GV222" s="20"/>
      <c r="GW222" s="20"/>
      <c r="GX222" s="20"/>
      <c r="GY222" s="20"/>
      <c r="GZ222" s="20"/>
      <c r="HA222" s="20"/>
      <c r="HB222" s="20"/>
      <c r="HC222" s="20"/>
      <c r="HD222" s="20"/>
      <c r="HE222" s="20"/>
      <c r="HF222" s="20"/>
      <c r="HG222" s="20"/>
      <c r="HH222" s="20"/>
      <c r="HI222" s="20"/>
    </row>
    <row r="223" spans="1:217" ht="13" x14ac:dyDescent="0.15">
      <c r="A223" s="13">
        <v>43577</v>
      </c>
      <c r="B223" s="3" t="s">
        <v>301</v>
      </c>
      <c r="C223" s="16">
        <v>209</v>
      </c>
      <c r="D223" s="3">
        <v>22.065598999999999</v>
      </c>
      <c r="E223" s="3">
        <v>-159.31770299999999</v>
      </c>
      <c r="F223" s="3" t="s">
        <v>347</v>
      </c>
      <c r="G223" s="14">
        <v>0.45833333333333331</v>
      </c>
      <c r="H223" s="14">
        <v>0.5</v>
      </c>
      <c r="I223" s="3">
        <v>5</v>
      </c>
      <c r="J223" s="3">
        <v>7</v>
      </c>
      <c r="K223" s="3" t="s">
        <v>198</v>
      </c>
      <c r="L223" s="3">
        <v>8</v>
      </c>
      <c r="M223" s="3">
        <v>40</v>
      </c>
      <c r="P223" s="3">
        <v>40</v>
      </c>
      <c r="AC223" s="3"/>
      <c r="AD223" s="3">
        <v>23</v>
      </c>
      <c r="BM223" s="3">
        <v>13</v>
      </c>
      <c r="BN223" s="3">
        <v>2</v>
      </c>
      <c r="BV223" s="3">
        <v>35</v>
      </c>
      <c r="BW223" s="3">
        <v>37</v>
      </c>
      <c r="BX223" s="3">
        <v>28</v>
      </c>
      <c r="BZ223" s="3">
        <v>2</v>
      </c>
      <c r="CD223" s="3">
        <v>2</v>
      </c>
      <c r="DK223" s="3"/>
      <c r="DL223" s="3">
        <v>13</v>
      </c>
      <c r="DM223" s="3">
        <v>23</v>
      </c>
      <c r="DR223" s="3"/>
      <c r="DS223" s="3">
        <v>6</v>
      </c>
      <c r="EB223" s="3">
        <v>1</v>
      </c>
      <c r="EE223" s="3"/>
      <c r="EF223" s="3"/>
      <c r="EG223" s="3"/>
      <c r="EH223" s="3"/>
      <c r="EI223" s="3"/>
      <c r="EJ223" s="3">
        <v>117</v>
      </c>
      <c r="FB223" s="3">
        <v>12</v>
      </c>
      <c r="FR223" s="3">
        <v>9</v>
      </c>
      <c r="FS223" s="3">
        <v>478</v>
      </c>
      <c r="GG223" s="3">
        <v>2</v>
      </c>
      <c r="GH223" s="3">
        <f t="shared" ref="GH223:GH227" si="130">COUNT(R223:GG223)</f>
        <v>17</v>
      </c>
      <c r="GI223" s="3">
        <f t="shared" ref="GI223:GI227" si="131">COUNTIF(R223:GG223,"&gt;=2")</f>
        <v>16</v>
      </c>
      <c r="GJ223" s="3">
        <f t="shared" ref="GJ223:GJ227" si="132">COUNTIF(R223:GG223,"&gt;=5")</f>
        <v>12</v>
      </c>
      <c r="GK223" s="3">
        <f t="shared" ref="GK223:GK227" si="133">SUM(R223:GG223)</f>
        <v>803</v>
      </c>
      <c r="GL223" s="3">
        <f t="shared" ref="GL223:GL227" si="134">25*P223</f>
        <v>1000</v>
      </c>
      <c r="GM223" s="3">
        <f t="shared" ref="GM223:GM227" si="135">GL223-GK223</f>
        <v>197</v>
      </c>
    </row>
    <row r="224" spans="1:217" ht="13" x14ac:dyDescent="0.15">
      <c r="A224" s="24">
        <v>43577</v>
      </c>
      <c r="B224" s="25" t="s">
        <v>266</v>
      </c>
      <c r="C224" s="16">
        <f t="shared" ref="C224:C228" si="136">C223+1</f>
        <v>210</v>
      </c>
      <c r="D224" s="25">
        <v>22.060683999999998</v>
      </c>
      <c r="E224" s="25">
        <v>-159.318512</v>
      </c>
      <c r="F224" s="25" t="s">
        <v>418</v>
      </c>
      <c r="G224" s="26">
        <v>0.46180555555555558</v>
      </c>
      <c r="H224" s="26">
        <v>0.5</v>
      </c>
      <c r="I224" s="25">
        <v>5</v>
      </c>
      <c r="J224" s="25">
        <v>15</v>
      </c>
      <c r="K224" s="25" t="s">
        <v>198</v>
      </c>
      <c r="L224" s="25">
        <v>9</v>
      </c>
      <c r="M224" s="25">
        <v>40</v>
      </c>
      <c r="N224" s="25" t="s">
        <v>494</v>
      </c>
      <c r="O224" s="25"/>
      <c r="P224" s="25"/>
      <c r="Q224" s="25"/>
      <c r="R224" s="25"/>
      <c r="S224" s="25">
        <v>1</v>
      </c>
      <c r="T224" s="25"/>
      <c r="U224" s="25"/>
      <c r="V224" s="25"/>
      <c r="W224" s="25"/>
      <c r="X224" s="25"/>
      <c r="Y224" s="25"/>
      <c r="Z224" s="25"/>
      <c r="AA224" s="25"/>
      <c r="AB224" s="25"/>
      <c r="AC224" s="25"/>
      <c r="AD224" s="25">
        <v>10</v>
      </c>
      <c r="AE224" s="25"/>
      <c r="AF224" s="25"/>
      <c r="AG224" s="25"/>
      <c r="AH224" s="25"/>
      <c r="AI224" s="25">
        <v>2</v>
      </c>
      <c r="AJ224" s="25"/>
      <c r="AK224" s="25"/>
      <c r="AL224" s="25"/>
      <c r="AM224" s="25"/>
      <c r="AN224" s="25"/>
      <c r="AO224" s="25"/>
      <c r="AP224" s="25"/>
      <c r="AQ224" s="25"/>
      <c r="AR224" s="25"/>
      <c r="AS224" s="25"/>
      <c r="AT224" s="25"/>
      <c r="AU224" s="25"/>
      <c r="AV224" s="25">
        <v>3</v>
      </c>
      <c r="AW224" s="25"/>
      <c r="AX224" s="25"/>
      <c r="AY224" s="25"/>
      <c r="AZ224" s="25"/>
      <c r="BA224" s="25"/>
      <c r="BB224" s="25">
        <v>7</v>
      </c>
      <c r="BC224" s="25"/>
      <c r="BD224" s="25"/>
      <c r="BE224" s="25"/>
      <c r="BF224" s="25"/>
      <c r="BG224" s="25"/>
      <c r="BH224" s="25"/>
      <c r="BI224" s="25"/>
      <c r="BJ224" s="25"/>
      <c r="BK224" s="25"/>
      <c r="BL224" s="25">
        <v>1</v>
      </c>
      <c r="BM224" s="25">
        <v>16</v>
      </c>
      <c r="BN224" s="25">
        <v>49</v>
      </c>
      <c r="BO224" s="25"/>
      <c r="BP224" s="25"/>
      <c r="BQ224" s="25"/>
      <c r="BR224" s="25"/>
      <c r="BS224" s="25"/>
      <c r="BT224" s="25"/>
      <c r="BU224" s="25">
        <v>1</v>
      </c>
      <c r="BV224" s="25">
        <v>57</v>
      </c>
      <c r="BW224" s="25"/>
      <c r="BX224" s="25"/>
      <c r="BY224" s="25"/>
      <c r="BZ224" s="25">
        <v>1</v>
      </c>
      <c r="CA224" s="25"/>
      <c r="CB224" s="25">
        <v>1</v>
      </c>
      <c r="CC224" s="25"/>
      <c r="CD224" s="25"/>
      <c r="CE224" s="25"/>
      <c r="CF224" s="25"/>
      <c r="CG224" s="25"/>
      <c r="CH224" s="25"/>
      <c r="CI224" s="25"/>
      <c r="CJ224" s="25"/>
      <c r="CK224" s="25"/>
      <c r="CL224" s="25"/>
      <c r="CM224" s="25"/>
      <c r="CN224" s="25"/>
      <c r="CO224" s="25"/>
      <c r="CP224" s="25"/>
      <c r="CQ224" s="25"/>
      <c r="CR224" s="25"/>
      <c r="CS224" s="25">
        <v>1</v>
      </c>
      <c r="CT224" s="25"/>
      <c r="CU224" s="25"/>
      <c r="CV224" s="25">
        <v>3</v>
      </c>
      <c r="CW224" s="25"/>
      <c r="CX224" s="25"/>
      <c r="CY224" s="25"/>
      <c r="CZ224" s="25"/>
      <c r="DA224" s="25"/>
      <c r="DB224" s="25"/>
      <c r="DC224" s="25"/>
      <c r="DD224" s="25"/>
      <c r="DE224" s="25"/>
      <c r="DF224" s="25"/>
      <c r="DG224" s="25">
        <v>2</v>
      </c>
      <c r="DH224" s="25"/>
      <c r="DI224" s="25"/>
      <c r="DJ224" s="25"/>
      <c r="DK224" s="25"/>
      <c r="DL224" s="25"/>
      <c r="DM224" s="25">
        <v>2</v>
      </c>
      <c r="DN224" s="25"/>
      <c r="DO224" s="25"/>
      <c r="DP224" s="25"/>
      <c r="DQ224" s="25"/>
      <c r="DR224" s="25"/>
      <c r="DS224" s="25">
        <v>251</v>
      </c>
      <c r="DT224" s="25"/>
      <c r="DU224" s="25"/>
      <c r="DV224" s="25">
        <v>59</v>
      </c>
      <c r="DW224" s="25"/>
      <c r="DX224" s="25"/>
      <c r="DY224" s="25"/>
      <c r="DZ224" s="25"/>
      <c r="EA224" s="25"/>
      <c r="EB224" s="25"/>
      <c r="EC224" s="25"/>
      <c r="ED224" s="25"/>
      <c r="EE224" s="25"/>
      <c r="EF224" s="25"/>
      <c r="EG224" s="25"/>
      <c r="EH224" s="25"/>
      <c r="EI224" s="25"/>
      <c r="EJ224" s="25">
        <v>32</v>
      </c>
      <c r="EK224" s="25"/>
      <c r="EL224" s="25"/>
      <c r="EM224" s="25"/>
      <c r="EN224" s="25"/>
      <c r="EO224" s="25"/>
      <c r="EP224" s="25"/>
      <c r="EQ224" s="25"/>
      <c r="ER224" s="25"/>
      <c r="ES224" s="25"/>
      <c r="ET224" s="25"/>
      <c r="EU224" s="25"/>
      <c r="EV224" s="25"/>
      <c r="EW224" s="25"/>
      <c r="EX224" s="25"/>
      <c r="EY224" s="25"/>
      <c r="EZ224" s="25"/>
      <c r="FA224" s="25"/>
      <c r="FB224" s="25">
        <v>1</v>
      </c>
      <c r="FC224" s="25"/>
      <c r="FD224" s="25"/>
      <c r="FE224" s="25"/>
      <c r="FF224" s="25"/>
      <c r="FG224" s="25"/>
      <c r="FH224" s="25"/>
      <c r="FI224" s="25"/>
      <c r="FJ224" s="25"/>
      <c r="FK224" s="25"/>
      <c r="FL224" s="25"/>
      <c r="FM224" s="25"/>
      <c r="FN224" s="25"/>
      <c r="FO224" s="25"/>
      <c r="FP224" s="25"/>
      <c r="FQ224" s="25">
        <v>1</v>
      </c>
      <c r="FR224" s="25">
        <v>7</v>
      </c>
      <c r="FS224" s="25">
        <v>56</v>
      </c>
      <c r="FT224" s="25"/>
      <c r="FU224" s="25"/>
      <c r="FV224" s="25"/>
      <c r="FW224" s="25">
        <v>26</v>
      </c>
      <c r="FX224" s="25"/>
      <c r="FY224" s="25"/>
      <c r="FZ224" s="25"/>
      <c r="GA224" s="25"/>
      <c r="GB224" s="25"/>
      <c r="GC224" s="25"/>
      <c r="GD224" s="25"/>
      <c r="GE224" s="25"/>
      <c r="GF224" s="25"/>
      <c r="GG224" s="25"/>
      <c r="GH224" s="25">
        <f t="shared" si="130"/>
        <v>24</v>
      </c>
      <c r="GI224" s="25">
        <f t="shared" si="131"/>
        <v>16</v>
      </c>
      <c r="GJ224" s="25">
        <f t="shared" si="132"/>
        <v>11</v>
      </c>
      <c r="GK224" s="25">
        <f t="shared" si="133"/>
        <v>590</v>
      </c>
      <c r="GL224" s="25">
        <f t="shared" si="134"/>
        <v>0</v>
      </c>
      <c r="GM224" s="25">
        <f t="shared" si="135"/>
        <v>-590</v>
      </c>
      <c r="GN224" s="25"/>
      <c r="GO224" s="25"/>
      <c r="GP224" s="25"/>
      <c r="GQ224" s="25"/>
      <c r="GR224" s="25"/>
      <c r="GS224" s="25"/>
      <c r="GT224" s="25"/>
      <c r="GU224" s="25"/>
      <c r="GV224" s="25"/>
      <c r="GW224" s="25"/>
      <c r="GX224" s="25"/>
      <c r="GY224" s="25"/>
      <c r="GZ224" s="25"/>
      <c r="HA224" s="25"/>
      <c r="HB224" s="25"/>
      <c r="HC224" s="25"/>
      <c r="HD224" s="25"/>
      <c r="HE224" s="25"/>
      <c r="HF224" s="25"/>
      <c r="HG224" s="25"/>
      <c r="HH224" s="25"/>
      <c r="HI224" s="25"/>
    </row>
    <row r="225" spans="1:217" ht="13" x14ac:dyDescent="0.15">
      <c r="A225" s="13">
        <v>43577</v>
      </c>
      <c r="B225" s="3" t="s">
        <v>293</v>
      </c>
      <c r="C225" s="16">
        <f t="shared" si="136"/>
        <v>211</v>
      </c>
      <c r="D225" s="3">
        <v>19.738602</v>
      </c>
      <c r="E225" s="3">
        <v>-155.03887900000001</v>
      </c>
      <c r="F225" s="3" t="s">
        <v>496</v>
      </c>
      <c r="G225" s="14">
        <v>0.41736111111111113</v>
      </c>
      <c r="H225" s="14">
        <v>0.45694444444444443</v>
      </c>
      <c r="I225" s="3">
        <v>6</v>
      </c>
      <c r="J225" s="3">
        <v>11</v>
      </c>
      <c r="K225" s="3" t="s">
        <v>318</v>
      </c>
      <c r="L225" s="3">
        <v>5</v>
      </c>
      <c r="M225" s="3">
        <v>27</v>
      </c>
      <c r="N225" s="3" t="s">
        <v>497</v>
      </c>
      <c r="P225" s="3">
        <v>27</v>
      </c>
      <c r="AC225" s="3"/>
      <c r="AD225" s="3">
        <v>1</v>
      </c>
      <c r="BI225" s="3"/>
      <c r="BJ225" s="3"/>
      <c r="BK225" s="3">
        <v>15</v>
      </c>
      <c r="BM225" s="3">
        <v>1</v>
      </c>
      <c r="CE225" s="3">
        <v>10</v>
      </c>
      <c r="DY225" s="3">
        <v>22</v>
      </c>
      <c r="EE225" s="3"/>
      <c r="EF225" s="3"/>
      <c r="EG225" s="3"/>
      <c r="EH225" s="3"/>
      <c r="EI225" s="3"/>
      <c r="EJ225" s="3">
        <v>5</v>
      </c>
      <c r="EK225" s="3">
        <v>3</v>
      </c>
      <c r="EP225" s="3">
        <v>6</v>
      </c>
      <c r="EQ225" s="3">
        <v>21</v>
      </c>
      <c r="ER225" s="3">
        <v>28</v>
      </c>
      <c r="FD225" s="3"/>
      <c r="FE225" s="3">
        <v>4</v>
      </c>
      <c r="FM225" s="3">
        <v>10</v>
      </c>
      <c r="FN225" s="3"/>
      <c r="FO225" s="3"/>
      <c r="FP225" s="3">
        <v>1</v>
      </c>
      <c r="FS225" s="3">
        <v>331</v>
      </c>
      <c r="GH225" s="3">
        <f t="shared" si="130"/>
        <v>14</v>
      </c>
      <c r="GI225" s="3">
        <f t="shared" si="131"/>
        <v>11</v>
      </c>
      <c r="GJ225" s="3">
        <f t="shared" si="132"/>
        <v>9</v>
      </c>
      <c r="GK225" s="3">
        <f t="shared" si="133"/>
        <v>458</v>
      </c>
      <c r="GL225" s="3">
        <f t="shared" si="134"/>
        <v>675</v>
      </c>
      <c r="GM225" s="3">
        <f t="shared" si="135"/>
        <v>217</v>
      </c>
    </row>
    <row r="226" spans="1:217" ht="13" x14ac:dyDescent="0.15">
      <c r="A226" s="13">
        <v>43578</v>
      </c>
      <c r="B226" s="3" t="s">
        <v>201</v>
      </c>
      <c r="C226" s="16">
        <f t="shared" si="136"/>
        <v>212</v>
      </c>
      <c r="D226" s="23">
        <v>21.25544</v>
      </c>
      <c r="E226" s="23">
        <v>-157.810303</v>
      </c>
      <c r="F226" s="3" t="s">
        <v>418</v>
      </c>
      <c r="G226" s="14">
        <v>0.47916666666666669</v>
      </c>
      <c r="H226" s="14">
        <v>0.51041666666666663</v>
      </c>
      <c r="I226" s="3">
        <v>6</v>
      </c>
      <c r="J226" s="3">
        <v>14</v>
      </c>
      <c r="K226" s="3" t="s">
        <v>198</v>
      </c>
      <c r="L226" s="3">
        <v>5</v>
      </c>
      <c r="M226" s="3">
        <v>18</v>
      </c>
      <c r="N226" s="3" t="s">
        <v>498</v>
      </c>
      <c r="O226" s="3"/>
      <c r="P226" s="3">
        <v>18</v>
      </c>
      <c r="R226" s="3">
        <v>5</v>
      </c>
      <c r="AD226" s="3">
        <v>9</v>
      </c>
      <c r="AN226" s="3"/>
      <c r="AS226" s="3">
        <v>5</v>
      </c>
      <c r="AU226" s="3"/>
      <c r="BM226" s="3"/>
      <c r="BW226" s="3"/>
      <c r="BZ226" s="3">
        <v>2</v>
      </c>
      <c r="CC226" s="3"/>
      <c r="CD226" s="3"/>
      <c r="CE226" s="3"/>
      <c r="DM226" s="3">
        <v>9</v>
      </c>
      <c r="DO226" s="3">
        <v>2</v>
      </c>
      <c r="DR226" s="3"/>
      <c r="DS226" s="3">
        <v>35</v>
      </c>
      <c r="EC226" s="3"/>
      <c r="ED226" s="3"/>
      <c r="EE226" s="3"/>
      <c r="EF226" s="3"/>
      <c r="EG226" s="3"/>
      <c r="EH226" s="3"/>
      <c r="EI226" s="3"/>
      <c r="EJ226" s="3">
        <v>139</v>
      </c>
      <c r="ES226" s="3"/>
      <c r="ET226" s="3"/>
      <c r="EU226" s="3"/>
      <c r="EV226" s="3"/>
      <c r="EY226" s="3"/>
      <c r="EZ226" s="3">
        <v>13</v>
      </c>
      <c r="FA226" s="3"/>
      <c r="FB226" s="3">
        <v>52</v>
      </c>
      <c r="FF226" s="3"/>
      <c r="FR226" s="3">
        <v>68</v>
      </c>
      <c r="FS226" s="3">
        <v>9</v>
      </c>
      <c r="FU226" s="3">
        <v>2</v>
      </c>
      <c r="GA226" s="3"/>
      <c r="GH226" s="3">
        <f t="shared" si="130"/>
        <v>13</v>
      </c>
      <c r="GI226" s="3">
        <f t="shared" si="131"/>
        <v>13</v>
      </c>
      <c r="GJ226" s="3">
        <f t="shared" si="132"/>
        <v>10</v>
      </c>
      <c r="GK226" s="3">
        <f t="shared" si="133"/>
        <v>350</v>
      </c>
      <c r="GL226" s="3">
        <f t="shared" si="134"/>
        <v>450</v>
      </c>
      <c r="GM226" s="3">
        <f t="shared" si="135"/>
        <v>100</v>
      </c>
    </row>
    <row r="227" spans="1:217" ht="13" x14ac:dyDescent="0.15">
      <c r="A227" s="24">
        <v>43587</v>
      </c>
      <c r="B227" s="25" t="s">
        <v>499</v>
      </c>
      <c r="C227" s="16">
        <f t="shared" si="136"/>
        <v>213</v>
      </c>
      <c r="D227" s="25">
        <v>20.714272999999999</v>
      </c>
      <c r="E227" s="25">
        <v>-156.44712799999999</v>
      </c>
      <c r="F227" s="25" t="s">
        <v>418</v>
      </c>
      <c r="G227" s="26">
        <v>0.39444444444444443</v>
      </c>
      <c r="H227" s="26">
        <v>0.42708333333333331</v>
      </c>
      <c r="I227" s="25">
        <v>10</v>
      </c>
      <c r="J227" s="25">
        <v>10</v>
      </c>
      <c r="K227" s="25" t="s">
        <v>198</v>
      </c>
      <c r="L227" s="25">
        <v>5</v>
      </c>
      <c r="M227" s="25">
        <v>25</v>
      </c>
      <c r="N227" s="25" t="s">
        <v>500</v>
      </c>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v>2</v>
      </c>
      <c r="AO227" s="25"/>
      <c r="AP227" s="25"/>
      <c r="AQ227" s="25"/>
      <c r="AR227" s="25"/>
      <c r="AS227" s="25"/>
      <c r="AT227" s="25"/>
      <c r="AU227" s="25">
        <v>1</v>
      </c>
      <c r="AV227" s="25"/>
      <c r="AW227" s="25"/>
      <c r="AX227" s="25"/>
      <c r="AY227" s="25"/>
      <c r="AZ227" s="25"/>
      <c r="BA227" s="25"/>
      <c r="BB227" s="25"/>
      <c r="BC227" s="25"/>
      <c r="BD227" s="25"/>
      <c r="BE227" s="25"/>
      <c r="BF227" s="25">
        <v>10</v>
      </c>
      <c r="BG227" s="25"/>
      <c r="BH227" s="25"/>
      <c r="BI227" s="25"/>
      <c r="BJ227" s="25"/>
      <c r="BK227" s="25"/>
      <c r="BL227" s="25"/>
      <c r="BM227" s="25">
        <v>21</v>
      </c>
      <c r="BN227" s="25"/>
      <c r="BO227" s="25"/>
      <c r="BP227" s="25"/>
      <c r="BQ227" s="25"/>
      <c r="BR227" s="25"/>
      <c r="BS227" s="25"/>
      <c r="BT227" s="25"/>
      <c r="BU227" s="25"/>
      <c r="BV227" s="25"/>
      <c r="BW227" s="25">
        <v>1</v>
      </c>
      <c r="BX227" s="25"/>
      <c r="BY227" s="25"/>
      <c r="BZ227" s="25"/>
      <c r="CA227" s="25"/>
      <c r="CB227" s="25"/>
      <c r="CC227" s="25">
        <v>14</v>
      </c>
      <c r="CD227" s="25">
        <v>4</v>
      </c>
      <c r="CE227" s="25">
        <v>2</v>
      </c>
      <c r="CF227" s="25"/>
      <c r="CG227" s="25"/>
      <c r="CH227" s="25"/>
      <c r="CI227" s="25"/>
      <c r="CJ227" s="25"/>
      <c r="CK227" s="25"/>
      <c r="CL227" s="25"/>
      <c r="CM227" s="25"/>
      <c r="CN227" s="25"/>
      <c r="CO227" s="25"/>
      <c r="CP227" s="25"/>
      <c r="CQ227" s="25"/>
      <c r="CR227" s="25"/>
      <c r="CS227" s="25"/>
      <c r="CT227" s="25"/>
      <c r="CU227" s="25"/>
      <c r="CV227" s="25"/>
      <c r="CW227" s="25"/>
      <c r="CX227" s="25"/>
      <c r="CY227" s="25"/>
      <c r="CZ227" s="25"/>
      <c r="DA227" s="25"/>
      <c r="DB227" s="25"/>
      <c r="DC227" s="25"/>
      <c r="DD227" s="25"/>
      <c r="DE227" s="25"/>
      <c r="DF227" s="25"/>
      <c r="DG227" s="25"/>
      <c r="DH227" s="25"/>
      <c r="DI227" s="25"/>
      <c r="DJ227" s="25"/>
      <c r="DK227" s="25"/>
      <c r="DL227" s="25"/>
      <c r="DM227" s="25"/>
      <c r="DN227" s="25"/>
      <c r="DO227" s="25"/>
      <c r="DP227" s="25"/>
      <c r="DQ227" s="25"/>
      <c r="DR227" s="25"/>
      <c r="DS227" s="25"/>
      <c r="DT227" s="25"/>
      <c r="DU227" s="25"/>
      <c r="DV227" s="25"/>
      <c r="DW227" s="25"/>
      <c r="DX227" s="25"/>
      <c r="DY227" s="25"/>
      <c r="DZ227" s="25"/>
      <c r="EA227" s="25"/>
      <c r="EB227" s="25"/>
      <c r="EC227" s="25">
        <v>2</v>
      </c>
      <c r="ED227" s="25">
        <v>5</v>
      </c>
      <c r="EE227" s="25"/>
      <c r="EF227" s="25"/>
      <c r="EG227" s="25"/>
      <c r="EH227" s="25"/>
      <c r="EI227" s="25"/>
      <c r="EJ227" s="25">
        <v>26</v>
      </c>
      <c r="EK227" s="25"/>
      <c r="EL227" s="25"/>
      <c r="EM227" s="25"/>
      <c r="EN227" s="25"/>
      <c r="EO227" s="25"/>
      <c r="EP227" s="25"/>
      <c r="EQ227" s="25"/>
      <c r="ER227" s="25"/>
      <c r="ES227" s="25"/>
      <c r="ET227" s="25"/>
      <c r="EU227" s="25"/>
      <c r="EV227" s="25">
        <v>13</v>
      </c>
      <c r="EW227" s="25"/>
      <c r="EX227" s="25"/>
      <c r="EY227" s="25"/>
      <c r="EZ227" s="25"/>
      <c r="FA227" s="25">
        <v>1</v>
      </c>
      <c r="FB227" s="25"/>
      <c r="FC227" s="25"/>
      <c r="FD227" s="25"/>
      <c r="FE227" s="25"/>
      <c r="FF227" s="25">
        <v>33</v>
      </c>
      <c r="FG227" s="25"/>
      <c r="FH227" s="25"/>
      <c r="FI227" s="25"/>
      <c r="FJ227" s="25"/>
      <c r="FK227" s="25"/>
      <c r="FL227" s="25"/>
      <c r="FM227" s="25"/>
      <c r="FN227" s="25"/>
      <c r="FO227" s="25"/>
      <c r="FP227" s="25"/>
      <c r="FQ227" s="25"/>
      <c r="FR227" s="25">
        <v>1</v>
      </c>
      <c r="FS227" s="25">
        <v>206</v>
      </c>
      <c r="FT227" s="25"/>
      <c r="FU227" s="25"/>
      <c r="FV227" s="25"/>
      <c r="FW227" s="25"/>
      <c r="FX227" s="25"/>
      <c r="FY227" s="25"/>
      <c r="FZ227" s="25"/>
      <c r="GA227" s="25">
        <v>5</v>
      </c>
      <c r="GB227" s="25"/>
      <c r="GC227" s="25"/>
      <c r="GD227" s="25"/>
      <c r="GE227" s="25"/>
      <c r="GF227" s="25"/>
      <c r="GG227" s="25"/>
      <c r="GH227" s="25">
        <f t="shared" si="130"/>
        <v>17</v>
      </c>
      <c r="GI227" s="25">
        <f t="shared" si="131"/>
        <v>13</v>
      </c>
      <c r="GJ227" s="25">
        <f t="shared" si="132"/>
        <v>9</v>
      </c>
      <c r="GK227" s="25">
        <f t="shared" si="133"/>
        <v>347</v>
      </c>
      <c r="GL227" s="25">
        <f t="shared" si="134"/>
        <v>0</v>
      </c>
      <c r="GM227" s="25">
        <f t="shared" si="135"/>
        <v>-347</v>
      </c>
      <c r="GN227" s="25"/>
      <c r="GO227" s="25"/>
      <c r="GP227" s="25"/>
      <c r="GQ227" s="25"/>
      <c r="GR227" s="25"/>
      <c r="GS227" s="25"/>
      <c r="GT227" s="25"/>
      <c r="GU227" s="25"/>
      <c r="GV227" s="25"/>
      <c r="GW227" s="25"/>
      <c r="GX227" s="25"/>
      <c r="GY227" s="25"/>
      <c r="GZ227" s="25"/>
      <c r="HA227" s="25"/>
      <c r="HB227" s="25"/>
      <c r="HC227" s="25"/>
      <c r="HD227" s="25"/>
      <c r="HE227" s="25"/>
      <c r="HF227" s="25"/>
      <c r="HG227" s="25"/>
      <c r="HH227" s="25"/>
      <c r="HI227" s="25"/>
    </row>
    <row r="228" spans="1:217" ht="13" x14ac:dyDescent="0.15">
      <c r="A228" s="27">
        <v>43588</v>
      </c>
      <c r="B228" s="28" t="s">
        <v>250</v>
      </c>
      <c r="C228" s="16">
        <f t="shared" si="136"/>
        <v>214</v>
      </c>
      <c r="D228" s="28">
        <v>21.410399999999999</v>
      </c>
      <c r="E228" s="28">
        <v>-158.17770400000001</v>
      </c>
      <c r="F228" s="28" t="s">
        <v>418</v>
      </c>
      <c r="G228" s="29">
        <v>0.375</v>
      </c>
      <c r="H228" s="29">
        <v>0.5</v>
      </c>
      <c r="I228" s="28">
        <v>6</v>
      </c>
      <c r="J228" s="28">
        <v>10</v>
      </c>
      <c r="K228" s="28" t="s">
        <v>217</v>
      </c>
      <c r="L228" s="28">
        <v>5</v>
      </c>
      <c r="M228" s="28">
        <v>1</v>
      </c>
      <c r="N228" s="28" t="s">
        <v>552</v>
      </c>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v>5</v>
      </c>
      <c r="BR228" s="28">
        <v>5</v>
      </c>
      <c r="BS228" s="28"/>
      <c r="BT228" s="28"/>
      <c r="BU228" s="28"/>
      <c r="BV228" s="28"/>
      <c r="BW228" s="28"/>
      <c r="BX228" s="28"/>
      <c r="BY228" s="28"/>
      <c r="BZ228" s="28"/>
      <c r="CA228" s="28"/>
      <c r="CB228" s="28"/>
      <c r="CC228" s="28"/>
      <c r="CD228" s="28"/>
      <c r="CE228" s="28"/>
      <c r="CF228" s="28"/>
      <c r="CG228" s="28"/>
      <c r="CH228" s="28"/>
      <c r="CI228" s="28"/>
      <c r="CJ228" s="28"/>
      <c r="CK228" s="28"/>
      <c r="CL228" s="28"/>
      <c r="CM228" s="28"/>
      <c r="CN228" s="28"/>
      <c r="CO228" s="28"/>
      <c r="CP228" s="28"/>
      <c r="CQ228" s="28"/>
      <c r="CR228" s="28"/>
      <c r="CS228" s="28"/>
      <c r="CT228" s="28"/>
      <c r="CU228" s="28"/>
      <c r="CV228" s="28"/>
      <c r="CW228" s="28"/>
      <c r="CX228" s="28"/>
      <c r="CY228" s="28"/>
      <c r="CZ228" s="28"/>
      <c r="DA228" s="28"/>
      <c r="DB228" s="28"/>
      <c r="DC228" s="28"/>
      <c r="DD228" s="28"/>
      <c r="DE228" s="28"/>
      <c r="DF228" s="28"/>
      <c r="DG228" s="28"/>
      <c r="DH228" s="28"/>
      <c r="DI228" s="28"/>
      <c r="DJ228" s="28"/>
      <c r="DK228" s="28"/>
      <c r="DL228" s="28"/>
      <c r="DM228" s="28">
        <v>2</v>
      </c>
      <c r="DN228" s="28"/>
      <c r="DO228" s="28"/>
      <c r="DP228" s="28"/>
      <c r="DQ228" s="28"/>
      <c r="DR228" s="28"/>
      <c r="DS228" s="28"/>
      <c r="DT228" s="28"/>
      <c r="DU228" s="28"/>
      <c r="DV228" s="28"/>
      <c r="DW228" s="28"/>
      <c r="DX228" s="28"/>
      <c r="DY228" s="28"/>
      <c r="DZ228" s="28"/>
      <c r="EA228" s="28"/>
      <c r="EB228" s="28"/>
      <c r="EC228" s="28"/>
      <c r="ED228" s="28"/>
      <c r="EE228" s="28"/>
      <c r="EF228" s="28"/>
      <c r="EG228" s="28"/>
      <c r="EH228" s="28"/>
      <c r="EI228" s="28"/>
      <c r="EJ228" s="28"/>
      <c r="EK228" s="28"/>
      <c r="EL228" s="28"/>
      <c r="EM228" s="28"/>
      <c r="EN228" s="28"/>
      <c r="EO228" s="28"/>
      <c r="EP228" s="28"/>
      <c r="EQ228" s="28"/>
      <c r="ER228" s="28"/>
      <c r="ES228" s="28"/>
      <c r="ET228" s="28"/>
      <c r="EU228" s="28"/>
      <c r="EV228" s="28"/>
      <c r="EW228" s="28"/>
      <c r="EX228" s="28"/>
      <c r="EY228" s="28"/>
      <c r="EZ228" s="28"/>
      <c r="FA228" s="28"/>
      <c r="FB228" s="28"/>
      <c r="FC228" s="28"/>
      <c r="FD228" s="28"/>
      <c r="FE228" s="28"/>
      <c r="FF228" s="28"/>
      <c r="FG228" s="28"/>
      <c r="FH228" s="28"/>
      <c r="FI228" s="28"/>
      <c r="FJ228" s="28"/>
      <c r="FK228" s="28"/>
      <c r="FL228" s="28"/>
      <c r="FM228" s="28"/>
      <c r="FN228" s="28"/>
      <c r="FO228" s="28"/>
      <c r="FP228" s="28"/>
      <c r="FQ228" s="28"/>
      <c r="FR228" s="28"/>
      <c r="FS228" s="28">
        <v>7</v>
      </c>
      <c r="FT228" s="28"/>
      <c r="FU228" s="28"/>
      <c r="FV228" s="28"/>
      <c r="FW228" s="28"/>
      <c r="FX228" s="28"/>
      <c r="FY228" s="28"/>
      <c r="FZ228" s="28"/>
      <c r="GA228" s="28"/>
      <c r="GB228" s="28"/>
      <c r="GC228" s="28"/>
      <c r="GD228" s="28"/>
      <c r="GE228" s="28"/>
      <c r="GF228" s="28"/>
      <c r="GG228" s="28">
        <v>1</v>
      </c>
      <c r="GH228" s="28"/>
      <c r="GI228" s="28"/>
      <c r="GJ228" s="28"/>
      <c r="GK228" s="28"/>
      <c r="GL228" s="28"/>
      <c r="GM228" s="28"/>
      <c r="GN228" s="28"/>
      <c r="GO228" s="28"/>
      <c r="GP228" s="28"/>
      <c r="GQ228" s="28"/>
      <c r="GR228" s="28"/>
      <c r="GS228" s="28"/>
      <c r="GT228" s="28"/>
      <c r="GU228" s="28"/>
      <c r="GV228" s="28"/>
      <c r="GW228" s="28"/>
      <c r="GX228" s="28"/>
      <c r="GY228" s="28"/>
      <c r="GZ228" s="28"/>
      <c r="HA228" s="28"/>
      <c r="HB228" s="28"/>
      <c r="HC228" s="28"/>
      <c r="HD228" s="28"/>
      <c r="HE228" s="28"/>
      <c r="HF228" s="28"/>
      <c r="HG228" s="28"/>
      <c r="HH228" s="28"/>
      <c r="HI228" s="28"/>
    </row>
    <row r="229" spans="1:217" ht="13" x14ac:dyDescent="0.15">
      <c r="A229" s="90">
        <v>43588</v>
      </c>
      <c r="B229" s="20" t="s">
        <v>233</v>
      </c>
      <c r="C229" s="16"/>
      <c r="D229" s="20"/>
      <c r="E229" s="20"/>
      <c r="F229" s="20"/>
      <c r="G229" s="21"/>
      <c r="H229" s="21"/>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0"/>
      <c r="DG229" s="20"/>
      <c r="DH229" s="20"/>
      <c r="DI229" s="20"/>
      <c r="DJ229" s="20"/>
      <c r="DK229" s="20"/>
      <c r="DL229" s="20"/>
      <c r="DM229" s="20"/>
      <c r="DN229" s="20"/>
      <c r="DO229" s="20"/>
      <c r="DP229" s="20"/>
      <c r="DQ229" s="20"/>
      <c r="DR229" s="20"/>
      <c r="DS229" s="20"/>
      <c r="DT229" s="20"/>
      <c r="DU229" s="20"/>
      <c r="DV229" s="20"/>
      <c r="DW229" s="20"/>
      <c r="DX229" s="20"/>
      <c r="DY229" s="20"/>
      <c r="DZ229" s="20"/>
      <c r="EA229" s="20"/>
      <c r="EB229" s="20"/>
      <c r="EC229" s="20"/>
      <c r="ED229" s="20"/>
      <c r="EE229" s="20"/>
      <c r="EF229" s="20"/>
      <c r="EG229" s="20"/>
      <c r="EH229" s="20"/>
      <c r="EI229" s="20"/>
      <c r="EJ229" s="20"/>
      <c r="EK229" s="20"/>
      <c r="EL229" s="20"/>
      <c r="EM229" s="20"/>
      <c r="EN229" s="20"/>
      <c r="EO229" s="20"/>
      <c r="EP229" s="20"/>
      <c r="EQ229" s="20"/>
      <c r="ER229" s="20"/>
      <c r="ES229" s="20"/>
      <c r="ET229" s="20"/>
      <c r="EU229" s="20"/>
      <c r="EV229" s="20"/>
      <c r="EW229" s="20"/>
      <c r="EX229" s="20"/>
      <c r="EY229" s="20"/>
      <c r="EZ229" s="20"/>
      <c r="FA229" s="20"/>
      <c r="FB229" s="20"/>
      <c r="FC229" s="20"/>
      <c r="FD229" s="20"/>
      <c r="FE229" s="20"/>
      <c r="FF229" s="20"/>
      <c r="FG229" s="20"/>
      <c r="FH229" s="20"/>
      <c r="FI229" s="20"/>
      <c r="FJ229" s="20"/>
      <c r="FK229" s="20"/>
      <c r="FL229" s="20"/>
      <c r="FM229" s="20"/>
      <c r="FN229" s="20"/>
      <c r="FO229" s="20"/>
      <c r="FP229" s="20"/>
      <c r="FQ229" s="20"/>
      <c r="FR229" s="20"/>
      <c r="FS229" s="20"/>
      <c r="FT229" s="20"/>
      <c r="FU229" s="20"/>
      <c r="FV229" s="20"/>
      <c r="FW229" s="20"/>
      <c r="FX229" s="20"/>
      <c r="FY229" s="20"/>
      <c r="FZ229" s="20"/>
      <c r="GA229" s="20"/>
      <c r="GB229" s="20"/>
      <c r="GC229" s="20"/>
      <c r="GD229" s="20"/>
      <c r="GE229" s="20"/>
      <c r="GF229" s="20"/>
      <c r="GG229" s="20"/>
      <c r="GH229" s="20"/>
      <c r="GI229" s="20"/>
      <c r="GJ229" s="20"/>
      <c r="GK229" s="20"/>
      <c r="GL229" s="20"/>
      <c r="GM229" s="20"/>
      <c r="GN229" s="20"/>
      <c r="GO229" s="20"/>
      <c r="GP229" s="20"/>
      <c r="GQ229" s="20"/>
      <c r="GR229" s="20"/>
      <c r="GS229" s="20"/>
      <c r="GT229" s="20"/>
      <c r="GU229" s="20"/>
      <c r="GV229" s="20"/>
      <c r="GW229" s="20"/>
      <c r="GX229" s="20"/>
      <c r="GY229" s="20"/>
      <c r="GZ229" s="20"/>
      <c r="HA229" s="20"/>
      <c r="HB229" s="20"/>
      <c r="HC229" s="20"/>
      <c r="HD229" s="20"/>
      <c r="HE229" s="20"/>
      <c r="HF229" s="20"/>
      <c r="HG229" s="20"/>
      <c r="HH229" s="20"/>
      <c r="HI229" s="20"/>
    </row>
    <row r="230" spans="1:217" ht="13" x14ac:dyDescent="0.15">
      <c r="A230" s="27">
        <v>43591</v>
      </c>
      <c r="B230" s="28" t="s">
        <v>250</v>
      </c>
      <c r="C230" s="16">
        <v>215</v>
      </c>
      <c r="D230" s="28">
        <v>21.410399999999999</v>
      </c>
      <c r="E230" s="28">
        <v>-158.17770400000001</v>
      </c>
      <c r="F230" s="28" t="s">
        <v>418</v>
      </c>
      <c r="G230" s="29">
        <v>0.40625</v>
      </c>
      <c r="H230" s="29">
        <v>0.47916666666666669</v>
      </c>
      <c r="I230" s="28">
        <v>5</v>
      </c>
      <c r="J230" s="28">
        <v>20</v>
      </c>
      <c r="K230" s="28" t="s">
        <v>460</v>
      </c>
      <c r="L230" s="28">
        <v>5</v>
      </c>
      <c r="M230" s="28">
        <v>24</v>
      </c>
      <c r="N230" s="28" t="s">
        <v>298</v>
      </c>
      <c r="O230" s="28"/>
      <c r="P230" s="28"/>
      <c r="Q230" s="28"/>
      <c r="R230" s="28">
        <v>4</v>
      </c>
      <c r="S230" s="28">
        <v>3</v>
      </c>
      <c r="T230" s="28"/>
      <c r="U230" s="28"/>
      <c r="V230" s="28"/>
      <c r="W230" s="28"/>
      <c r="X230" s="28"/>
      <c r="Y230" s="28"/>
      <c r="Z230" s="28"/>
      <c r="AA230" s="28"/>
      <c r="AB230" s="28"/>
      <c r="AC230" s="28">
        <v>6</v>
      </c>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v>2</v>
      </c>
      <c r="BE230" s="28"/>
      <c r="BF230" s="28"/>
      <c r="BG230" s="28"/>
      <c r="BH230" s="28"/>
      <c r="BI230" s="28"/>
      <c r="BJ230" s="28"/>
      <c r="BK230" s="28"/>
      <c r="BL230" s="28"/>
      <c r="BM230" s="28">
        <v>49</v>
      </c>
      <c r="BN230" s="28"/>
      <c r="BO230" s="28"/>
      <c r="BP230" s="28"/>
      <c r="BQ230" s="28">
        <v>59</v>
      </c>
      <c r="BR230" s="28"/>
      <c r="BS230" s="28"/>
      <c r="BT230" s="28">
        <v>1</v>
      </c>
      <c r="BU230" s="28"/>
      <c r="BV230" s="28">
        <v>7</v>
      </c>
      <c r="BW230" s="28"/>
      <c r="BX230" s="28"/>
      <c r="BY230" s="28"/>
      <c r="BZ230" s="28">
        <v>8</v>
      </c>
      <c r="CA230" s="28"/>
      <c r="CB230" s="28">
        <v>3</v>
      </c>
      <c r="CC230" s="28">
        <v>29</v>
      </c>
      <c r="CD230" s="28">
        <v>12</v>
      </c>
      <c r="CE230" s="28">
        <v>36</v>
      </c>
      <c r="CF230" s="28">
        <v>14</v>
      </c>
      <c r="CG230" s="28"/>
      <c r="CH230" s="28"/>
      <c r="CI230" s="28"/>
      <c r="CJ230" s="28"/>
      <c r="CK230" s="28"/>
      <c r="CL230" s="28"/>
      <c r="CM230" s="28"/>
      <c r="CN230" s="28"/>
      <c r="CO230" s="28">
        <v>23</v>
      </c>
      <c r="CP230" s="28"/>
      <c r="CQ230" s="28"/>
      <c r="CR230" s="28"/>
      <c r="CS230" s="28">
        <v>5</v>
      </c>
      <c r="CT230" s="28"/>
      <c r="CU230" s="28"/>
      <c r="CV230" s="28"/>
      <c r="CW230" s="28"/>
      <c r="CX230" s="28"/>
      <c r="CY230" s="28"/>
      <c r="CZ230" s="28"/>
      <c r="DA230" s="28">
        <v>1</v>
      </c>
      <c r="DB230" s="28"/>
      <c r="DC230" s="28"/>
      <c r="DD230" s="28"/>
      <c r="DE230" s="28"/>
      <c r="DF230" s="28"/>
      <c r="DG230" s="28"/>
      <c r="DH230" s="28"/>
      <c r="DI230" s="28"/>
      <c r="DJ230" s="28"/>
      <c r="DK230" s="28"/>
      <c r="DL230" s="28"/>
      <c r="DM230" s="28">
        <v>5</v>
      </c>
      <c r="DN230" s="28"/>
      <c r="DO230" s="28"/>
      <c r="DP230" s="28">
        <v>5</v>
      </c>
      <c r="DQ230" s="28"/>
      <c r="DR230" s="28"/>
      <c r="DS230" s="28"/>
      <c r="DT230" s="28"/>
      <c r="DU230" s="28"/>
      <c r="DV230" s="28"/>
      <c r="DW230" s="28"/>
      <c r="DX230" s="28"/>
      <c r="DY230" s="28"/>
      <c r="DZ230" s="28"/>
      <c r="EA230" s="28"/>
      <c r="EB230" s="28"/>
      <c r="EC230" s="28">
        <v>13</v>
      </c>
      <c r="ED230" s="28">
        <v>10</v>
      </c>
      <c r="EE230" s="28"/>
      <c r="EF230" s="28"/>
      <c r="EG230" s="28"/>
      <c r="EH230" s="28"/>
      <c r="EI230" s="28"/>
      <c r="EJ230" s="28">
        <v>11</v>
      </c>
      <c r="EK230" s="28"/>
      <c r="EL230" s="28"/>
      <c r="EM230" s="28"/>
      <c r="EN230" s="28"/>
      <c r="EO230" s="28"/>
      <c r="EP230" s="28"/>
      <c r="EQ230" s="28"/>
      <c r="ER230" s="28"/>
      <c r="ES230" s="28"/>
      <c r="ET230" s="28"/>
      <c r="EU230" s="28"/>
      <c r="EV230" s="28"/>
      <c r="EW230" s="28"/>
      <c r="EX230" s="28"/>
      <c r="EY230" s="28"/>
      <c r="EZ230" s="28"/>
      <c r="FA230" s="28"/>
      <c r="FB230" s="28">
        <v>20</v>
      </c>
      <c r="FC230" s="28">
        <v>19</v>
      </c>
      <c r="FD230" s="28"/>
      <c r="FE230" s="28"/>
      <c r="FF230" s="28"/>
      <c r="FG230" s="28"/>
      <c r="FH230" s="28"/>
      <c r="FI230" s="28"/>
      <c r="FJ230" s="28"/>
      <c r="FK230" s="28"/>
      <c r="FL230" s="28"/>
      <c r="FM230" s="28"/>
      <c r="FN230" s="28"/>
      <c r="FO230" s="28"/>
      <c r="FP230" s="28"/>
      <c r="FQ230" s="28"/>
      <c r="FR230" s="28">
        <v>11</v>
      </c>
      <c r="FS230" s="28">
        <v>170</v>
      </c>
      <c r="FT230" s="28"/>
      <c r="FU230" s="28"/>
      <c r="FV230" s="28"/>
      <c r="FW230" s="28"/>
      <c r="FX230" s="28"/>
      <c r="FY230" s="28"/>
      <c r="FZ230" s="28"/>
      <c r="GA230" s="28"/>
      <c r="GB230" s="28"/>
      <c r="GC230" s="28"/>
      <c r="GD230" s="28"/>
      <c r="GE230" s="28"/>
      <c r="GF230" s="28"/>
      <c r="GG230" s="28"/>
      <c r="GH230" s="28"/>
      <c r="GI230" s="28"/>
      <c r="GJ230" s="28"/>
      <c r="GK230" s="28"/>
      <c r="GL230" s="28"/>
      <c r="GM230" s="28"/>
      <c r="GN230" s="28"/>
      <c r="GO230" s="28"/>
      <c r="GP230" s="28"/>
      <c r="GQ230" s="28"/>
      <c r="GR230" s="28"/>
      <c r="GS230" s="28"/>
      <c r="GT230" s="28"/>
      <c r="GU230" s="28"/>
      <c r="GV230" s="28"/>
      <c r="GW230" s="28"/>
      <c r="GX230" s="28"/>
      <c r="GY230" s="28"/>
      <c r="GZ230" s="28"/>
      <c r="HA230" s="28"/>
      <c r="HB230" s="28"/>
      <c r="HC230" s="28"/>
      <c r="HD230" s="28"/>
      <c r="HE230" s="28"/>
      <c r="HF230" s="28"/>
      <c r="HG230" s="28"/>
      <c r="HH230" s="28"/>
      <c r="HI230" s="28"/>
    </row>
    <row r="231" spans="1:217" ht="13" x14ac:dyDescent="0.15">
      <c r="A231" s="27">
        <v>43592</v>
      </c>
      <c r="B231" s="28" t="s">
        <v>250</v>
      </c>
      <c r="C231" s="16">
        <f t="shared" ref="C231:C246" si="137">C230+1</f>
        <v>216</v>
      </c>
      <c r="D231" s="28">
        <v>21.410399999999999</v>
      </c>
      <c r="E231" s="28">
        <v>-158.17770400000001</v>
      </c>
      <c r="F231" s="28" t="s">
        <v>418</v>
      </c>
      <c r="G231" s="29">
        <v>0.4375</v>
      </c>
      <c r="H231" s="29">
        <v>0.47916666666666669</v>
      </c>
      <c r="I231" s="28">
        <v>5</v>
      </c>
      <c r="J231" s="28">
        <v>20</v>
      </c>
      <c r="K231" s="28" t="s">
        <v>198</v>
      </c>
      <c r="L231" s="28">
        <v>5</v>
      </c>
      <c r="M231" s="28">
        <v>19</v>
      </c>
      <c r="N231" s="28" t="s">
        <v>525</v>
      </c>
      <c r="O231" s="28"/>
      <c r="P231" s="28"/>
      <c r="Q231" s="28"/>
      <c r="R231" s="28">
        <v>7</v>
      </c>
      <c r="S231" s="28">
        <v>1</v>
      </c>
      <c r="T231" s="28"/>
      <c r="U231" s="28"/>
      <c r="V231" s="28"/>
      <c r="W231" s="28"/>
      <c r="X231" s="28"/>
      <c r="Y231" s="28"/>
      <c r="Z231" s="28"/>
      <c r="AA231" s="28"/>
      <c r="AB231" s="28"/>
      <c r="AC231" s="28">
        <v>9</v>
      </c>
      <c r="AD231" s="28"/>
      <c r="AE231" s="28"/>
      <c r="AF231" s="28"/>
      <c r="AG231" s="28"/>
      <c r="AH231" s="28"/>
      <c r="AI231" s="28">
        <v>25</v>
      </c>
      <c r="AJ231" s="28"/>
      <c r="AK231" s="28"/>
      <c r="AL231" s="28"/>
      <c r="AM231" s="28">
        <v>1</v>
      </c>
      <c r="AN231" s="28"/>
      <c r="AO231" s="28"/>
      <c r="AP231" s="28"/>
      <c r="AQ231" s="28"/>
      <c r="AR231" s="28"/>
      <c r="AS231" s="28"/>
      <c r="AT231" s="28"/>
      <c r="AU231" s="28"/>
      <c r="AV231" s="28"/>
      <c r="AW231" s="28"/>
      <c r="AX231" s="28"/>
      <c r="AY231" s="28"/>
      <c r="AZ231" s="28"/>
      <c r="BA231" s="28"/>
      <c r="BB231" s="28"/>
      <c r="BC231" s="28"/>
      <c r="BD231" s="28"/>
      <c r="BE231" s="28">
        <v>9</v>
      </c>
      <c r="BF231" s="28"/>
      <c r="BG231" s="28"/>
      <c r="BH231" s="28"/>
      <c r="BI231" s="28"/>
      <c r="BJ231" s="28"/>
      <c r="BK231" s="28"/>
      <c r="BL231" s="28">
        <v>2</v>
      </c>
      <c r="BM231" s="28"/>
      <c r="BN231" s="28">
        <v>5</v>
      </c>
      <c r="BO231" s="28"/>
      <c r="BP231" s="28"/>
      <c r="BQ231" s="28"/>
      <c r="BR231" s="28"/>
      <c r="BS231" s="28"/>
      <c r="BT231" s="28"/>
      <c r="BU231" s="28"/>
      <c r="BV231" s="28">
        <v>13</v>
      </c>
      <c r="BW231" s="28"/>
      <c r="BX231" s="28"/>
      <c r="BY231" s="28"/>
      <c r="BZ231" s="28">
        <v>8</v>
      </c>
      <c r="CA231" s="28"/>
      <c r="CB231" s="28"/>
      <c r="CC231" s="28"/>
      <c r="CD231" s="28"/>
      <c r="CE231" s="28"/>
      <c r="CF231" s="28"/>
      <c r="CG231" s="28"/>
      <c r="CH231" s="28"/>
      <c r="CI231" s="28"/>
      <c r="CJ231" s="28">
        <v>1</v>
      </c>
      <c r="CK231" s="28"/>
      <c r="CL231" s="28"/>
      <c r="CM231" s="28"/>
      <c r="CN231" s="28"/>
      <c r="CO231" s="28">
        <v>14</v>
      </c>
      <c r="CP231" s="28"/>
      <c r="CQ231" s="28"/>
      <c r="CR231" s="28"/>
      <c r="CS231" s="28">
        <v>9</v>
      </c>
      <c r="CT231" s="28"/>
      <c r="CU231" s="28"/>
      <c r="CV231" s="28">
        <v>4</v>
      </c>
      <c r="CW231" s="28"/>
      <c r="CX231" s="28"/>
      <c r="CY231" s="28"/>
      <c r="CZ231" s="28"/>
      <c r="DA231" s="28"/>
      <c r="DB231" s="28"/>
      <c r="DC231" s="28"/>
      <c r="DD231" s="28"/>
      <c r="DE231" s="28"/>
      <c r="DF231" s="28"/>
      <c r="DG231" s="28">
        <v>7</v>
      </c>
      <c r="DH231" s="28"/>
      <c r="DI231" s="28"/>
      <c r="DJ231" s="28"/>
      <c r="DK231" s="28"/>
      <c r="DL231" s="28"/>
      <c r="DM231" s="28">
        <v>59</v>
      </c>
      <c r="DN231" s="28"/>
      <c r="DO231" s="28"/>
      <c r="DP231" s="28"/>
      <c r="DQ231" s="28"/>
      <c r="DR231" s="28"/>
      <c r="DS231" s="28"/>
      <c r="DT231" s="28"/>
      <c r="DU231" s="28"/>
      <c r="DV231" s="28"/>
      <c r="DW231" s="28"/>
      <c r="DX231" s="28"/>
      <c r="DY231" s="28"/>
      <c r="DZ231" s="28"/>
      <c r="EA231" s="28"/>
      <c r="EB231" s="28"/>
      <c r="EC231" s="28">
        <v>9</v>
      </c>
      <c r="ED231" s="28"/>
      <c r="EE231" s="28"/>
      <c r="EF231" s="28"/>
      <c r="EG231" s="28"/>
      <c r="EH231" s="28"/>
      <c r="EI231" s="28"/>
      <c r="EJ231" s="28">
        <v>26</v>
      </c>
      <c r="EK231" s="28"/>
      <c r="EL231" s="28"/>
      <c r="EM231" s="28"/>
      <c r="EN231" s="28"/>
      <c r="EO231" s="28"/>
      <c r="EP231" s="28"/>
      <c r="EQ231" s="28"/>
      <c r="ER231" s="28"/>
      <c r="ES231" s="28"/>
      <c r="ET231" s="28"/>
      <c r="EU231" s="28"/>
      <c r="EV231" s="28">
        <v>15</v>
      </c>
      <c r="EW231" s="28"/>
      <c r="EX231" s="28">
        <v>42</v>
      </c>
      <c r="EY231" s="28"/>
      <c r="EZ231" s="28"/>
      <c r="FA231" s="28"/>
      <c r="FB231" s="28">
        <v>7</v>
      </c>
      <c r="FC231" s="28"/>
      <c r="FD231" s="28"/>
      <c r="FE231" s="28"/>
      <c r="FF231" s="28"/>
      <c r="FG231" s="28"/>
      <c r="FH231" s="28"/>
      <c r="FI231" s="28"/>
      <c r="FJ231" s="28"/>
      <c r="FK231" s="28"/>
      <c r="FL231" s="28"/>
      <c r="FM231" s="28"/>
      <c r="FN231" s="28"/>
      <c r="FO231" s="28"/>
      <c r="FP231" s="28"/>
      <c r="FQ231" s="28"/>
      <c r="FR231" s="28">
        <v>16</v>
      </c>
      <c r="FS231" s="28">
        <v>53</v>
      </c>
      <c r="FT231" s="28"/>
      <c r="FU231" s="28"/>
      <c r="FV231" s="28"/>
      <c r="FW231" s="28">
        <v>4</v>
      </c>
      <c r="FX231" s="28"/>
      <c r="FY231" s="28"/>
      <c r="FZ231" s="28"/>
      <c r="GA231" s="28"/>
      <c r="GB231" s="28"/>
      <c r="GC231" s="28"/>
      <c r="GD231" s="28"/>
      <c r="GE231" s="28"/>
      <c r="GF231" s="28"/>
      <c r="GG231" s="28">
        <v>3</v>
      </c>
      <c r="GH231" s="28"/>
      <c r="GI231" s="28"/>
      <c r="GJ231" s="28"/>
      <c r="GK231" s="28"/>
      <c r="GL231" s="28"/>
      <c r="GM231" s="28"/>
      <c r="GN231" s="28"/>
      <c r="GO231" s="28"/>
      <c r="GP231" s="28"/>
      <c r="GQ231" s="28"/>
      <c r="GR231" s="28"/>
      <c r="GS231" s="28"/>
      <c r="GT231" s="28"/>
      <c r="GU231" s="28"/>
      <c r="GV231" s="28"/>
      <c r="GW231" s="28"/>
      <c r="GX231" s="28"/>
      <c r="GY231" s="28"/>
      <c r="GZ231" s="28"/>
      <c r="HA231" s="28"/>
      <c r="HB231" s="28"/>
      <c r="HC231" s="28"/>
      <c r="HD231" s="28"/>
      <c r="HE231" s="28"/>
      <c r="HF231" s="28"/>
      <c r="HG231" s="28"/>
      <c r="HH231" s="28"/>
      <c r="HI231" s="28"/>
    </row>
    <row r="232" spans="1:217" ht="13" x14ac:dyDescent="0.15">
      <c r="A232" s="27">
        <v>43593</v>
      </c>
      <c r="B232" s="28" t="s">
        <v>355</v>
      </c>
      <c r="C232" s="16">
        <f t="shared" si="137"/>
        <v>217</v>
      </c>
      <c r="D232" s="28">
        <v>21.284300000000002</v>
      </c>
      <c r="E232" s="28">
        <v>-157.67529300000001</v>
      </c>
      <c r="F232" s="28" t="s">
        <v>356</v>
      </c>
      <c r="G232" s="29">
        <v>0.38472222222222224</v>
      </c>
      <c r="H232" s="29">
        <v>0.42986111111111114</v>
      </c>
      <c r="I232" s="28">
        <v>7</v>
      </c>
      <c r="J232" s="28">
        <v>28</v>
      </c>
      <c r="K232" s="28" t="s">
        <v>217</v>
      </c>
      <c r="L232" s="28">
        <v>4</v>
      </c>
      <c r="M232" s="28">
        <v>5</v>
      </c>
      <c r="N232" s="28" t="s">
        <v>553</v>
      </c>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v>2</v>
      </c>
      <c r="BC232" s="28"/>
      <c r="BD232" s="28"/>
      <c r="BE232" s="28"/>
      <c r="BF232" s="28"/>
      <c r="BG232" s="28"/>
      <c r="BH232" s="28"/>
      <c r="BI232" s="28"/>
      <c r="BJ232" s="28"/>
      <c r="BK232" s="28"/>
      <c r="BL232" s="28"/>
      <c r="BM232" s="28">
        <v>2</v>
      </c>
      <c r="BN232" s="28"/>
      <c r="BO232" s="28"/>
      <c r="BP232" s="28"/>
      <c r="BQ232" s="28"/>
      <c r="BR232" s="28"/>
      <c r="BS232" s="28"/>
      <c r="BT232" s="28"/>
      <c r="BU232" s="28"/>
      <c r="BV232" s="28"/>
      <c r="BW232" s="28"/>
      <c r="BX232" s="28"/>
      <c r="BY232" s="28"/>
      <c r="BZ232" s="28">
        <v>1</v>
      </c>
      <c r="CA232" s="28"/>
      <c r="CB232" s="28"/>
      <c r="CC232" s="28"/>
      <c r="CD232" s="28"/>
      <c r="CE232" s="28"/>
      <c r="CF232" s="28"/>
      <c r="CG232" s="28"/>
      <c r="CH232" s="28"/>
      <c r="CI232" s="28"/>
      <c r="CJ232" s="28"/>
      <c r="CK232" s="28"/>
      <c r="CL232" s="28"/>
      <c r="CM232" s="28"/>
      <c r="CN232" s="28"/>
      <c r="CO232" s="28"/>
      <c r="CP232" s="28"/>
      <c r="CQ232" s="28"/>
      <c r="CR232" s="28"/>
      <c r="CS232" s="28"/>
      <c r="CT232" s="28"/>
      <c r="CU232" s="28"/>
      <c r="CV232" s="28"/>
      <c r="CW232" s="28"/>
      <c r="CX232" s="28"/>
      <c r="CY232" s="28"/>
      <c r="CZ232" s="28"/>
      <c r="DA232" s="28"/>
      <c r="DB232" s="28"/>
      <c r="DC232" s="28"/>
      <c r="DD232" s="28"/>
      <c r="DE232" s="28"/>
      <c r="DF232" s="28"/>
      <c r="DG232" s="28"/>
      <c r="DH232" s="28"/>
      <c r="DI232" s="28"/>
      <c r="DJ232" s="28"/>
      <c r="DK232" s="28"/>
      <c r="DL232" s="28"/>
      <c r="DM232" s="28"/>
      <c r="DN232" s="28"/>
      <c r="DO232" s="28"/>
      <c r="DP232" s="28"/>
      <c r="DQ232" s="28"/>
      <c r="DR232" s="28"/>
      <c r="DS232" s="28"/>
      <c r="DT232" s="28"/>
      <c r="DU232" s="28"/>
      <c r="DV232" s="28"/>
      <c r="DW232" s="28"/>
      <c r="DX232" s="28"/>
      <c r="DY232" s="28"/>
      <c r="DZ232" s="28"/>
      <c r="EA232" s="28"/>
      <c r="EB232" s="28"/>
      <c r="EC232" s="28"/>
      <c r="ED232" s="28"/>
      <c r="EE232" s="28"/>
      <c r="EF232" s="28"/>
      <c r="EG232" s="28"/>
      <c r="EH232" s="28"/>
      <c r="EI232" s="28"/>
      <c r="EJ232" s="28">
        <v>2</v>
      </c>
      <c r="EK232" s="28"/>
      <c r="EL232" s="28"/>
      <c r="EM232" s="28"/>
      <c r="EN232" s="28"/>
      <c r="EO232" s="28"/>
      <c r="EP232" s="28"/>
      <c r="EQ232" s="28"/>
      <c r="ER232" s="28"/>
      <c r="ES232" s="28"/>
      <c r="ET232" s="28"/>
      <c r="EU232" s="28"/>
      <c r="EV232" s="28"/>
      <c r="EW232" s="28"/>
      <c r="EX232" s="28"/>
      <c r="EY232" s="28"/>
      <c r="EZ232" s="28"/>
      <c r="FA232" s="28"/>
      <c r="FB232" s="28"/>
      <c r="FC232" s="28"/>
      <c r="FD232" s="28"/>
      <c r="FE232" s="28"/>
      <c r="FF232" s="28"/>
      <c r="FG232" s="28"/>
      <c r="FH232" s="28"/>
      <c r="FI232" s="28"/>
      <c r="FJ232" s="28"/>
      <c r="FK232" s="28"/>
      <c r="FL232" s="28"/>
      <c r="FM232" s="28"/>
      <c r="FN232" s="28"/>
      <c r="FO232" s="28"/>
      <c r="FP232" s="28"/>
      <c r="FQ232" s="28"/>
      <c r="FR232" s="28">
        <v>3</v>
      </c>
      <c r="FS232" s="28">
        <v>3</v>
      </c>
      <c r="FT232" s="28"/>
      <c r="FU232" s="28"/>
      <c r="FV232" s="28"/>
      <c r="FW232" s="28"/>
      <c r="FX232" s="28"/>
      <c r="FY232" s="28"/>
      <c r="FZ232" s="28"/>
      <c r="GA232" s="28"/>
      <c r="GB232" s="28"/>
      <c r="GC232" s="28"/>
      <c r="GD232" s="28"/>
      <c r="GE232" s="28"/>
      <c r="GF232" s="28"/>
      <c r="GG232" s="28"/>
      <c r="GH232" s="28"/>
      <c r="GI232" s="28"/>
      <c r="GJ232" s="28"/>
      <c r="GK232" s="28"/>
      <c r="GL232" s="28"/>
      <c r="GM232" s="28"/>
      <c r="GN232" s="28"/>
      <c r="GO232" s="28"/>
      <c r="GP232" s="28"/>
      <c r="GQ232" s="28"/>
      <c r="GR232" s="28"/>
      <c r="GS232" s="28"/>
      <c r="GT232" s="28"/>
      <c r="GU232" s="28"/>
      <c r="GV232" s="28"/>
      <c r="GW232" s="28"/>
      <c r="GX232" s="28"/>
      <c r="GY232" s="28"/>
      <c r="GZ232" s="28"/>
      <c r="HA232" s="28"/>
      <c r="HB232" s="28"/>
      <c r="HC232" s="28"/>
      <c r="HD232" s="28"/>
      <c r="HE232" s="28"/>
      <c r="HF232" s="28"/>
      <c r="HG232" s="28"/>
      <c r="HH232" s="28"/>
      <c r="HI232" s="28"/>
    </row>
    <row r="233" spans="1:217" ht="13" x14ac:dyDescent="0.15">
      <c r="A233" s="13">
        <v>43602</v>
      </c>
      <c r="B233" s="3" t="s">
        <v>489</v>
      </c>
      <c r="C233" s="16">
        <f t="shared" si="137"/>
        <v>218</v>
      </c>
      <c r="D233" s="3">
        <v>19.640812</v>
      </c>
      <c r="E233" s="3">
        <v>-156.00692699999999</v>
      </c>
      <c r="F233" s="3" t="s">
        <v>418</v>
      </c>
      <c r="G233" s="14">
        <v>0.36458333333333331</v>
      </c>
      <c r="H233" s="14">
        <v>0.44791666666666669</v>
      </c>
      <c r="I233" s="3">
        <v>5</v>
      </c>
      <c r="J233" s="3">
        <v>22</v>
      </c>
      <c r="K233" s="3" t="s">
        <v>227</v>
      </c>
      <c r="L233" s="3">
        <v>10</v>
      </c>
      <c r="M233" s="3">
        <v>19</v>
      </c>
      <c r="N233" s="3" t="s">
        <v>502</v>
      </c>
      <c r="P233" s="3">
        <v>19</v>
      </c>
      <c r="AC233" s="3"/>
      <c r="AD233" s="3">
        <v>12</v>
      </c>
      <c r="AH233" s="3">
        <v>2</v>
      </c>
      <c r="BA233" s="3"/>
      <c r="BB233" s="3">
        <v>1</v>
      </c>
      <c r="BG233" s="3">
        <v>10</v>
      </c>
      <c r="BH233" s="3">
        <v>3</v>
      </c>
      <c r="BL233" s="3">
        <v>1</v>
      </c>
      <c r="BM233" s="3">
        <v>28</v>
      </c>
      <c r="CC233" s="3">
        <v>17</v>
      </c>
      <c r="CD233" s="3">
        <v>5</v>
      </c>
      <c r="DM233" s="3">
        <v>21</v>
      </c>
      <c r="EE233" s="3"/>
      <c r="EF233" s="3"/>
      <c r="EG233" s="3"/>
      <c r="EH233" s="3"/>
      <c r="EI233" s="3"/>
      <c r="EJ233" s="3">
        <v>2</v>
      </c>
      <c r="FA233" s="3">
        <v>27</v>
      </c>
      <c r="FB233" s="3">
        <v>58</v>
      </c>
      <c r="FS233" s="3">
        <v>134</v>
      </c>
      <c r="FV233" s="3"/>
      <c r="FW233" s="3">
        <v>1</v>
      </c>
      <c r="GH233" s="3">
        <f t="shared" ref="GH233:GH234" si="138">COUNT(R233:GG233)</f>
        <v>15</v>
      </c>
      <c r="GI233" s="3">
        <f t="shared" ref="GI233:GI234" si="139">COUNTIF(R233:GG233,"&gt;=2")</f>
        <v>12</v>
      </c>
      <c r="GJ233" s="3">
        <f t="shared" ref="GJ233:GJ234" si="140">COUNTIF(R233:GG233,"&gt;=5")</f>
        <v>9</v>
      </c>
      <c r="GK233" s="3">
        <f t="shared" ref="GK233:GK234" si="141">SUM(R233:GG233)</f>
        <v>322</v>
      </c>
      <c r="GL233" s="3">
        <f t="shared" ref="GL233:GL234" si="142">25*P233</f>
        <v>475</v>
      </c>
      <c r="GM233" s="3">
        <f t="shared" ref="GM233:GM234" si="143">GL233-GK233</f>
        <v>153</v>
      </c>
    </row>
    <row r="234" spans="1:217" ht="13" x14ac:dyDescent="0.15">
      <c r="A234" s="13">
        <v>43602</v>
      </c>
      <c r="B234" s="3" t="s">
        <v>244</v>
      </c>
      <c r="C234" s="16">
        <f t="shared" si="137"/>
        <v>219</v>
      </c>
      <c r="D234" s="3">
        <v>21.310611999999999</v>
      </c>
      <c r="E234" s="3">
        <v>-158.00441000000001</v>
      </c>
      <c r="F234" s="3" t="s">
        <v>503</v>
      </c>
      <c r="G234" s="14">
        <v>0.35416666666666669</v>
      </c>
      <c r="H234" s="14">
        <v>0.4375</v>
      </c>
      <c r="I234" s="3">
        <v>5</v>
      </c>
      <c r="J234" s="3">
        <v>10</v>
      </c>
      <c r="K234" s="3" t="s">
        <v>217</v>
      </c>
      <c r="L234" s="3">
        <v>5</v>
      </c>
      <c r="M234" s="3">
        <v>25</v>
      </c>
      <c r="P234" s="3">
        <v>25</v>
      </c>
      <c r="R234" s="3">
        <v>19</v>
      </c>
      <c r="AE234" s="3">
        <v>17</v>
      </c>
      <c r="AI234" s="3">
        <v>1</v>
      </c>
      <c r="BC234" s="3">
        <v>22</v>
      </c>
      <c r="BD234" s="3">
        <v>4</v>
      </c>
      <c r="BE234" s="3">
        <v>2</v>
      </c>
      <c r="BM234" s="3">
        <v>22</v>
      </c>
      <c r="BV234" s="3">
        <v>26</v>
      </c>
      <c r="BZ234" s="3">
        <v>4</v>
      </c>
      <c r="EC234" s="3">
        <v>8</v>
      </c>
      <c r="EE234" s="3"/>
      <c r="EF234" s="3"/>
      <c r="EG234" s="3"/>
      <c r="EH234" s="3"/>
      <c r="EI234" s="3"/>
      <c r="EJ234" s="3">
        <v>261</v>
      </c>
      <c r="EX234" s="3">
        <v>5</v>
      </c>
      <c r="FF234" s="3">
        <v>2</v>
      </c>
      <c r="FR234" s="3">
        <v>2</v>
      </c>
      <c r="FS234" s="3">
        <v>97</v>
      </c>
      <c r="FV234" s="3"/>
      <c r="FW234" s="3">
        <v>1</v>
      </c>
      <c r="GH234" s="3">
        <f t="shared" si="138"/>
        <v>16</v>
      </c>
      <c r="GI234" s="3">
        <f t="shared" si="139"/>
        <v>14</v>
      </c>
      <c r="GJ234" s="3">
        <f t="shared" si="140"/>
        <v>9</v>
      </c>
      <c r="GK234" s="3">
        <f t="shared" si="141"/>
        <v>493</v>
      </c>
      <c r="GL234" s="3">
        <f t="shared" si="142"/>
        <v>625</v>
      </c>
      <c r="GM234" s="3">
        <f t="shared" si="143"/>
        <v>132</v>
      </c>
    </row>
    <row r="235" spans="1:217" ht="13" x14ac:dyDescent="0.15">
      <c r="A235" s="27">
        <v>43602</v>
      </c>
      <c r="B235" s="28" t="s">
        <v>377</v>
      </c>
      <c r="C235" s="16">
        <f t="shared" si="137"/>
        <v>220</v>
      </c>
      <c r="D235" s="28">
        <v>20.704999999999998</v>
      </c>
      <c r="E235" s="28">
        <v>-156.446945</v>
      </c>
      <c r="F235" s="28" t="s">
        <v>378</v>
      </c>
      <c r="G235" s="29">
        <v>0.3888888888888889</v>
      </c>
      <c r="H235" s="29">
        <v>0.45833333333333331</v>
      </c>
      <c r="I235" s="28">
        <v>8</v>
      </c>
      <c r="J235" s="28">
        <v>16</v>
      </c>
      <c r="K235" s="28" t="s">
        <v>198</v>
      </c>
      <c r="L235" s="28">
        <v>8</v>
      </c>
      <c r="M235" s="28">
        <v>35</v>
      </c>
      <c r="N235" s="28" t="s">
        <v>554</v>
      </c>
      <c r="O235" s="28"/>
      <c r="P235" s="28"/>
      <c r="Q235" s="28"/>
      <c r="R235" s="28"/>
      <c r="S235" s="28"/>
      <c r="T235" s="28"/>
      <c r="U235" s="28"/>
      <c r="V235" s="28"/>
      <c r="W235" s="28"/>
      <c r="X235" s="28"/>
      <c r="Y235" s="28"/>
      <c r="Z235" s="28"/>
      <c r="AA235" s="28"/>
      <c r="AB235" s="28"/>
      <c r="AC235" s="28"/>
      <c r="AD235" s="28"/>
      <c r="AE235" s="28"/>
      <c r="AF235" s="28"/>
      <c r="AG235" s="28">
        <v>24</v>
      </c>
      <c r="AH235" s="28"/>
      <c r="AI235" s="28"/>
      <c r="AJ235" s="28"/>
      <c r="AK235" s="28"/>
      <c r="AL235" s="28"/>
      <c r="AM235" s="28"/>
      <c r="AN235" s="28"/>
      <c r="AO235" s="28"/>
      <c r="AP235" s="28"/>
      <c r="AQ235" s="28"/>
      <c r="AR235" s="28"/>
      <c r="AS235" s="28"/>
      <c r="AT235" s="28"/>
      <c r="AU235" s="28"/>
      <c r="AV235" s="28"/>
      <c r="AW235" s="28"/>
      <c r="AX235" s="28">
        <v>3</v>
      </c>
      <c r="AY235" s="28"/>
      <c r="AZ235" s="28"/>
      <c r="BA235" s="28"/>
      <c r="BB235" s="28"/>
      <c r="BC235" s="28">
        <v>33</v>
      </c>
      <c r="BD235" s="28"/>
      <c r="BE235" s="28"/>
      <c r="BF235" s="28">
        <v>6</v>
      </c>
      <c r="BG235" s="28"/>
      <c r="BH235" s="28"/>
      <c r="BI235" s="28"/>
      <c r="BJ235" s="28"/>
      <c r="BK235" s="28"/>
      <c r="BL235" s="28"/>
      <c r="BM235" s="28">
        <v>21</v>
      </c>
      <c r="BN235" s="28"/>
      <c r="BO235" s="28"/>
      <c r="BP235" s="28"/>
      <c r="BQ235" s="28"/>
      <c r="BR235" s="28"/>
      <c r="BS235" s="28"/>
      <c r="BT235" s="28"/>
      <c r="BU235" s="28"/>
      <c r="BV235" s="28"/>
      <c r="BW235" s="28"/>
      <c r="BX235" s="28"/>
      <c r="BY235" s="28"/>
      <c r="BZ235" s="28"/>
      <c r="CA235" s="28"/>
      <c r="CB235" s="28"/>
      <c r="CC235" s="28"/>
      <c r="CD235" s="28"/>
      <c r="CE235" s="28"/>
      <c r="CF235" s="28"/>
      <c r="CG235" s="28"/>
      <c r="CH235" s="28"/>
      <c r="CI235" s="28"/>
      <c r="CJ235" s="28"/>
      <c r="CK235" s="28"/>
      <c r="CL235" s="28"/>
      <c r="CM235" s="28"/>
      <c r="CN235" s="28"/>
      <c r="CO235" s="28"/>
      <c r="CP235" s="28"/>
      <c r="CQ235" s="28"/>
      <c r="CR235" s="28"/>
      <c r="CS235" s="28"/>
      <c r="CT235" s="28"/>
      <c r="CU235" s="28"/>
      <c r="CV235" s="28"/>
      <c r="CW235" s="28"/>
      <c r="CX235" s="28"/>
      <c r="CY235" s="28"/>
      <c r="CZ235" s="28"/>
      <c r="DA235" s="28"/>
      <c r="DB235" s="28"/>
      <c r="DC235" s="28"/>
      <c r="DD235" s="28"/>
      <c r="DE235" s="28"/>
      <c r="DF235" s="28"/>
      <c r="DG235" s="28"/>
      <c r="DH235" s="28">
        <v>11</v>
      </c>
      <c r="DI235" s="28"/>
      <c r="DJ235" s="28"/>
      <c r="DK235" s="28"/>
      <c r="DL235" s="28"/>
      <c r="DM235" s="28"/>
      <c r="DN235" s="28"/>
      <c r="DO235" s="28"/>
      <c r="DP235" s="28">
        <v>1</v>
      </c>
      <c r="DQ235" s="28"/>
      <c r="DR235" s="28"/>
      <c r="DS235" s="28">
        <v>6</v>
      </c>
      <c r="DT235" s="28"/>
      <c r="DU235" s="28"/>
      <c r="DV235" s="28"/>
      <c r="DW235" s="28"/>
      <c r="DX235" s="28"/>
      <c r="DY235" s="28"/>
      <c r="DZ235" s="28">
        <v>2</v>
      </c>
      <c r="EA235" s="28"/>
      <c r="EB235" s="28"/>
      <c r="EC235" s="28"/>
      <c r="ED235" s="28"/>
      <c r="EE235" s="28"/>
      <c r="EF235" s="28"/>
      <c r="EG235" s="28"/>
      <c r="EH235" s="28"/>
      <c r="EI235" s="28"/>
      <c r="EJ235" s="28">
        <v>8</v>
      </c>
      <c r="EK235" s="28"/>
      <c r="EL235" s="28"/>
      <c r="EM235" s="28"/>
      <c r="EN235" s="28"/>
      <c r="EO235" s="28"/>
      <c r="EP235" s="28"/>
      <c r="EQ235" s="28"/>
      <c r="ER235" s="28"/>
      <c r="ES235" s="28"/>
      <c r="ET235" s="28"/>
      <c r="EU235" s="28"/>
      <c r="EV235" s="28"/>
      <c r="EW235" s="28"/>
      <c r="EX235" s="28"/>
      <c r="EY235" s="28"/>
      <c r="EZ235" s="28"/>
      <c r="FA235" s="28"/>
      <c r="FB235" s="28"/>
      <c r="FC235" s="28">
        <v>9</v>
      </c>
      <c r="FD235" s="28"/>
      <c r="FE235" s="28"/>
      <c r="FF235" s="28">
        <v>3</v>
      </c>
      <c r="FG235" s="28"/>
      <c r="FH235" s="28"/>
      <c r="FI235" s="28">
        <v>1</v>
      </c>
      <c r="FJ235" s="28"/>
      <c r="FK235" s="28"/>
      <c r="FL235" s="28"/>
      <c r="FM235" s="28"/>
      <c r="FN235" s="28"/>
      <c r="FO235" s="28"/>
      <c r="FP235" s="28"/>
      <c r="FQ235" s="28"/>
      <c r="FR235" s="28"/>
      <c r="FS235" s="28">
        <v>58</v>
      </c>
      <c r="FT235" s="28"/>
      <c r="FU235" s="28"/>
      <c r="FV235" s="28"/>
      <c r="FW235" s="28">
        <v>9</v>
      </c>
      <c r="FX235" s="28"/>
      <c r="FY235" s="28"/>
      <c r="FZ235" s="28"/>
      <c r="GA235" s="28">
        <v>12</v>
      </c>
      <c r="GB235" s="28"/>
      <c r="GC235" s="28"/>
      <c r="GD235" s="28">
        <v>61</v>
      </c>
      <c r="GE235" s="28"/>
      <c r="GF235" s="28"/>
      <c r="GG235" s="28"/>
      <c r="GH235" s="28"/>
      <c r="GI235" s="28"/>
      <c r="GJ235" s="28"/>
      <c r="GK235" s="28"/>
      <c r="GL235" s="28"/>
      <c r="GM235" s="28"/>
      <c r="GN235" s="28"/>
      <c r="GO235" s="28"/>
      <c r="GP235" s="28"/>
      <c r="GQ235" s="28"/>
      <c r="GR235" s="28"/>
      <c r="GS235" s="28"/>
      <c r="GT235" s="28"/>
      <c r="GU235" s="28"/>
      <c r="GV235" s="28"/>
      <c r="GW235" s="28"/>
      <c r="GX235" s="28"/>
      <c r="GY235" s="28"/>
      <c r="GZ235" s="28"/>
      <c r="HA235" s="28"/>
      <c r="HB235" s="28"/>
      <c r="HC235" s="28"/>
      <c r="HD235" s="28"/>
      <c r="HE235" s="28"/>
      <c r="HF235" s="28"/>
      <c r="HG235" s="28"/>
      <c r="HH235" s="28"/>
      <c r="HI235" s="28"/>
    </row>
    <row r="236" spans="1:217" ht="13" x14ac:dyDescent="0.15">
      <c r="A236" s="27">
        <v>43605</v>
      </c>
      <c r="B236" s="28" t="s">
        <v>307</v>
      </c>
      <c r="C236" s="16">
        <f t="shared" si="137"/>
        <v>221</v>
      </c>
      <c r="D236" s="28">
        <v>19.736111000000001</v>
      </c>
      <c r="E236" s="28">
        <v>-155.03083799999999</v>
      </c>
      <c r="F236" s="28" t="s">
        <v>308</v>
      </c>
      <c r="G236" s="29">
        <v>0.40625</v>
      </c>
      <c r="H236" s="29">
        <v>0.46875</v>
      </c>
      <c r="I236" s="28">
        <v>8</v>
      </c>
      <c r="J236" s="28">
        <v>12</v>
      </c>
      <c r="K236" s="28" t="s">
        <v>217</v>
      </c>
      <c r="L236" s="28">
        <v>8</v>
      </c>
      <c r="M236" s="28">
        <v>43</v>
      </c>
      <c r="N236" s="28" t="s">
        <v>555</v>
      </c>
      <c r="O236" s="28"/>
      <c r="P236" s="28"/>
      <c r="Q236" s="28"/>
      <c r="R236" s="28">
        <v>3</v>
      </c>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v>28</v>
      </c>
      <c r="BN236" s="28"/>
      <c r="BO236" s="28"/>
      <c r="BP236" s="28"/>
      <c r="BQ236" s="28">
        <v>2</v>
      </c>
      <c r="BR236" s="28"/>
      <c r="BS236" s="28"/>
      <c r="BT236" s="28"/>
      <c r="BU236" s="28"/>
      <c r="BV236" s="28">
        <v>5</v>
      </c>
      <c r="BW236" s="28"/>
      <c r="BX236" s="28"/>
      <c r="BY236" s="28"/>
      <c r="BZ236" s="28"/>
      <c r="CA236" s="28"/>
      <c r="CB236" s="28"/>
      <c r="CC236" s="28"/>
      <c r="CD236" s="28"/>
      <c r="CE236" s="28"/>
      <c r="CF236" s="28"/>
      <c r="CG236" s="28"/>
      <c r="CH236" s="28"/>
      <c r="CI236" s="28"/>
      <c r="CJ236" s="28"/>
      <c r="CK236" s="28"/>
      <c r="CL236" s="28"/>
      <c r="CM236" s="28"/>
      <c r="CN236" s="28"/>
      <c r="CO236" s="28">
        <v>13</v>
      </c>
      <c r="CP236" s="28"/>
      <c r="CQ236" s="28"/>
      <c r="CR236" s="28"/>
      <c r="CS236" s="28"/>
      <c r="CT236" s="28"/>
      <c r="CU236" s="28"/>
      <c r="CV236" s="28"/>
      <c r="CW236" s="28"/>
      <c r="CX236" s="28"/>
      <c r="CY236" s="28"/>
      <c r="CZ236" s="28"/>
      <c r="DA236" s="28">
        <v>1</v>
      </c>
      <c r="DB236" s="28"/>
      <c r="DC236" s="28"/>
      <c r="DD236" s="28"/>
      <c r="DE236" s="28"/>
      <c r="DF236" s="28"/>
      <c r="DG236" s="28"/>
      <c r="DH236" s="28"/>
      <c r="DI236" s="28"/>
      <c r="DJ236" s="28"/>
      <c r="DK236" s="28"/>
      <c r="DL236" s="28"/>
      <c r="DM236" s="28"/>
      <c r="DN236" s="28"/>
      <c r="DO236" s="28"/>
      <c r="DP236" s="28">
        <v>8</v>
      </c>
      <c r="DQ236" s="28"/>
      <c r="DR236" s="28"/>
      <c r="DS236" s="28"/>
      <c r="DT236" s="28"/>
      <c r="DU236" s="28"/>
      <c r="DV236" s="28"/>
      <c r="DW236" s="28"/>
      <c r="DX236" s="28"/>
      <c r="DY236" s="28"/>
      <c r="DZ236" s="28"/>
      <c r="EA236" s="28">
        <v>2</v>
      </c>
      <c r="EB236" s="28"/>
      <c r="EC236" s="28"/>
      <c r="ED236" s="28"/>
      <c r="EE236" s="28">
        <v>2</v>
      </c>
      <c r="EF236" s="28"/>
      <c r="EG236" s="28"/>
      <c r="EH236" s="28"/>
      <c r="EI236" s="28"/>
      <c r="EJ236" s="28">
        <v>3</v>
      </c>
      <c r="EK236" s="28"/>
      <c r="EL236" s="28"/>
      <c r="EM236" s="28"/>
      <c r="EN236" s="28"/>
      <c r="EO236" s="28"/>
      <c r="EP236" s="28"/>
      <c r="EQ236" s="28"/>
      <c r="ER236" s="28"/>
      <c r="ES236" s="28"/>
      <c r="ET236" s="28"/>
      <c r="EU236" s="28"/>
      <c r="EV236" s="28"/>
      <c r="EW236" s="28"/>
      <c r="EX236" s="28">
        <v>1</v>
      </c>
      <c r="EY236" s="28"/>
      <c r="EZ236" s="28"/>
      <c r="FA236" s="28"/>
      <c r="FB236" s="28"/>
      <c r="FC236" s="28"/>
      <c r="FD236" s="28"/>
      <c r="FE236" s="28">
        <v>8</v>
      </c>
      <c r="FF236" s="28">
        <v>9</v>
      </c>
      <c r="FG236" s="28"/>
      <c r="FH236" s="28"/>
      <c r="FI236" s="28"/>
      <c r="FJ236" s="28"/>
      <c r="FK236" s="28"/>
      <c r="FL236" s="28"/>
      <c r="FM236" s="28"/>
      <c r="FN236" s="28"/>
      <c r="FO236" s="28"/>
      <c r="FP236" s="28"/>
      <c r="FQ236" s="28"/>
      <c r="FR236" s="28">
        <v>9</v>
      </c>
      <c r="FS236" s="28">
        <v>480</v>
      </c>
      <c r="FT236" s="28"/>
      <c r="FU236" s="28"/>
      <c r="FV236" s="28"/>
      <c r="FW236" s="28"/>
      <c r="FX236" s="28">
        <v>1</v>
      </c>
      <c r="FY236" s="28"/>
      <c r="FZ236" s="28"/>
      <c r="GA236" s="28"/>
      <c r="GB236" s="28"/>
      <c r="GC236" s="28"/>
      <c r="GD236" s="28"/>
      <c r="GE236" s="28"/>
      <c r="GF236" s="28"/>
      <c r="GG236" s="28"/>
      <c r="GH236" s="28"/>
      <c r="GI236" s="28"/>
      <c r="GJ236" s="28"/>
      <c r="GK236" s="28"/>
      <c r="GL236" s="28"/>
      <c r="GM236" s="28"/>
      <c r="GN236" s="28"/>
      <c r="GO236" s="28"/>
      <c r="GP236" s="28"/>
      <c r="GQ236" s="28"/>
      <c r="GR236" s="28"/>
      <c r="GS236" s="28"/>
      <c r="GT236" s="28"/>
      <c r="GU236" s="28"/>
      <c r="GV236" s="28"/>
      <c r="GW236" s="28"/>
      <c r="GX236" s="28"/>
      <c r="GY236" s="28"/>
      <c r="GZ236" s="28"/>
      <c r="HA236" s="28"/>
      <c r="HB236" s="28"/>
      <c r="HC236" s="28"/>
      <c r="HD236" s="28"/>
      <c r="HE236" s="28"/>
      <c r="HF236" s="28"/>
      <c r="HG236" s="28"/>
      <c r="HH236" s="28"/>
      <c r="HI236" s="28"/>
    </row>
    <row r="237" spans="1:217" ht="13" x14ac:dyDescent="0.15">
      <c r="A237" s="24">
        <v>43734</v>
      </c>
      <c r="B237" s="25" t="s">
        <v>329</v>
      </c>
      <c r="C237" s="16">
        <f t="shared" si="137"/>
        <v>222</v>
      </c>
      <c r="D237" s="25">
        <v>21.140799999999999</v>
      </c>
      <c r="E237" s="25">
        <v>-157.29011499999999</v>
      </c>
      <c r="F237" s="25" t="s">
        <v>286</v>
      </c>
      <c r="G237" s="26">
        <v>0.375</v>
      </c>
      <c r="H237" s="26">
        <v>0.39166666666666666</v>
      </c>
      <c r="I237" s="25">
        <v>3</v>
      </c>
      <c r="J237" s="25">
        <v>14</v>
      </c>
      <c r="K237" s="25" t="s">
        <v>198</v>
      </c>
      <c r="L237" s="25">
        <v>14</v>
      </c>
      <c r="M237" s="25">
        <v>15</v>
      </c>
      <c r="N237" s="25" t="s">
        <v>504</v>
      </c>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v>3</v>
      </c>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c r="BU237" s="25"/>
      <c r="BV237" s="25"/>
      <c r="BW237" s="25"/>
      <c r="BX237" s="25">
        <v>1</v>
      </c>
      <c r="BY237" s="25"/>
      <c r="BZ237" s="25"/>
      <c r="CA237" s="25"/>
      <c r="CB237" s="25"/>
      <c r="CC237" s="25"/>
      <c r="CD237" s="25"/>
      <c r="CE237" s="25"/>
      <c r="CF237" s="25"/>
      <c r="CG237" s="25"/>
      <c r="CH237" s="25"/>
      <c r="CI237" s="25"/>
      <c r="CJ237" s="25"/>
      <c r="CK237" s="25"/>
      <c r="CL237" s="25"/>
      <c r="CM237" s="25"/>
      <c r="CN237" s="25"/>
      <c r="CO237" s="25"/>
      <c r="CP237" s="25"/>
      <c r="CQ237" s="25"/>
      <c r="CR237" s="25"/>
      <c r="CS237" s="25"/>
      <c r="CT237" s="25"/>
      <c r="CU237" s="25"/>
      <c r="CV237" s="25"/>
      <c r="CW237" s="25"/>
      <c r="CX237" s="25"/>
      <c r="CY237" s="25"/>
      <c r="CZ237" s="25"/>
      <c r="DA237" s="25"/>
      <c r="DB237" s="25"/>
      <c r="DC237" s="25"/>
      <c r="DD237" s="25"/>
      <c r="DE237" s="25"/>
      <c r="DF237" s="25"/>
      <c r="DG237" s="25"/>
      <c r="DH237" s="25"/>
      <c r="DI237" s="25"/>
      <c r="DJ237" s="25"/>
      <c r="DK237" s="25"/>
      <c r="DL237" s="25"/>
      <c r="DM237" s="25"/>
      <c r="DN237" s="25"/>
      <c r="DO237" s="25"/>
      <c r="DP237" s="25"/>
      <c r="DQ237" s="25"/>
      <c r="DR237" s="25"/>
      <c r="DS237" s="25"/>
      <c r="DT237" s="25"/>
      <c r="DU237" s="25"/>
      <c r="DV237" s="25"/>
      <c r="DW237" s="25"/>
      <c r="DX237" s="25"/>
      <c r="DY237" s="25"/>
      <c r="DZ237" s="25"/>
      <c r="EA237" s="25"/>
      <c r="EB237" s="25"/>
      <c r="EC237" s="25"/>
      <c r="ED237" s="25"/>
      <c r="EE237" s="25"/>
      <c r="EF237" s="25"/>
      <c r="EG237" s="25"/>
      <c r="EH237" s="25"/>
      <c r="EI237" s="25"/>
      <c r="EJ237" s="25">
        <v>186</v>
      </c>
      <c r="EK237" s="25"/>
      <c r="EL237" s="25"/>
      <c r="EM237" s="25"/>
      <c r="EN237" s="25"/>
      <c r="EO237" s="25"/>
      <c r="EP237" s="25"/>
      <c r="EQ237" s="25"/>
      <c r="ER237" s="25"/>
      <c r="ES237" s="25"/>
      <c r="ET237" s="25"/>
      <c r="EU237" s="25"/>
      <c r="EV237" s="25"/>
      <c r="EW237" s="25"/>
      <c r="EX237" s="25"/>
      <c r="EY237" s="25"/>
      <c r="EZ237" s="25"/>
      <c r="FA237" s="25"/>
      <c r="FB237" s="25"/>
      <c r="FC237" s="25">
        <v>1</v>
      </c>
      <c r="FD237" s="25"/>
      <c r="FE237" s="25"/>
      <c r="FF237" s="25"/>
      <c r="FG237" s="25"/>
      <c r="FH237" s="25"/>
      <c r="FI237" s="25"/>
      <c r="FJ237" s="25"/>
      <c r="FK237" s="25"/>
      <c r="FL237" s="25"/>
      <c r="FM237" s="25"/>
      <c r="FN237" s="25"/>
      <c r="FO237" s="25"/>
      <c r="FP237" s="25"/>
      <c r="FQ237" s="25"/>
      <c r="FR237" s="25"/>
      <c r="FS237" s="25"/>
      <c r="FT237" s="25"/>
      <c r="FU237" s="25"/>
      <c r="FV237" s="25"/>
      <c r="FW237" s="25"/>
      <c r="FX237" s="25"/>
      <c r="FY237" s="25"/>
      <c r="FZ237" s="25"/>
      <c r="GA237" s="25"/>
      <c r="GB237" s="25"/>
      <c r="GC237" s="25">
        <v>4</v>
      </c>
      <c r="GD237" s="25"/>
      <c r="GE237" s="25"/>
      <c r="GF237" s="25"/>
      <c r="GG237" s="25"/>
      <c r="GH237" s="25">
        <f t="shared" ref="GH237:GH245" si="144">COUNT(R237:GG237)</f>
        <v>5</v>
      </c>
      <c r="GI237" s="25">
        <f t="shared" ref="GI237:GI245" si="145">COUNTIF(R237:GG237,"&gt;=2")</f>
        <v>3</v>
      </c>
      <c r="GJ237" s="25">
        <f t="shared" ref="GJ237:GJ245" si="146">COUNTIF(R237:GG237,"&gt;=5")</f>
        <v>1</v>
      </c>
      <c r="GK237" s="25">
        <f t="shared" ref="GK237:GK245" si="147">SUM(R237:GG237)</f>
        <v>195</v>
      </c>
      <c r="GL237" s="25">
        <f t="shared" ref="GL237:GL245" si="148">25*P237</f>
        <v>0</v>
      </c>
      <c r="GM237" s="25">
        <f t="shared" ref="GM237:GM245" si="149">GL237-GK237</f>
        <v>-195</v>
      </c>
      <c r="GN237" s="25"/>
      <c r="GO237" s="25"/>
      <c r="GP237" s="25"/>
      <c r="GQ237" s="25"/>
      <c r="GR237" s="25"/>
      <c r="GS237" s="25"/>
      <c r="GT237" s="25"/>
      <c r="GU237" s="25"/>
      <c r="GV237" s="25"/>
      <c r="GW237" s="25"/>
      <c r="GX237" s="25"/>
      <c r="GY237" s="25"/>
      <c r="GZ237" s="25"/>
      <c r="HA237" s="25"/>
      <c r="HB237" s="25"/>
      <c r="HC237" s="25"/>
      <c r="HD237" s="25"/>
      <c r="HE237" s="25"/>
      <c r="HF237" s="25"/>
      <c r="HG237" s="25"/>
      <c r="HH237" s="25"/>
      <c r="HI237" s="25"/>
    </row>
    <row r="238" spans="1:217" ht="13" x14ac:dyDescent="0.15">
      <c r="A238" s="24">
        <v>43735</v>
      </c>
      <c r="B238" s="25" t="s">
        <v>329</v>
      </c>
      <c r="C238" s="16">
        <f t="shared" si="137"/>
        <v>223</v>
      </c>
      <c r="D238" s="25">
        <v>21.140799999999999</v>
      </c>
      <c r="E238" s="25">
        <v>-157.29011499999999</v>
      </c>
      <c r="F238" s="25" t="s">
        <v>286</v>
      </c>
      <c r="G238" s="26">
        <v>0.37291666666666667</v>
      </c>
      <c r="H238" s="26">
        <v>0.38958333333333334</v>
      </c>
      <c r="I238" s="25">
        <v>6</v>
      </c>
      <c r="J238" s="25">
        <v>13</v>
      </c>
      <c r="K238" s="25" t="s">
        <v>198</v>
      </c>
      <c r="L238" s="25">
        <v>13</v>
      </c>
      <c r="M238" s="25">
        <v>42</v>
      </c>
      <c r="N238" s="25" t="s">
        <v>506</v>
      </c>
      <c r="O238" s="25"/>
      <c r="P238" s="25"/>
      <c r="Q238" s="25"/>
      <c r="R238" s="25"/>
      <c r="S238" s="25">
        <v>3</v>
      </c>
      <c r="T238" s="25"/>
      <c r="U238" s="25"/>
      <c r="V238" s="25"/>
      <c r="W238" s="25"/>
      <c r="X238" s="25"/>
      <c r="Y238" s="25"/>
      <c r="Z238" s="25"/>
      <c r="AA238" s="25"/>
      <c r="AB238" s="25"/>
      <c r="AC238" s="25"/>
      <c r="AD238" s="25"/>
      <c r="AE238" s="25"/>
      <c r="AF238" s="25"/>
      <c r="AG238" s="25">
        <v>4</v>
      </c>
      <c r="AH238" s="25"/>
      <c r="AI238" s="25"/>
      <c r="AJ238" s="25"/>
      <c r="AK238" s="25"/>
      <c r="AL238" s="25"/>
      <c r="AM238" s="25"/>
      <c r="AN238" s="25"/>
      <c r="AO238" s="25"/>
      <c r="AP238" s="25"/>
      <c r="AQ238" s="25"/>
      <c r="AR238" s="25"/>
      <c r="AS238" s="25">
        <v>27</v>
      </c>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v>1</v>
      </c>
      <c r="BQ238" s="25"/>
      <c r="BR238" s="25"/>
      <c r="BS238" s="25"/>
      <c r="BT238" s="25"/>
      <c r="BU238" s="25"/>
      <c r="BV238" s="25"/>
      <c r="BW238" s="25"/>
      <c r="BX238" s="25"/>
      <c r="BY238" s="25"/>
      <c r="BZ238" s="25"/>
      <c r="CA238" s="25"/>
      <c r="CB238" s="25">
        <v>1</v>
      </c>
      <c r="CC238" s="25"/>
      <c r="CD238" s="25"/>
      <c r="CE238" s="25"/>
      <c r="CF238" s="25"/>
      <c r="CG238" s="25"/>
      <c r="CH238" s="25"/>
      <c r="CI238" s="25"/>
      <c r="CJ238" s="25"/>
      <c r="CK238" s="25"/>
      <c r="CL238" s="25"/>
      <c r="CM238" s="25"/>
      <c r="CN238" s="25"/>
      <c r="CO238" s="25"/>
      <c r="CP238" s="25"/>
      <c r="CQ238" s="25"/>
      <c r="CR238" s="25"/>
      <c r="CS238" s="25">
        <v>49</v>
      </c>
      <c r="CT238" s="25"/>
      <c r="CU238" s="25"/>
      <c r="CV238" s="25"/>
      <c r="CW238" s="25"/>
      <c r="CX238" s="25"/>
      <c r="CY238" s="25"/>
      <c r="CZ238" s="25"/>
      <c r="DA238" s="25"/>
      <c r="DB238" s="25"/>
      <c r="DC238" s="25"/>
      <c r="DD238" s="25"/>
      <c r="DE238" s="25"/>
      <c r="DF238" s="25"/>
      <c r="DG238" s="25">
        <v>8</v>
      </c>
      <c r="DH238" s="25"/>
      <c r="DI238" s="25"/>
      <c r="DJ238" s="25"/>
      <c r="DK238" s="25"/>
      <c r="DL238" s="25"/>
      <c r="DM238" s="25"/>
      <c r="DN238" s="25"/>
      <c r="DO238" s="25"/>
      <c r="DP238" s="25"/>
      <c r="DQ238" s="25"/>
      <c r="DR238" s="25"/>
      <c r="DS238" s="25"/>
      <c r="DT238" s="25"/>
      <c r="DU238" s="25"/>
      <c r="DV238" s="25"/>
      <c r="DW238" s="25"/>
      <c r="DX238" s="25"/>
      <c r="DY238" s="25"/>
      <c r="DZ238" s="25"/>
      <c r="EA238" s="25"/>
      <c r="EB238" s="25"/>
      <c r="EC238" s="25"/>
      <c r="ED238" s="25"/>
      <c r="EE238" s="25"/>
      <c r="EF238" s="25"/>
      <c r="EG238" s="25"/>
      <c r="EH238" s="25"/>
      <c r="EI238" s="25"/>
      <c r="EJ238" s="25">
        <v>318</v>
      </c>
      <c r="EK238" s="25"/>
      <c r="EL238" s="25"/>
      <c r="EM238" s="25"/>
      <c r="EN238" s="25"/>
      <c r="EO238" s="25"/>
      <c r="EP238" s="25"/>
      <c r="EQ238" s="25"/>
      <c r="ER238" s="25"/>
      <c r="ES238" s="25"/>
      <c r="ET238" s="25"/>
      <c r="EU238" s="25"/>
      <c r="EV238" s="25"/>
      <c r="EW238" s="25"/>
      <c r="EX238" s="25"/>
      <c r="EY238" s="25"/>
      <c r="EZ238" s="25"/>
      <c r="FA238" s="25"/>
      <c r="FB238" s="25">
        <v>6</v>
      </c>
      <c r="FC238" s="25"/>
      <c r="FD238" s="25"/>
      <c r="FE238" s="25"/>
      <c r="FF238" s="25"/>
      <c r="FG238" s="25"/>
      <c r="FH238" s="25"/>
      <c r="FI238" s="25"/>
      <c r="FJ238" s="25"/>
      <c r="FK238" s="25"/>
      <c r="FL238" s="25"/>
      <c r="FM238" s="25"/>
      <c r="FN238" s="25"/>
      <c r="FO238" s="25"/>
      <c r="FP238" s="25"/>
      <c r="FQ238" s="25"/>
      <c r="FR238" s="25"/>
      <c r="FS238" s="25">
        <v>53</v>
      </c>
      <c r="FT238" s="25"/>
      <c r="FU238" s="25"/>
      <c r="FV238" s="25"/>
      <c r="FW238" s="25"/>
      <c r="FX238" s="25"/>
      <c r="FY238" s="25"/>
      <c r="FZ238" s="25"/>
      <c r="GA238" s="25"/>
      <c r="GB238" s="25"/>
      <c r="GC238" s="25"/>
      <c r="GD238" s="25"/>
      <c r="GE238" s="25"/>
      <c r="GF238" s="25"/>
      <c r="GG238" s="25"/>
      <c r="GH238" s="25">
        <f t="shared" si="144"/>
        <v>10</v>
      </c>
      <c r="GI238" s="25">
        <f t="shared" si="145"/>
        <v>8</v>
      </c>
      <c r="GJ238" s="25">
        <f t="shared" si="146"/>
        <v>6</v>
      </c>
      <c r="GK238" s="25">
        <f t="shared" si="147"/>
        <v>470</v>
      </c>
      <c r="GL238" s="25">
        <f t="shared" si="148"/>
        <v>0</v>
      </c>
      <c r="GM238" s="25">
        <f t="shared" si="149"/>
        <v>-470</v>
      </c>
      <c r="GN238" s="25"/>
      <c r="GO238" s="25"/>
      <c r="GP238" s="25"/>
      <c r="GQ238" s="25"/>
      <c r="GR238" s="25"/>
      <c r="GS238" s="25"/>
      <c r="GT238" s="25"/>
      <c r="GU238" s="25"/>
      <c r="GV238" s="25"/>
      <c r="GW238" s="25"/>
      <c r="GX238" s="25"/>
      <c r="GY238" s="25"/>
      <c r="GZ238" s="25"/>
      <c r="HA238" s="25"/>
      <c r="HB238" s="25"/>
      <c r="HC238" s="25"/>
      <c r="HD238" s="25"/>
      <c r="HE238" s="25"/>
      <c r="HF238" s="25"/>
      <c r="HG238" s="25"/>
      <c r="HH238" s="25"/>
      <c r="HI238" s="25"/>
    </row>
    <row r="239" spans="1:217" ht="16" x14ac:dyDescent="0.2">
      <c r="A239" s="33">
        <v>43839</v>
      </c>
      <c r="B239" s="4" t="s">
        <v>366</v>
      </c>
      <c r="C239" s="16">
        <f t="shared" si="137"/>
        <v>224</v>
      </c>
      <c r="D239" s="4">
        <v>19.715052</v>
      </c>
      <c r="E239" s="4">
        <v>-156.04913300000001</v>
      </c>
      <c r="F239" s="4" t="s">
        <v>508</v>
      </c>
      <c r="G239" s="34">
        <v>0.45138888888888901</v>
      </c>
      <c r="H239" s="34">
        <v>0.48611111111111099</v>
      </c>
      <c r="I239" s="22">
        <v>5</v>
      </c>
      <c r="J239" s="22">
        <v>20</v>
      </c>
      <c r="K239" s="22" t="s">
        <v>198</v>
      </c>
      <c r="L239" s="22">
        <v>5</v>
      </c>
      <c r="M239" s="22">
        <v>20</v>
      </c>
      <c r="N239" s="22" t="s">
        <v>509</v>
      </c>
      <c r="O239" s="22"/>
      <c r="P239" s="22">
        <v>20</v>
      </c>
      <c r="Q239" s="22"/>
      <c r="R239" s="22"/>
      <c r="S239" s="22"/>
      <c r="T239" s="22">
        <v>21</v>
      </c>
      <c r="U239" s="22"/>
      <c r="V239" s="22"/>
      <c r="W239" s="22"/>
      <c r="X239" s="22"/>
      <c r="Y239" s="22"/>
      <c r="Z239" s="22"/>
      <c r="AA239" s="22"/>
      <c r="AB239" s="22"/>
      <c r="AC239" s="22"/>
      <c r="AD239" s="22">
        <v>2</v>
      </c>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v>70</v>
      </c>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v>1</v>
      </c>
      <c r="DB239" s="22"/>
      <c r="DC239" s="22"/>
      <c r="DD239" s="22"/>
      <c r="DE239" s="22"/>
      <c r="DF239" s="22"/>
      <c r="DG239" s="22"/>
      <c r="DH239" s="22"/>
      <c r="DI239" s="22"/>
      <c r="DJ239" s="22"/>
      <c r="DK239" s="22"/>
      <c r="DL239" s="22"/>
      <c r="DM239" s="22"/>
      <c r="DN239" s="22"/>
      <c r="DO239" s="22"/>
      <c r="DP239" s="22">
        <v>4</v>
      </c>
      <c r="DQ239" s="22"/>
      <c r="DR239" s="22"/>
      <c r="DS239" s="22"/>
      <c r="DT239" s="22"/>
      <c r="DU239" s="22"/>
      <c r="DV239" s="22"/>
      <c r="DW239" s="22"/>
      <c r="DX239" s="22"/>
      <c r="DY239" s="22"/>
      <c r="DZ239" s="22"/>
      <c r="EA239" s="22"/>
      <c r="EB239" s="22"/>
      <c r="EC239" s="22"/>
      <c r="ED239" s="22"/>
      <c r="EE239" s="22"/>
      <c r="EF239" s="22"/>
      <c r="EG239" s="22"/>
      <c r="EH239" s="22"/>
      <c r="EI239" s="22"/>
      <c r="EJ239" s="22"/>
      <c r="EK239" s="22"/>
      <c r="EL239" s="22"/>
      <c r="EM239" s="22"/>
      <c r="EN239" s="22"/>
      <c r="EO239" s="22"/>
      <c r="EP239" s="22"/>
      <c r="EQ239" s="22"/>
      <c r="ER239" s="22"/>
      <c r="ES239" s="22"/>
      <c r="ET239" s="22"/>
      <c r="EU239" s="22"/>
      <c r="EV239" s="22"/>
      <c r="EW239" s="22"/>
      <c r="EX239" s="22"/>
      <c r="EY239" s="22"/>
      <c r="EZ239" s="22"/>
      <c r="FA239" s="22"/>
      <c r="FB239" s="22"/>
      <c r="FC239" s="22"/>
      <c r="FD239" s="22"/>
      <c r="FE239" s="22"/>
      <c r="FF239" s="22"/>
      <c r="FG239" s="22"/>
      <c r="FH239" s="22"/>
      <c r="FI239" s="22"/>
      <c r="FJ239" s="22"/>
      <c r="FK239" s="22"/>
      <c r="FL239" s="22"/>
      <c r="FM239" s="22"/>
      <c r="FN239" s="22"/>
      <c r="FO239" s="22"/>
      <c r="FP239" s="22"/>
      <c r="FQ239" s="22"/>
      <c r="FR239" s="22"/>
      <c r="FS239" s="22">
        <v>31</v>
      </c>
      <c r="FT239" s="22"/>
      <c r="FU239" s="22"/>
      <c r="FV239" s="22"/>
      <c r="FW239" s="22">
        <v>60</v>
      </c>
      <c r="FZ239" s="22"/>
      <c r="GA239" s="22"/>
      <c r="GB239" s="22"/>
      <c r="GC239" s="22"/>
      <c r="GD239" s="22"/>
      <c r="GE239" s="22"/>
      <c r="GF239" s="22"/>
      <c r="GG239" s="22"/>
      <c r="GH239" s="3">
        <f t="shared" si="144"/>
        <v>7</v>
      </c>
      <c r="GI239" s="3">
        <f t="shared" si="145"/>
        <v>6</v>
      </c>
      <c r="GJ239" s="3">
        <f t="shared" si="146"/>
        <v>4</v>
      </c>
      <c r="GK239" s="3">
        <f t="shared" si="147"/>
        <v>189</v>
      </c>
      <c r="GL239" s="3">
        <f t="shared" si="148"/>
        <v>500</v>
      </c>
      <c r="GM239" s="3">
        <f t="shared" si="149"/>
        <v>311</v>
      </c>
    </row>
    <row r="240" spans="1:217" ht="16" x14ac:dyDescent="0.2">
      <c r="A240" s="33">
        <v>43840</v>
      </c>
      <c r="B240" s="4" t="s">
        <v>511</v>
      </c>
      <c r="C240" s="16">
        <f t="shared" si="137"/>
        <v>225</v>
      </c>
      <c r="D240" s="4">
        <v>19.5791</v>
      </c>
      <c r="E240" s="22">
        <v>-155.967804</v>
      </c>
      <c r="F240" s="4" t="s">
        <v>508</v>
      </c>
      <c r="G240" s="34">
        <v>0.42499999999999999</v>
      </c>
      <c r="H240" s="34">
        <v>0.46180555555555602</v>
      </c>
      <c r="I240" s="22">
        <v>5</v>
      </c>
      <c r="J240" s="22">
        <v>20</v>
      </c>
      <c r="K240" s="22" t="s">
        <v>198</v>
      </c>
      <c r="L240" s="22">
        <v>5</v>
      </c>
      <c r="M240" s="3">
        <v>24</v>
      </c>
      <c r="N240" s="3" t="s">
        <v>512</v>
      </c>
      <c r="P240" s="3">
        <v>24</v>
      </c>
      <c r="BF240" s="3"/>
      <c r="BG240" s="3"/>
      <c r="BH240" s="3"/>
      <c r="BI240" s="3"/>
      <c r="BJ240" s="3"/>
      <c r="BK240" s="3"/>
      <c r="BL240" s="3"/>
      <c r="BM240" s="3">
        <v>224</v>
      </c>
      <c r="FS240" s="3">
        <v>165</v>
      </c>
      <c r="GH240" s="3">
        <f t="shared" si="144"/>
        <v>2</v>
      </c>
      <c r="GI240" s="3">
        <f t="shared" si="145"/>
        <v>2</v>
      </c>
      <c r="GJ240" s="3">
        <f t="shared" si="146"/>
        <v>2</v>
      </c>
      <c r="GK240" s="3">
        <f t="shared" si="147"/>
        <v>389</v>
      </c>
      <c r="GL240" s="3">
        <f t="shared" si="148"/>
        <v>600</v>
      </c>
      <c r="GM240" s="3">
        <f t="shared" si="149"/>
        <v>211</v>
      </c>
    </row>
    <row r="241" spans="1:217" ht="16" x14ac:dyDescent="0.2">
      <c r="A241" s="35">
        <v>43868</v>
      </c>
      <c r="B241" s="4" t="s">
        <v>511</v>
      </c>
      <c r="C241" s="16">
        <f t="shared" si="137"/>
        <v>226</v>
      </c>
      <c r="D241" s="4">
        <v>19.5791</v>
      </c>
      <c r="E241" s="4">
        <v>-155.967804</v>
      </c>
      <c r="F241" s="3" t="s">
        <v>508</v>
      </c>
      <c r="G241" s="34">
        <v>0.420833333333333</v>
      </c>
      <c r="H241" s="34">
        <v>0.45138888888888901</v>
      </c>
      <c r="I241" s="3">
        <v>5</v>
      </c>
      <c r="J241" s="3">
        <v>20</v>
      </c>
      <c r="K241" s="3" t="s">
        <v>198</v>
      </c>
      <c r="L241" s="3">
        <v>5</v>
      </c>
      <c r="M241" s="3">
        <v>25</v>
      </c>
      <c r="P241" s="3">
        <v>25</v>
      </c>
      <c r="BF241" s="3"/>
      <c r="BG241" s="3"/>
      <c r="BH241" s="3"/>
      <c r="BI241" s="3"/>
      <c r="BJ241" s="3"/>
      <c r="BK241" s="3"/>
      <c r="BL241" s="3"/>
      <c r="BM241" s="3">
        <v>188</v>
      </c>
      <c r="CI241" s="3"/>
      <c r="CJ241" s="3"/>
      <c r="CK241" s="3"/>
      <c r="CL241" s="3"/>
      <c r="CM241" s="3"/>
      <c r="CN241" s="3"/>
      <c r="CO241" s="3"/>
      <c r="CP241" s="3"/>
      <c r="CQ241" s="3"/>
      <c r="CR241" s="3"/>
      <c r="CS241" s="3"/>
      <c r="CT241" s="3"/>
      <c r="CU241" s="3">
        <v>1</v>
      </c>
      <c r="FS241" s="3">
        <v>278</v>
      </c>
      <c r="GH241" s="3">
        <f t="shared" si="144"/>
        <v>3</v>
      </c>
      <c r="GI241" s="3">
        <f t="shared" si="145"/>
        <v>2</v>
      </c>
      <c r="GJ241" s="3">
        <f t="shared" si="146"/>
        <v>2</v>
      </c>
      <c r="GK241" s="3">
        <f t="shared" si="147"/>
        <v>467</v>
      </c>
      <c r="GL241" s="3">
        <f t="shared" si="148"/>
        <v>625</v>
      </c>
      <c r="GM241" s="3">
        <f t="shared" si="149"/>
        <v>158</v>
      </c>
    </row>
    <row r="242" spans="1:217" ht="16" x14ac:dyDescent="0.2">
      <c r="A242" s="13">
        <v>43882</v>
      </c>
      <c r="B242" s="3" t="s">
        <v>340</v>
      </c>
      <c r="C242" s="16">
        <f t="shared" si="137"/>
        <v>227</v>
      </c>
      <c r="D242" s="4">
        <v>19.643276</v>
      </c>
      <c r="E242" s="3">
        <v>-156.01019299999999</v>
      </c>
      <c r="F242" s="4" t="s">
        <v>508</v>
      </c>
      <c r="G242" s="34">
        <v>0.41875000000000001</v>
      </c>
      <c r="H242" s="34">
        <v>0.44444444444444398</v>
      </c>
      <c r="I242" s="3">
        <v>5</v>
      </c>
      <c r="J242" s="3">
        <v>20</v>
      </c>
      <c r="K242" s="3" t="s">
        <v>198</v>
      </c>
      <c r="L242" s="3">
        <v>5</v>
      </c>
      <c r="M242" s="3">
        <v>25</v>
      </c>
      <c r="P242" s="3">
        <v>25</v>
      </c>
      <c r="BF242" s="3"/>
      <c r="BG242" s="3"/>
      <c r="BH242" s="3"/>
      <c r="BI242" s="3"/>
      <c r="BJ242" s="3"/>
      <c r="BK242" s="3"/>
      <c r="BL242" s="3"/>
      <c r="BM242" s="3">
        <v>13</v>
      </c>
      <c r="BX242" s="3"/>
      <c r="CA242" s="3"/>
      <c r="CB242" s="3"/>
      <c r="CC242" s="3">
        <v>3</v>
      </c>
      <c r="DN242" s="3"/>
      <c r="DO242" s="3"/>
      <c r="DP242" s="3"/>
      <c r="DQ242" s="3"/>
      <c r="DR242" s="3"/>
      <c r="DS242" s="3"/>
      <c r="DT242" s="3"/>
      <c r="DU242" s="3"/>
      <c r="DV242" s="3"/>
      <c r="DW242" s="3"/>
      <c r="DX242" s="3"/>
      <c r="DY242" s="3"/>
      <c r="DZ242" s="3"/>
      <c r="EA242" s="3"/>
      <c r="EB242" s="3"/>
      <c r="EC242" s="3"/>
      <c r="ED242" s="3"/>
      <c r="EE242" s="3"/>
      <c r="EF242" s="3"/>
      <c r="EG242" s="3"/>
      <c r="EH242" s="3"/>
      <c r="EI242" s="3"/>
      <c r="EJ242" s="3">
        <v>27</v>
      </c>
      <c r="FG242" s="3"/>
      <c r="FH242" s="3"/>
      <c r="FI242" s="3"/>
      <c r="FJ242" s="3"/>
      <c r="FK242" s="3"/>
      <c r="FL242" s="3"/>
      <c r="FM242" s="3">
        <v>9</v>
      </c>
      <c r="FN242" s="3"/>
      <c r="FO242" s="3"/>
      <c r="FP242" s="3"/>
      <c r="FQ242" s="3"/>
      <c r="FR242" s="3">
        <v>141</v>
      </c>
      <c r="FS242" s="3">
        <v>390</v>
      </c>
      <c r="FT242" s="3"/>
      <c r="FU242" s="3"/>
      <c r="FV242" s="3"/>
      <c r="FW242" s="3">
        <v>2</v>
      </c>
      <c r="GH242" s="3">
        <f t="shared" si="144"/>
        <v>7</v>
      </c>
      <c r="GI242" s="3">
        <f t="shared" si="145"/>
        <v>7</v>
      </c>
      <c r="GJ242" s="3">
        <f t="shared" si="146"/>
        <v>5</v>
      </c>
      <c r="GK242" s="3">
        <f t="shared" si="147"/>
        <v>585</v>
      </c>
      <c r="GL242" s="3">
        <f t="shared" si="148"/>
        <v>625</v>
      </c>
      <c r="GM242" s="3">
        <f t="shared" si="149"/>
        <v>40</v>
      </c>
    </row>
    <row r="243" spans="1:217" ht="16" x14ac:dyDescent="0.2">
      <c r="A243" s="35">
        <v>43885</v>
      </c>
      <c r="B243" s="3" t="s">
        <v>233</v>
      </c>
      <c r="C243" s="16">
        <f t="shared" si="137"/>
        <v>228</v>
      </c>
      <c r="D243" s="4">
        <v>21.066799</v>
      </c>
      <c r="E243" s="3">
        <v>-156.804993</v>
      </c>
      <c r="F243" s="3" t="s">
        <v>286</v>
      </c>
      <c r="G243" s="34">
        <v>0.47569444444444398</v>
      </c>
      <c r="H243" s="34">
        <v>0.51041666666666663</v>
      </c>
      <c r="I243" s="3">
        <v>5</v>
      </c>
      <c r="J243" s="3">
        <v>25</v>
      </c>
      <c r="K243" s="3" t="s">
        <v>198</v>
      </c>
      <c r="L243" s="3">
        <v>7</v>
      </c>
      <c r="M243" s="3">
        <v>28</v>
      </c>
      <c r="N243" s="3" t="s">
        <v>516</v>
      </c>
      <c r="O243" s="3"/>
      <c r="P243" s="3">
        <v>28</v>
      </c>
      <c r="R243" s="3">
        <v>10</v>
      </c>
      <c r="AF243" s="3"/>
      <c r="AG243" s="3"/>
      <c r="AH243" s="3"/>
      <c r="AI243" s="3"/>
      <c r="AJ243" s="3"/>
      <c r="AK243" s="3"/>
      <c r="AL243" s="3"/>
      <c r="AM243" s="3"/>
      <c r="AN243" s="3">
        <v>2</v>
      </c>
      <c r="BF243" s="3"/>
      <c r="BG243" s="3"/>
      <c r="BH243" s="3"/>
      <c r="BI243" s="3"/>
      <c r="BJ243" s="3"/>
      <c r="BK243" s="3"/>
      <c r="BL243" s="3"/>
      <c r="BM243" s="3">
        <v>63</v>
      </c>
      <c r="BN243" s="3"/>
      <c r="BO243" s="3"/>
      <c r="BP243" s="3"/>
      <c r="BQ243" s="3"/>
      <c r="BR243" s="3"/>
      <c r="BS243" s="3"/>
      <c r="BT243" s="3"/>
      <c r="BU243" s="3"/>
      <c r="BV243" s="3">
        <v>1</v>
      </c>
      <c r="BW243" s="3"/>
      <c r="BY243" s="3"/>
      <c r="BZ243" s="3">
        <v>6</v>
      </c>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v>1</v>
      </c>
      <c r="DH243" s="3"/>
      <c r="DI243" s="3"/>
      <c r="DJ243" s="3"/>
      <c r="DK243" s="3"/>
      <c r="DL243" s="3"/>
      <c r="DM243" s="3">
        <v>15</v>
      </c>
      <c r="DN243" s="3"/>
      <c r="DO243" s="3"/>
      <c r="DP243" s="3"/>
      <c r="DQ243" s="3"/>
      <c r="DR243" s="3"/>
      <c r="DS243" s="3"/>
      <c r="DT243" s="3"/>
      <c r="DU243" s="3"/>
      <c r="DV243" s="3"/>
      <c r="DW243" s="3"/>
      <c r="DX243" s="3"/>
      <c r="DY243" s="3"/>
      <c r="DZ243" s="3"/>
      <c r="EA243" s="3"/>
      <c r="EB243" s="3"/>
      <c r="EC243" s="3"/>
      <c r="ED243" s="3"/>
      <c r="EE243" s="3"/>
      <c r="EF243" s="3"/>
      <c r="EG243" s="3"/>
      <c r="EH243" s="3"/>
      <c r="EI243" s="3"/>
      <c r="EJ243" s="3">
        <v>18</v>
      </c>
      <c r="EK243" s="3"/>
      <c r="EL243" s="3"/>
      <c r="EM243" s="3"/>
      <c r="EN243" s="3"/>
      <c r="EO243" s="3"/>
      <c r="EP243" s="3"/>
      <c r="EQ243" s="3"/>
      <c r="ER243" s="3"/>
      <c r="ES243" s="3"/>
      <c r="ET243" s="3"/>
      <c r="EU243" s="3"/>
      <c r="EV243" s="3"/>
      <c r="EW243" s="3"/>
      <c r="EX243" s="3"/>
      <c r="EY243" s="3"/>
      <c r="EZ243" s="3"/>
      <c r="FA243" s="3"/>
      <c r="FB243" s="3"/>
      <c r="FC243" s="3"/>
      <c r="FD243" s="3"/>
      <c r="FE243" s="3"/>
      <c r="FF243" s="3">
        <v>4</v>
      </c>
      <c r="FG243" s="3"/>
      <c r="FH243" s="3"/>
      <c r="FI243" s="3"/>
      <c r="FJ243" s="3"/>
      <c r="FK243" s="3"/>
      <c r="FL243" s="3"/>
      <c r="FM243" s="3"/>
      <c r="FN243" s="3"/>
      <c r="FO243" s="3"/>
      <c r="FP243" s="3"/>
      <c r="FQ243" s="3"/>
      <c r="FR243" s="3"/>
      <c r="FS243" s="3">
        <v>178</v>
      </c>
      <c r="FT243" s="3"/>
      <c r="FU243" s="3"/>
      <c r="FV243" s="3"/>
      <c r="FW243" s="3"/>
      <c r="FZ243" s="3"/>
      <c r="GA243" s="3"/>
      <c r="GB243" s="3"/>
      <c r="GC243" s="3"/>
      <c r="GD243" s="3"/>
      <c r="GE243" s="3"/>
      <c r="GF243" s="3"/>
      <c r="GG243" s="3">
        <v>2</v>
      </c>
      <c r="GH243" s="3">
        <f t="shared" si="144"/>
        <v>11</v>
      </c>
      <c r="GI243" s="3">
        <f t="shared" si="145"/>
        <v>9</v>
      </c>
      <c r="GJ243" s="3">
        <f t="shared" si="146"/>
        <v>6</v>
      </c>
      <c r="GK243" s="3">
        <f t="shared" si="147"/>
        <v>300</v>
      </c>
      <c r="GL243" s="3">
        <f t="shared" si="148"/>
        <v>700</v>
      </c>
      <c r="GM243" s="3">
        <f t="shared" si="149"/>
        <v>400</v>
      </c>
    </row>
    <row r="244" spans="1:217" ht="16" x14ac:dyDescent="0.2">
      <c r="A244" s="37">
        <v>43893</v>
      </c>
      <c r="B244" s="4" t="s">
        <v>244</v>
      </c>
      <c r="C244" s="16">
        <f t="shared" si="137"/>
        <v>229</v>
      </c>
      <c r="D244" s="30">
        <v>21.310611999999999</v>
      </c>
      <c r="E244" s="30">
        <v>-158.00441000000001</v>
      </c>
      <c r="F244" s="4" t="s">
        <v>326</v>
      </c>
      <c r="G244" s="38">
        <v>0.39583333333333298</v>
      </c>
      <c r="H244" s="38">
        <v>0.45833333333333298</v>
      </c>
      <c r="I244" s="30">
        <v>5</v>
      </c>
      <c r="J244" s="30">
        <v>8</v>
      </c>
      <c r="K244" s="4" t="s">
        <v>318</v>
      </c>
      <c r="L244" s="30">
        <v>4</v>
      </c>
      <c r="M244" s="3">
        <v>9</v>
      </c>
      <c r="N244" s="3" t="s">
        <v>518</v>
      </c>
      <c r="O244" s="3"/>
      <c r="P244" s="3">
        <v>9</v>
      </c>
      <c r="Q244" s="3" t="s">
        <v>519</v>
      </c>
      <c r="R244" s="3">
        <v>23</v>
      </c>
      <c r="S244" s="3"/>
      <c r="T244" s="3"/>
      <c r="U244" s="3"/>
      <c r="V244" s="3"/>
      <c r="W244" s="3"/>
      <c r="X244" s="3"/>
      <c r="Y244" s="3"/>
      <c r="Z244" s="3"/>
      <c r="AA244" s="3"/>
      <c r="AB244" s="3"/>
      <c r="AC244" s="3"/>
      <c r="AD244" s="3"/>
      <c r="AE244" s="3">
        <v>23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v>1</v>
      </c>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v>34</v>
      </c>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v>1</v>
      </c>
      <c r="GH244" s="3">
        <f t="shared" si="144"/>
        <v>5</v>
      </c>
      <c r="GI244" s="3">
        <f t="shared" si="145"/>
        <v>3</v>
      </c>
      <c r="GJ244" s="3">
        <f t="shared" si="146"/>
        <v>3</v>
      </c>
      <c r="GK244" s="3">
        <f t="shared" si="147"/>
        <v>82</v>
      </c>
      <c r="GL244" s="3">
        <f t="shared" si="148"/>
        <v>225</v>
      </c>
      <c r="GM244" s="3">
        <f t="shared" si="149"/>
        <v>143</v>
      </c>
    </row>
    <row r="245" spans="1:217" ht="16" x14ac:dyDescent="0.2">
      <c r="A245" s="37">
        <v>43901</v>
      </c>
      <c r="B245" s="4" t="s">
        <v>456</v>
      </c>
      <c r="C245" s="16">
        <f t="shared" si="137"/>
        <v>230</v>
      </c>
      <c r="D245" s="30">
        <v>21.316488</v>
      </c>
      <c r="E245" s="30">
        <v>-157.66426100000001</v>
      </c>
      <c r="F245" s="4" t="s">
        <v>469</v>
      </c>
      <c r="G245" s="38">
        <v>0.375694444444444</v>
      </c>
      <c r="H245" s="38">
        <v>0.41666666666666702</v>
      </c>
      <c r="I245" s="30">
        <v>5</v>
      </c>
      <c r="J245" s="30">
        <v>40</v>
      </c>
      <c r="K245" s="4" t="s">
        <v>470</v>
      </c>
      <c r="L245" s="30">
        <v>5</v>
      </c>
      <c r="M245" s="3">
        <v>25</v>
      </c>
      <c r="N245" s="3"/>
      <c r="O245" s="3"/>
      <c r="P245" s="3">
        <v>25</v>
      </c>
      <c r="Q245" s="3" t="s">
        <v>521</v>
      </c>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v>25</v>
      </c>
      <c r="BN245" s="3"/>
      <c r="BO245" s="3"/>
      <c r="BP245" s="3"/>
      <c r="BQ245" s="3"/>
      <c r="BR245" s="3"/>
      <c r="BS245" s="3"/>
      <c r="BT245" s="3"/>
      <c r="BU245" s="3"/>
      <c r="BV245" s="3"/>
      <c r="BW245" s="3"/>
      <c r="BX245" s="3"/>
      <c r="BY245" s="3"/>
      <c r="BZ245" s="3"/>
      <c r="CA245" s="3"/>
      <c r="CB245" s="3"/>
      <c r="CC245" s="3">
        <v>7</v>
      </c>
      <c r="CD245" s="3"/>
      <c r="CE245" s="3"/>
      <c r="CF245" s="3"/>
      <c r="CG245" s="3"/>
      <c r="CH245" s="3">
        <v>1</v>
      </c>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v>6</v>
      </c>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v>252</v>
      </c>
      <c r="FT245" s="3"/>
      <c r="FU245" s="3"/>
      <c r="FV245" s="3"/>
      <c r="FW245" s="3"/>
      <c r="FZ245" s="3"/>
      <c r="GA245" s="3"/>
      <c r="GB245" s="3"/>
      <c r="GC245" s="3"/>
      <c r="GD245" s="3"/>
      <c r="GE245" s="3"/>
      <c r="GF245" s="3"/>
      <c r="GG245" s="3"/>
      <c r="GH245" s="3">
        <f t="shared" si="144"/>
        <v>5</v>
      </c>
      <c r="GI245" s="3">
        <f t="shared" si="145"/>
        <v>4</v>
      </c>
      <c r="GJ245" s="3">
        <f t="shared" si="146"/>
        <v>4</v>
      </c>
      <c r="GK245" s="3">
        <f t="shared" si="147"/>
        <v>291</v>
      </c>
      <c r="GL245" s="3">
        <f t="shared" si="148"/>
        <v>625</v>
      </c>
      <c r="GM245" s="3">
        <f t="shared" si="149"/>
        <v>334</v>
      </c>
    </row>
    <row r="246" spans="1:217" ht="13" x14ac:dyDescent="0.15">
      <c r="A246" s="19">
        <v>43902</v>
      </c>
      <c r="B246" s="20" t="s">
        <v>456</v>
      </c>
      <c r="C246" s="16">
        <f t="shared" si="137"/>
        <v>231</v>
      </c>
      <c r="D246" s="20">
        <v>21.316488</v>
      </c>
      <c r="E246" s="20">
        <v>-157.66426100000001</v>
      </c>
      <c r="F246" s="20" t="s">
        <v>607</v>
      </c>
      <c r="G246" s="21">
        <v>0.41666666666666669</v>
      </c>
      <c r="H246" s="21">
        <v>0.48958333333333331</v>
      </c>
      <c r="I246" s="20">
        <v>3</v>
      </c>
      <c r="J246" s="20">
        <v>10</v>
      </c>
      <c r="K246" s="20" t="s">
        <v>227</v>
      </c>
      <c r="L246" s="20">
        <v>10</v>
      </c>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c r="CL246" s="20"/>
      <c r="CM246" s="20"/>
      <c r="CN246" s="20"/>
      <c r="CO246" s="20"/>
      <c r="CP246" s="20"/>
      <c r="CQ246" s="20"/>
      <c r="CR246" s="20"/>
      <c r="CS246" s="20"/>
      <c r="CT246" s="20"/>
      <c r="CU246" s="20"/>
      <c r="CV246" s="20"/>
      <c r="CW246" s="20"/>
      <c r="CX246" s="20"/>
      <c r="CY246" s="20"/>
      <c r="CZ246" s="20"/>
      <c r="DA246" s="20"/>
      <c r="DB246" s="20"/>
      <c r="DC246" s="20"/>
      <c r="DD246" s="20"/>
      <c r="DE246" s="20"/>
      <c r="DF246" s="20"/>
      <c r="DG246" s="20"/>
      <c r="DH246" s="20"/>
      <c r="DI246" s="20"/>
      <c r="DJ246" s="20"/>
      <c r="DK246" s="20"/>
      <c r="DL246" s="20"/>
      <c r="DM246" s="20"/>
      <c r="DN246" s="20"/>
      <c r="DO246" s="20"/>
      <c r="DP246" s="20"/>
      <c r="DQ246" s="20"/>
      <c r="DR246" s="20"/>
      <c r="DS246" s="20"/>
      <c r="DT246" s="20"/>
      <c r="DU246" s="20"/>
      <c r="DV246" s="20"/>
      <c r="DW246" s="20"/>
      <c r="DX246" s="20"/>
      <c r="DY246" s="20"/>
      <c r="DZ246" s="20"/>
      <c r="EA246" s="20"/>
      <c r="EB246" s="20"/>
      <c r="EC246" s="20"/>
      <c r="ED246" s="20"/>
      <c r="EE246" s="20"/>
      <c r="EF246" s="20"/>
      <c r="EG246" s="20"/>
      <c r="EH246" s="20"/>
      <c r="EI246" s="20"/>
      <c r="EJ246" s="20"/>
      <c r="EK246" s="20"/>
      <c r="EL246" s="20"/>
      <c r="EM246" s="20"/>
      <c r="EN246" s="20"/>
      <c r="EO246" s="20"/>
      <c r="EP246" s="20"/>
      <c r="EQ246" s="20"/>
      <c r="ER246" s="20"/>
      <c r="ES246" s="20"/>
      <c r="ET246" s="20"/>
      <c r="EU246" s="20"/>
      <c r="EV246" s="20"/>
      <c r="EW246" s="20"/>
      <c r="EX246" s="20"/>
      <c r="EY246" s="20"/>
      <c r="EZ246" s="20"/>
      <c r="FA246" s="20"/>
      <c r="FB246" s="20"/>
      <c r="FC246" s="20"/>
      <c r="FD246" s="20"/>
      <c r="FE246" s="20"/>
      <c r="FF246" s="20"/>
      <c r="FG246" s="20"/>
      <c r="FH246" s="20"/>
      <c r="FI246" s="20"/>
      <c r="FJ246" s="20"/>
      <c r="FK246" s="20"/>
      <c r="FL246" s="20"/>
      <c r="FM246" s="20"/>
      <c r="FN246" s="20"/>
      <c r="FO246" s="20"/>
      <c r="FP246" s="20"/>
      <c r="FQ246" s="20"/>
      <c r="FR246" s="20"/>
      <c r="FS246" s="20"/>
      <c r="FT246" s="20"/>
      <c r="FU246" s="20"/>
      <c r="FV246" s="20"/>
      <c r="FW246" s="20"/>
      <c r="FX246" s="20"/>
      <c r="FY246" s="20"/>
      <c r="FZ246" s="20"/>
      <c r="GA246" s="20"/>
      <c r="GB246" s="20"/>
      <c r="GC246" s="20"/>
      <c r="GD246" s="20"/>
      <c r="GE246" s="20"/>
      <c r="GF246" s="20"/>
      <c r="GG246" s="20"/>
      <c r="GH246" s="20"/>
      <c r="GI246" s="20"/>
      <c r="GJ246" s="20"/>
      <c r="GK246" s="20"/>
      <c r="GL246" s="20"/>
      <c r="GM246" s="20"/>
      <c r="GN246" s="20"/>
      <c r="GO246" s="20"/>
      <c r="GP246" s="20"/>
      <c r="GQ246" s="20"/>
      <c r="GR246" s="20"/>
      <c r="GS246" s="20"/>
      <c r="GT246" s="20"/>
      <c r="GU246" s="20"/>
      <c r="GV246" s="20"/>
      <c r="GW246" s="20"/>
      <c r="GX246" s="20"/>
      <c r="GY246" s="20"/>
      <c r="GZ246" s="20"/>
      <c r="HA246" s="20"/>
      <c r="HB246" s="20"/>
      <c r="HC246" s="20"/>
      <c r="HD246" s="20"/>
      <c r="HE246" s="20"/>
      <c r="HF246" s="20"/>
      <c r="HG246" s="20"/>
      <c r="HH246" s="20"/>
      <c r="HI246" s="20"/>
    </row>
    <row r="247" spans="1:217" ht="13" x14ac:dyDescent="0.15">
      <c r="F247" s="3" t="s">
        <v>197</v>
      </c>
      <c r="G247" s="14">
        <v>0</v>
      </c>
      <c r="H247" s="14">
        <v>4.1666666666666664E-2</v>
      </c>
    </row>
    <row r="248" spans="1:217" ht="13" x14ac:dyDescent="0.15">
      <c r="Q248" s="3" t="s">
        <v>1012</v>
      </c>
      <c r="R248" s="3">
        <f t="shared" ref="R248:FN248" si="150">COUNT(R2:R245)</f>
        <v>110</v>
      </c>
      <c r="S248" s="3">
        <f t="shared" si="150"/>
        <v>17</v>
      </c>
      <c r="T248" s="3">
        <f t="shared" si="150"/>
        <v>18</v>
      </c>
      <c r="U248" s="3">
        <f t="shared" si="150"/>
        <v>2</v>
      </c>
      <c r="V248" s="3">
        <f t="shared" si="150"/>
        <v>1</v>
      </c>
      <c r="W248" s="3">
        <f t="shared" si="150"/>
        <v>4</v>
      </c>
      <c r="X248" s="3">
        <f t="shared" si="150"/>
        <v>14</v>
      </c>
      <c r="Y248" s="3">
        <f t="shared" si="150"/>
        <v>1</v>
      </c>
      <c r="Z248" s="3">
        <f t="shared" si="150"/>
        <v>7</v>
      </c>
      <c r="AA248" s="3">
        <f t="shared" si="150"/>
        <v>1</v>
      </c>
      <c r="AB248" s="3">
        <f t="shared" si="150"/>
        <v>58</v>
      </c>
      <c r="AC248" s="3">
        <f t="shared" si="150"/>
        <v>32</v>
      </c>
      <c r="AD248" s="3">
        <f t="shared" si="150"/>
        <v>30</v>
      </c>
      <c r="AE248" s="3">
        <f t="shared" si="150"/>
        <v>31</v>
      </c>
      <c r="AF248" s="3">
        <f t="shared" si="150"/>
        <v>21</v>
      </c>
      <c r="AG248" s="3">
        <f t="shared" si="150"/>
        <v>13</v>
      </c>
      <c r="AH248" s="3">
        <f t="shared" si="150"/>
        <v>9</v>
      </c>
      <c r="AI248" s="3">
        <f t="shared" si="150"/>
        <v>48</v>
      </c>
      <c r="AJ248" s="3">
        <f t="shared" si="150"/>
        <v>1</v>
      </c>
      <c r="AK248" s="3">
        <f t="shared" si="150"/>
        <v>8</v>
      </c>
      <c r="AL248" s="3">
        <f t="shared" si="150"/>
        <v>8</v>
      </c>
      <c r="AM248" s="3">
        <f t="shared" si="150"/>
        <v>65</v>
      </c>
      <c r="AN248" s="3">
        <f t="shared" si="150"/>
        <v>20</v>
      </c>
      <c r="AO248" s="3">
        <f t="shared" si="150"/>
        <v>1</v>
      </c>
      <c r="AP248" s="3">
        <f t="shared" si="150"/>
        <v>6</v>
      </c>
      <c r="AQ248" s="3">
        <f t="shared" si="150"/>
        <v>3</v>
      </c>
      <c r="AR248" s="3">
        <f t="shared" si="150"/>
        <v>5</v>
      </c>
      <c r="AS248" s="3">
        <f t="shared" si="150"/>
        <v>4</v>
      </c>
      <c r="AT248" s="3">
        <f t="shared" si="150"/>
        <v>6</v>
      </c>
      <c r="AU248" s="3">
        <f t="shared" si="150"/>
        <v>5</v>
      </c>
      <c r="AV248" s="3">
        <f t="shared" si="150"/>
        <v>5</v>
      </c>
      <c r="AW248" s="3">
        <f t="shared" si="150"/>
        <v>4</v>
      </c>
      <c r="AX248" s="3">
        <f t="shared" si="150"/>
        <v>13</v>
      </c>
      <c r="AY248" s="3">
        <f t="shared" si="150"/>
        <v>2</v>
      </c>
      <c r="AZ248" s="3">
        <f t="shared" si="150"/>
        <v>14</v>
      </c>
      <c r="BA248" s="3">
        <f t="shared" si="150"/>
        <v>1</v>
      </c>
      <c r="BB248" s="3">
        <f t="shared" si="150"/>
        <v>69</v>
      </c>
      <c r="BC248" s="3">
        <f t="shared" si="150"/>
        <v>16</v>
      </c>
      <c r="BD248" s="3">
        <f t="shared" si="150"/>
        <v>14</v>
      </c>
      <c r="BE248" s="3">
        <f t="shared" si="150"/>
        <v>46</v>
      </c>
      <c r="BF248" s="3">
        <f t="shared" si="150"/>
        <v>10</v>
      </c>
      <c r="BG248" s="3">
        <f t="shared" si="150"/>
        <v>7</v>
      </c>
      <c r="BH248" s="3">
        <f t="shared" si="150"/>
        <v>28</v>
      </c>
      <c r="BI248" s="3">
        <f t="shared" si="150"/>
        <v>2</v>
      </c>
      <c r="BJ248" s="3">
        <f t="shared" si="150"/>
        <v>3</v>
      </c>
      <c r="BK248" s="3">
        <f t="shared" si="150"/>
        <v>49</v>
      </c>
      <c r="BL248" s="3">
        <f t="shared" si="150"/>
        <v>13</v>
      </c>
      <c r="BM248" s="3">
        <f t="shared" si="150"/>
        <v>164</v>
      </c>
      <c r="BN248" s="3">
        <f t="shared" si="150"/>
        <v>41</v>
      </c>
      <c r="BO248" s="3">
        <f t="shared" si="150"/>
        <v>1</v>
      </c>
      <c r="BP248" s="3">
        <f t="shared" si="150"/>
        <v>5</v>
      </c>
      <c r="BQ248" s="3">
        <f t="shared" si="150"/>
        <v>52</v>
      </c>
      <c r="BR248" s="3">
        <f t="shared" si="150"/>
        <v>5</v>
      </c>
      <c r="BS248" s="3">
        <f t="shared" si="150"/>
        <v>3</v>
      </c>
      <c r="BT248" s="3">
        <f t="shared" si="150"/>
        <v>8</v>
      </c>
      <c r="BU248" s="3">
        <f t="shared" si="150"/>
        <v>13</v>
      </c>
      <c r="BV248" s="3">
        <f t="shared" si="150"/>
        <v>76</v>
      </c>
      <c r="BW248" s="3">
        <f t="shared" si="150"/>
        <v>42</v>
      </c>
      <c r="BX248" s="3">
        <f t="shared" si="150"/>
        <v>17</v>
      </c>
      <c r="BY248" s="3">
        <f t="shared" si="150"/>
        <v>22</v>
      </c>
      <c r="BZ248" s="3">
        <f t="shared" si="150"/>
        <v>89</v>
      </c>
      <c r="CA248" s="3">
        <f t="shared" si="150"/>
        <v>2</v>
      </c>
      <c r="CB248" s="3">
        <f t="shared" si="150"/>
        <v>16</v>
      </c>
      <c r="CC248" s="3">
        <f t="shared" si="150"/>
        <v>70</v>
      </c>
      <c r="CD248" s="3">
        <f t="shared" si="150"/>
        <v>35</v>
      </c>
      <c r="CE248" s="3">
        <f t="shared" si="150"/>
        <v>13</v>
      </c>
      <c r="CF248" s="3">
        <f t="shared" si="150"/>
        <v>9</v>
      </c>
      <c r="CG248" s="3">
        <f t="shared" si="150"/>
        <v>1</v>
      </c>
      <c r="CH248" s="3">
        <f t="shared" si="150"/>
        <v>20</v>
      </c>
      <c r="CI248" s="3">
        <f t="shared" si="150"/>
        <v>2</v>
      </c>
      <c r="CJ248" s="3">
        <f t="shared" si="150"/>
        <v>11</v>
      </c>
      <c r="CK248" s="3">
        <f t="shared" si="150"/>
        <v>19</v>
      </c>
      <c r="CL248" s="3">
        <f t="shared" si="150"/>
        <v>3</v>
      </c>
      <c r="CM248" s="3">
        <f t="shared" si="150"/>
        <v>1</v>
      </c>
      <c r="CN248" s="3">
        <f t="shared" si="150"/>
        <v>7</v>
      </c>
      <c r="CO248" s="3">
        <f t="shared" si="150"/>
        <v>44</v>
      </c>
      <c r="CP248" s="3">
        <f t="shared" si="150"/>
        <v>1</v>
      </c>
      <c r="CQ248" s="3">
        <f t="shared" si="150"/>
        <v>4</v>
      </c>
      <c r="CR248" s="3">
        <f t="shared" si="150"/>
        <v>4</v>
      </c>
      <c r="CS248" s="3">
        <f t="shared" si="150"/>
        <v>48</v>
      </c>
      <c r="CT248" s="3">
        <f t="shared" si="150"/>
        <v>1</v>
      </c>
      <c r="CU248" s="3">
        <f t="shared" si="150"/>
        <v>11</v>
      </c>
      <c r="CV248" s="3">
        <f t="shared" si="150"/>
        <v>22</v>
      </c>
      <c r="CW248" s="3">
        <f t="shared" si="150"/>
        <v>6</v>
      </c>
      <c r="CX248" s="3">
        <f t="shared" si="150"/>
        <v>1</v>
      </c>
      <c r="CY248" s="3">
        <f t="shared" si="150"/>
        <v>1</v>
      </c>
      <c r="CZ248" s="3">
        <f t="shared" si="150"/>
        <v>2</v>
      </c>
      <c r="DA248" s="3">
        <f t="shared" si="150"/>
        <v>7</v>
      </c>
      <c r="DB248" s="3">
        <f t="shared" si="150"/>
        <v>1</v>
      </c>
      <c r="DC248" s="3">
        <f t="shared" si="150"/>
        <v>8</v>
      </c>
      <c r="DD248" s="3">
        <f t="shared" si="150"/>
        <v>12</v>
      </c>
      <c r="DE248" s="3">
        <f t="shared" si="150"/>
        <v>8</v>
      </c>
      <c r="DF248" s="3">
        <f t="shared" si="150"/>
        <v>9</v>
      </c>
      <c r="DG248" s="3">
        <f t="shared" si="150"/>
        <v>64</v>
      </c>
      <c r="DH248" s="3">
        <f t="shared" si="150"/>
        <v>28</v>
      </c>
      <c r="DI248" s="3">
        <f t="shared" si="150"/>
        <v>5</v>
      </c>
      <c r="DJ248" s="3">
        <f t="shared" si="150"/>
        <v>14</v>
      </c>
      <c r="DK248" s="3">
        <f t="shared" si="150"/>
        <v>2</v>
      </c>
      <c r="DL248" s="3">
        <f t="shared" si="150"/>
        <v>22</v>
      </c>
      <c r="DM248" s="3">
        <f t="shared" si="150"/>
        <v>110</v>
      </c>
      <c r="DN248" s="3">
        <f t="shared" si="150"/>
        <v>11</v>
      </c>
      <c r="DO248" s="3">
        <f t="shared" si="150"/>
        <v>36</v>
      </c>
      <c r="DP248" s="3">
        <f t="shared" si="150"/>
        <v>31</v>
      </c>
      <c r="DQ248" s="3">
        <f t="shared" si="150"/>
        <v>11</v>
      </c>
      <c r="DR248" s="3">
        <f t="shared" si="150"/>
        <v>1</v>
      </c>
      <c r="DS248" s="3">
        <f t="shared" si="150"/>
        <v>69</v>
      </c>
      <c r="DT248" s="3">
        <f t="shared" si="150"/>
        <v>2</v>
      </c>
      <c r="DU248" s="3">
        <f t="shared" si="150"/>
        <v>1</v>
      </c>
      <c r="DV248" s="3">
        <f t="shared" si="150"/>
        <v>60</v>
      </c>
      <c r="DW248" s="3">
        <f t="shared" si="150"/>
        <v>6</v>
      </c>
      <c r="DX248" s="3">
        <f t="shared" si="150"/>
        <v>4</v>
      </c>
      <c r="DY248" s="3">
        <f t="shared" si="150"/>
        <v>2</v>
      </c>
      <c r="DZ248" s="3">
        <f t="shared" si="150"/>
        <v>21</v>
      </c>
      <c r="EA248" s="3">
        <f t="shared" si="150"/>
        <v>5</v>
      </c>
      <c r="EB248" s="3">
        <f t="shared" si="150"/>
        <v>6</v>
      </c>
      <c r="EC248" s="3">
        <f t="shared" si="150"/>
        <v>45</v>
      </c>
      <c r="ED248" s="3">
        <f t="shared" si="150"/>
        <v>37</v>
      </c>
      <c r="EE248" s="3">
        <f t="shared" si="150"/>
        <v>2</v>
      </c>
      <c r="EF248" s="3">
        <f t="shared" si="150"/>
        <v>8</v>
      </c>
      <c r="EG248" s="3">
        <f t="shared" si="150"/>
        <v>2</v>
      </c>
      <c r="EH248" s="3">
        <f t="shared" si="150"/>
        <v>1</v>
      </c>
      <c r="EI248" s="3">
        <f t="shared" si="150"/>
        <v>6</v>
      </c>
      <c r="EJ248" s="3">
        <f t="shared" si="150"/>
        <v>172</v>
      </c>
      <c r="EK248" s="3">
        <f t="shared" si="150"/>
        <v>18</v>
      </c>
      <c r="EL248" s="3">
        <f t="shared" si="150"/>
        <v>2</v>
      </c>
      <c r="EM248" s="3">
        <f t="shared" si="150"/>
        <v>1</v>
      </c>
      <c r="EN248" s="3">
        <f t="shared" si="150"/>
        <v>7</v>
      </c>
      <c r="EO248" s="3">
        <f t="shared" si="150"/>
        <v>7</v>
      </c>
      <c r="EP248" s="3">
        <f t="shared" si="150"/>
        <v>7</v>
      </c>
      <c r="EQ248" s="3">
        <f t="shared" si="150"/>
        <v>2</v>
      </c>
      <c r="ER248" s="3">
        <f t="shared" si="150"/>
        <v>6</v>
      </c>
      <c r="ES248" s="3">
        <f t="shared" si="150"/>
        <v>2</v>
      </c>
      <c r="ET248" s="3">
        <f t="shared" si="150"/>
        <v>1</v>
      </c>
      <c r="EU248" s="3">
        <f t="shared" si="150"/>
        <v>1</v>
      </c>
      <c r="EV248" s="3">
        <f t="shared" si="150"/>
        <v>16</v>
      </c>
      <c r="EW248" s="3">
        <f t="shared" si="150"/>
        <v>13</v>
      </c>
      <c r="EX248" s="3">
        <f t="shared" si="150"/>
        <v>26</v>
      </c>
      <c r="EY248" s="3">
        <f t="shared" si="150"/>
        <v>2</v>
      </c>
      <c r="EZ248" s="3">
        <f t="shared" si="150"/>
        <v>16</v>
      </c>
      <c r="FA248" s="3">
        <f t="shared" si="150"/>
        <v>9</v>
      </c>
      <c r="FB248" s="3">
        <f t="shared" si="150"/>
        <v>110</v>
      </c>
      <c r="FC248" s="3">
        <f t="shared" si="150"/>
        <v>37</v>
      </c>
      <c r="FD248" s="3">
        <f t="shared" si="150"/>
        <v>1</v>
      </c>
      <c r="FE248" s="3">
        <f t="shared" si="150"/>
        <v>17</v>
      </c>
      <c r="FF248" s="3">
        <f t="shared" si="150"/>
        <v>42</v>
      </c>
      <c r="FG248" s="3">
        <f t="shared" si="150"/>
        <v>2</v>
      </c>
      <c r="FH248" s="3">
        <f t="shared" si="150"/>
        <v>11</v>
      </c>
      <c r="FI248" s="3">
        <f t="shared" si="150"/>
        <v>32</v>
      </c>
      <c r="FJ248" s="3">
        <f t="shared" si="150"/>
        <v>2</v>
      </c>
      <c r="FK248" s="3">
        <f t="shared" si="150"/>
        <v>2</v>
      </c>
      <c r="FL248" s="3">
        <f t="shared" si="150"/>
        <v>8</v>
      </c>
      <c r="FM248" s="3">
        <f t="shared" si="150"/>
        <v>36</v>
      </c>
      <c r="FN248" s="3">
        <f t="shared" si="150"/>
        <v>3</v>
      </c>
      <c r="FP248" s="3">
        <f t="shared" ref="FP248:FW248" si="151">COUNT(FP2:FP245)</f>
        <v>12</v>
      </c>
      <c r="FQ248" s="3">
        <f t="shared" si="151"/>
        <v>19</v>
      </c>
      <c r="FR248" s="3">
        <f t="shared" si="151"/>
        <v>82</v>
      </c>
      <c r="FS248" s="3">
        <f t="shared" si="151"/>
        <v>217</v>
      </c>
      <c r="FT248" s="3">
        <f t="shared" si="151"/>
        <v>23</v>
      </c>
      <c r="FU248" s="3">
        <f t="shared" si="151"/>
        <v>15</v>
      </c>
      <c r="FV248" s="3">
        <f t="shared" si="151"/>
        <v>4</v>
      </c>
      <c r="FW248" s="3">
        <f t="shared" si="151"/>
        <v>30</v>
      </c>
      <c r="FY248" s="3">
        <f t="shared" ref="FY248:GG248" si="152">COUNT(FY2:FY245)</f>
        <v>8</v>
      </c>
      <c r="FZ248" s="3">
        <f t="shared" si="152"/>
        <v>6</v>
      </c>
      <c r="GA248" s="3">
        <f t="shared" si="152"/>
        <v>9</v>
      </c>
      <c r="GB248" s="3">
        <f t="shared" si="152"/>
        <v>4</v>
      </c>
      <c r="GC248" s="3">
        <f t="shared" si="152"/>
        <v>7</v>
      </c>
      <c r="GD248" s="3">
        <f t="shared" si="152"/>
        <v>7</v>
      </c>
      <c r="GE248" s="3">
        <f t="shared" si="152"/>
        <v>12</v>
      </c>
      <c r="GF248" s="3">
        <f t="shared" si="152"/>
        <v>43</v>
      </c>
      <c r="GG248" s="3">
        <f t="shared" si="152"/>
        <v>16</v>
      </c>
    </row>
    <row r="249" spans="1:217" ht="13" x14ac:dyDescent="0.15">
      <c r="M249" s="3">
        <f>SUM(M2:M245)</f>
        <v>6353</v>
      </c>
      <c r="Q249" s="3" t="s">
        <v>1013</v>
      </c>
      <c r="R249" s="3">
        <f t="shared" ref="R249:FN249" si="153">SUM(R2:R245)</f>
        <v>3397</v>
      </c>
      <c r="S249" s="3">
        <f t="shared" si="153"/>
        <v>48</v>
      </c>
      <c r="T249" s="3">
        <f t="shared" si="153"/>
        <v>171</v>
      </c>
      <c r="U249" s="3">
        <f t="shared" si="153"/>
        <v>40</v>
      </c>
      <c r="V249" s="3">
        <f t="shared" si="153"/>
        <v>1</v>
      </c>
      <c r="W249" s="3">
        <f t="shared" si="153"/>
        <v>18</v>
      </c>
      <c r="X249" s="3">
        <f t="shared" si="153"/>
        <v>56</v>
      </c>
      <c r="Y249" s="3">
        <f t="shared" si="153"/>
        <v>1</v>
      </c>
      <c r="Z249" s="3">
        <f t="shared" si="153"/>
        <v>89</v>
      </c>
      <c r="AA249" s="3">
        <f t="shared" si="153"/>
        <v>3</v>
      </c>
      <c r="AB249" s="3">
        <f t="shared" si="153"/>
        <v>1341</v>
      </c>
      <c r="AC249" s="3">
        <f t="shared" si="153"/>
        <v>195</v>
      </c>
      <c r="AD249" s="3">
        <f t="shared" si="153"/>
        <v>241</v>
      </c>
      <c r="AE249" s="3">
        <f t="shared" si="153"/>
        <v>217</v>
      </c>
      <c r="AF249" s="3">
        <f t="shared" si="153"/>
        <v>154</v>
      </c>
      <c r="AG249" s="3">
        <f t="shared" si="153"/>
        <v>141</v>
      </c>
      <c r="AH249" s="3">
        <f t="shared" si="153"/>
        <v>45</v>
      </c>
      <c r="AI249" s="3">
        <f t="shared" si="153"/>
        <v>250</v>
      </c>
      <c r="AJ249" s="3">
        <f t="shared" si="153"/>
        <v>1</v>
      </c>
      <c r="AK249" s="3">
        <f t="shared" si="153"/>
        <v>45</v>
      </c>
      <c r="AL249" s="3">
        <f t="shared" si="153"/>
        <v>24</v>
      </c>
      <c r="AM249" s="3">
        <f t="shared" si="153"/>
        <v>2209</v>
      </c>
      <c r="AN249" s="3">
        <f t="shared" si="153"/>
        <v>113</v>
      </c>
      <c r="AO249" s="3">
        <f t="shared" si="153"/>
        <v>1</v>
      </c>
      <c r="AP249" s="3">
        <f t="shared" si="153"/>
        <v>11</v>
      </c>
      <c r="AQ249" s="3">
        <f t="shared" si="153"/>
        <v>4</v>
      </c>
      <c r="AR249" s="3">
        <f t="shared" si="153"/>
        <v>11</v>
      </c>
      <c r="AS249" s="3">
        <f t="shared" si="153"/>
        <v>39</v>
      </c>
      <c r="AT249" s="3">
        <f t="shared" si="153"/>
        <v>15</v>
      </c>
      <c r="AU249" s="3">
        <f t="shared" si="153"/>
        <v>6</v>
      </c>
      <c r="AV249" s="3">
        <f t="shared" si="153"/>
        <v>7</v>
      </c>
      <c r="AW249" s="3">
        <f t="shared" si="153"/>
        <v>17</v>
      </c>
      <c r="AX249" s="3">
        <f t="shared" si="153"/>
        <v>110</v>
      </c>
      <c r="AY249" s="3">
        <f t="shared" si="153"/>
        <v>2</v>
      </c>
      <c r="AZ249" s="3">
        <f t="shared" si="153"/>
        <v>81</v>
      </c>
      <c r="BA249" s="3">
        <f t="shared" si="153"/>
        <v>7</v>
      </c>
      <c r="BB249" s="3">
        <f t="shared" si="153"/>
        <v>702</v>
      </c>
      <c r="BC249" s="3">
        <f t="shared" si="153"/>
        <v>147</v>
      </c>
      <c r="BD249" s="3">
        <f t="shared" si="153"/>
        <v>66</v>
      </c>
      <c r="BE249" s="3">
        <f t="shared" si="153"/>
        <v>470</v>
      </c>
      <c r="BF249" s="3">
        <f t="shared" si="153"/>
        <v>41</v>
      </c>
      <c r="BG249" s="3">
        <f t="shared" si="153"/>
        <v>61</v>
      </c>
      <c r="BH249" s="3">
        <f t="shared" si="153"/>
        <v>137</v>
      </c>
      <c r="BI249" s="3">
        <f t="shared" si="153"/>
        <v>3</v>
      </c>
      <c r="BJ249" s="3">
        <f t="shared" si="153"/>
        <v>3</v>
      </c>
      <c r="BK249" s="3">
        <f t="shared" si="153"/>
        <v>597</v>
      </c>
      <c r="BL249" s="3">
        <f t="shared" si="153"/>
        <v>18</v>
      </c>
      <c r="BM249" s="3">
        <f t="shared" si="153"/>
        <v>6725</v>
      </c>
      <c r="BN249" s="3">
        <f t="shared" si="153"/>
        <v>3007</v>
      </c>
      <c r="BO249" s="3">
        <f t="shared" si="153"/>
        <v>1</v>
      </c>
      <c r="BP249" s="3">
        <f t="shared" si="153"/>
        <v>6</v>
      </c>
      <c r="BQ249" s="3">
        <f t="shared" si="153"/>
        <v>911</v>
      </c>
      <c r="BR249" s="3">
        <f t="shared" si="153"/>
        <v>27</v>
      </c>
      <c r="BS249" s="3">
        <f t="shared" si="153"/>
        <v>7</v>
      </c>
      <c r="BT249" s="3">
        <f t="shared" si="153"/>
        <v>55</v>
      </c>
      <c r="BU249" s="3">
        <f t="shared" si="153"/>
        <v>87</v>
      </c>
      <c r="BV249" s="3">
        <f t="shared" si="153"/>
        <v>1001</v>
      </c>
      <c r="BW249" s="3">
        <f t="shared" si="153"/>
        <v>442</v>
      </c>
      <c r="BX249" s="3">
        <f t="shared" si="153"/>
        <v>195</v>
      </c>
      <c r="BY249" s="3">
        <f t="shared" si="153"/>
        <v>213</v>
      </c>
      <c r="BZ249" s="3">
        <f t="shared" si="153"/>
        <v>1491</v>
      </c>
      <c r="CA249" s="3">
        <f t="shared" si="153"/>
        <v>74</v>
      </c>
      <c r="CB249" s="3">
        <f t="shared" si="153"/>
        <v>72</v>
      </c>
      <c r="CC249" s="3">
        <f t="shared" si="153"/>
        <v>553</v>
      </c>
      <c r="CD249" s="3">
        <f t="shared" si="153"/>
        <v>159</v>
      </c>
      <c r="CE249" s="3">
        <f t="shared" si="153"/>
        <v>95</v>
      </c>
      <c r="CF249" s="3">
        <f t="shared" si="153"/>
        <v>39</v>
      </c>
      <c r="CG249" s="3">
        <f t="shared" si="153"/>
        <v>1</v>
      </c>
      <c r="CH249" s="3">
        <f t="shared" si="153"/>
        <v>117</v>
      </c>
      <c r="CI249" s="3">
        <f t="shared" si="153"/>
        <v>2</v>
      </c>
      <c r="CJ249" s="3">
        <f t="shared" si="153"/>
        <v>54</v>
      </c>
      <c r="CK249" s="3">
        <f t="shared" si="153"/>
        <v>313</v>
      </c>
      <c r="CL249" s="3">
        <f t="shared" si="153"/>
        <v>15</v>
      </c>
      <c r="CM249" s="3">
        <f t="shared" si="153"/>
        <v>18</v>
      </c>
      <c r="CN249" s="3">
        <f t="shared" si="153"/>
        <v>24</v>
      </c>
      <c r="CO249" s="3">
        <f t="shared" si="153"/>
        <v>872</v>
      </c>
      <c r="CP249" s="3">
        <f t="shared" si="153"/>
        <v>1</v>
      </c>
      <c r="CQ249" s="3">
        <f t="shared" si="153"/>
        <v>14</v>
      </c>
      <c r="CR249" s="3">
        <f t="shared" si="153"/>
        <v>18</v>
      </c>
      <c r="CS249" s="3">
        <f t="shared" si="153"/>
        <v>415</v>
      </c>
      <c r="CT249" s="3">
        <f t="shared" si="153"/>
        <v>3</v>
      </c>
      <c r="CU249" s="3">
        <f t="shared" si="153"/>
        <v>26</v>
      </c>
      <c r="CV249" s="3">
        <f t="shared" si="153"/>
        <v>55</v>
      </c>
      <c r="CW249" s="3">
        <f t="shared" si="153"/>
        <v>16</v>
      </c>
      <c r="CX249" s="3">
        <f t="shared" si="153"/>
        <v>1</v>
      </c>
      <c r="CY249" s="3">
        <f t="shared" si="153"/>
        <v>2</v>
      </c>
      <c r="CZ249" s="3">
        <f t="shared" si="153"/>
        <v>16</v>
      </c>
      <c r="DA249" s="3">
        <f t="shared" si="153"/>
        <v>8</v>
      </c>
      <c r="DB249" s="3">
        <f t="shared" si="153"/>
        <v>3</v>
      </c>
      <c r="DC249" s="3">
        <f t="shared" si="153"/>
        <v>19</v>
      </c>
      <c r="DD249" s="3">
        <f t="shared" si="153"/>
        <v>51</v>
      </c>
      <c r="DE249" s="3">
        <f t="shared" si="153"/>
        <v>32</v>
      </c>
      <c r="DF249" s="3">
        <f t="shared" si="153"/>
        <v>165</v>
      </c>
      <c r="DG249" s="3">
        <f t="shared" si="153"/>
        <v>524</v>
      </c>
      <c r="DH249" s="3">
        <f t="shared" si="153"/>
        <v>244</v>
      </c>
      <c r="DI249" s="3">
        <f t="shared" si="153"/>
        <v>6</v>
      </c>
      <c r="DJ249" s="3">
        <f t="shared" si="153"/>
        <v>243</v>
      </c>
      <c r="DK249" s="3">
        <f t="shared" si="153"/>
        <v>8</v>
      </c>
      <c r="DL249" s="3">
        <f t="shared" si="153"/>
        <v>597</v>
      </c>
      <c r="DM249" s="3">
        <f t="shared" si="153"/>
        <v>3405</v>
      </c>
      <c r="DN249" s="3">
        <f t="shared" si="153"/>
        <v>30</v>
      </c>
      <c r="DO249" s="3">
        <f t="shared" si="153"/>
        <v>121</v>
      </c>
      <c r="DP249" s="3">
        <f t="shared" si="153"/>
        <v>147</v>
      </c>
      <c r="DQ249" s="3">
        <f t="shared" si="153"/>
        <v>111</v>
      </c>
      <c r="DR249" s="3">
        <f t="shared" si="153"/>
        <v>4</v>
      </c>
      <c r="DS249" s="3">
        <f t="shared" si="153"/>
        <v>1917</v>
      </c>
      <c r="DT249" s="3">
        <f t="shared" si="153"/>
        <v>8</v>
      </c>
      <c r="DU249" s="3">
        <f t="shared" si="153"/>
        <v>1</v>
      </c>
      <c r="DV249" s="3">
        <f t="shared" si="153"/>
        <v>918</v>
      </c>
      <c r="DW249" s="3">
        <f t="shared" si="153"/>
        <v>22</v>
      </c>
      <c r="DX249" s="3">
        <f t="shared" si="153"/>
        <v>142</v>
      </c>
      <c r="DY249" s="3">
        <f t="shared" si="153"/>
        <v>23</v>
      </c>
      <c r="DZ249" s="3">
        <f t="shared" si="153"/>
        <v>36</v>
      </c>
      <c r="EA249" s="3">
        <f t="shared" si="153"/>
        <v>9</v>
      </c>
      <c r="EB249" s="3">
        <f t="shared" si="153"/>
        <v>7</v>
      </c>
      <c r="EC249" s="3">
        <f t="shared" si="153"/>
        <v>227</v>
      </c>
      <c r="ED249" s="3">
        <f t="shared" si="153"/>
        <v>256</v>
      </c>
      <c r="EE249" s="3">
        <f t="shared" si="153"/>
        <v>3</v>
      </c>
      <c r="EF249" s="3">
        <f t="shared" si="153"/>
        <v>25</v>
      </c>
      <c r="EG249" s="3">
        <f t="shared" si="153"/>
        <v>2</v>
      </c>
      <c r="EH249" s="3">
        <f t="shared" si="153"/>
        <v>1</v>
      </c>
      <c r="EI249" s="3">
        <f t="shared" si="153"/>
        <v>30</v>
      </c>
      <c r="EJ249" s="3">
        <f t="shared" si="153"/>
        <v>16463</v>
      </c>
      <c r="EK249" s="3">
        <f t="shared" si="153"/>
        <v>121</v>
      </c>
      <c r="EL249" s="3">
        <f t="shared" si="153"/>
        <v>5</v>
      </c>
      <c r="EM249" s="3">
        <f t="shared" si="153"/>
        <v>1</v>
      </c>
      <c r="EN249" s="3">
        <f t="shared" si="153"/>
        <v>22</v>
      </c>
      <c r="EO249" s="3">
        <f t="shared" si="153"/>
        <v>46</v>
      </c>
      <c r="EP249" s="3">
        <f t="shared" si="153"/>
        <v>21</v>
      </c>
      <c r="EQ249" s="3">
        <f t="shared" si="153"/>
        <v>43</v>
      </c>
      <c r="ER249" s="3">
        <f t="shared" si="153"/>
        <v>155</v>
      </c>
      <c r="ES249" s="3">
        <f t="shared" si="153"/>
        <v>8</v>
      </c>
      <c r="ET249" s="3">
        <f t="shared" si="153"/>
        <v>2</v>
      </c>
      <c r="EU249" s="3">
        <f t="shared" si="153"/>
        <v>3</v>
      </c>
      <c r="EV249" s="3">
        <f t="shared" si="153"/>
        <v>220</v>
      </c>
      <c r="EW249" s="3">
        <f t="shared" si="153"/>
        <v>60</v>
      </c>
      <c r="EX249" s="3">
        <f t="shared" si="153"/>
        <v>479</v>
      </c>
      <c r="EY249" s="3">
        <f t="shared" si="153"/>
        <v>2</v>
      </c>
      <c r="EZ249" s="3">
        <f t="shared" si="153"/>
        <v>123</v>
      </c>
      <c r="FA249" s="3">
        <f t="shared" si="153"/>
        <v>91</v>
      </c>
      <c r="FB249" s="3">
        <f t="shared" si="153"/>
        <v>3288</v>
      </c>
      <c r="FC249" s="3">
        <f t="shared" si="153"/>
        <v>163</v>
      </c>
      <c r="FD249" s="3">
        <f t="shared" si="153"/>
        <v>1</v>
      </c>
      <c r="FE249" s="3">
        <f t="shared" si="153"/>
        <v>76</v>
      </c>
      <c r="FF249" s="3">
        <f t="shared" si="153"/>
        <v>501</v>
      </c>
      <c r="FG249" s="3">
        <f t="shared" si="153"/>
        <v>2</v>
      </c>
      <c r="FH249" s="3">
        <f t="shared" si="153"/>
        <v>34</v>
      </c>
      <c r="FI249" s="3">
        <f t="shared" si="153"/>
        <v>347</v>
      </c>
      <c r="FJ249" s="3">
        <f t="shared" si="153"/>
        <v>2</v>
      </c>
      <c r="FK249" s="3">
        <f t="shared" si="153"/>
        <v>14</v>
      </c>
      <c r="FL249" s="3">
        <f t="shared" si="153"/>
        <v>79</v>
      </c>
      <c r="FM249" s="3">
        <f t="shared" si="153"/>
        <v>423</v>
      </c>
      <c r="FN249" s="3">
        <f t="shared" si="153"/>
        <v>5</v>
      </c>
      <c r="FP249" s="3">
        <f t="shared" ref="FP249:FW249" si="154">SUM(FP2:FP245)</f>
        <v>19</v>
      </c>
      <c r="FQ249" s="3">
        <f t="shared" si="154"/>
        <v>160</v>
      </c>
      <c r="FR249" s="3">
        <f t="shared" si="154"/>
        <v>2627</v>
      </c>
      <c r="FS249" s="3">
        <f t="shared" si="154"/>
        <v>36479</v>
      </c>
      <c r="FT249" s="3">
        <f t="shared" si="154"/>
        <v>312</v>
      </c>
      <c r="FU249" s="3">
        <f t="shared" si="154"/>
        <v>133</v>
      </c>
      <c r="FV249" s="3">
        <f t="shared" si="154"/>
        <v>7</v>
      </c>
      <c r="FW249" s="3">
        <f t="shared" si="154"/>
        <v>403</v>
      </c>
      <c r="FY249" s="3">
        <f t="shared" ref="FY249:GG249" si="155">SUM(FY2:FY245)</f>
        <v>67</v>
      </c>
      <c r="FZ249" s="3">
        <f t="shared" si="155"/>
        <v>60</v>
      </c>
      <c r="GA249" s="3">
        <f t="shared" si="155"/>
        <v>98</v>
      </c>
      <c r="GB249" s="3">
        <f t="shared" si="155"/>
        <v>83</v>
      </c>
      <c r="GC249" s="3">
        <f t="shared" si="155"/>
        <v>18</v>
      </c>
      <c r="GD249" s="3">
        <f t="shared" si="155"/>
        <v>102</v>
      </c>
      <c r="GE249" s="3">
        <f t="shared" si="155"/>
        <v>55</v>
      </c>
      <c r="GF249" s="3">
        <f t="shared" si="155"/>
        <v>987</v>
      </c>
      <c r="GG249" s="3">
        <f t="shared" si="155"/>
        <v>80</v>
      </c>
    </row>
  </sheetData>
  <autoFilter ref="A1:HI252" xr:uid="{478BEEFD-1DAC-D949-A0F1-F58347CD47F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I252"/>
  <sheetViews>
    <sheetView workbookViewId="0">
      <pane xSplit="2" ySplit="4" topLeftCell="BN5" activePane="bottomRight" state="frozen"/>
      <selection pane="topRight" activeCell="C1" sqref="C1"/>
      <selection pane="bottomLeft" activeCell="A5" sqref="A5"/>
      <selection pane="bottomRight" activeCell="F3" sqref="F3"/>
    </sheetView>
  </sheetViews>
  <sheetFormatPr baseColWidth="10" defaultColWidth="12.6640625" defaultRowHeight="15.75" customHeight="1" x14ac:dyDescent="0.15"/>
  <cols>
    <col min="18" max="18" width="20.1640625" customWidth="1"/>
    <col min="20" max="20" width="20.5" customWidth="1"/>
    <col min="26" max="26" width="18.6640625" customWidth="1"/>
    <col min="28" max="28" width="19.5" customWidth="1"/>
    <col min="29" max="29" width="19" customWidth="1"/>
    <col min="30" max="30" width="25.6640625" customWidth="1"/>
    <col min="31" max="31" width="22.1640625" customWidth="1"/>
    <col min="35" max="35" width="17.6640625" customWidth="1"/>
    <col min="44" max="44" width="16.83203125" customWidth="1"/>
    <col min="50" max="50" width="21.5" customWidth="1"/>
    <col min="52" max="52" width="16.1640625" customWidth="1"/>
    <col min="54" max="54" width="28.6640625" customWidth="1"/>
    <col min="60" max="60" width="16.83203125" customWidth="1"/>
    <col min="65" max="65" width="21.6640625" customWidth="1"/>
    <col min="66" max="66" width="16.33203125" customWidth="1"/>
    <col min="69" max="69" width="17.33203125" customWidth="1"/>
    <col min="70" max="70" width="18.6640625" customWidth="1"/>
    <col min="73" max="73" width="21.1640625" customWidth="1"/>
    <col min="74" max="74" width="16.33203125" customWidth="1"/>
    <col min="75" max="75" width="21.6640625" customWidth="1"/>
    <col min="77" max="77" width="16.33203125" customWidth="1"/>
    <col min="80" max="80" width="20.6640625" customWidth="1"/>
    <col min="81" max="81" width="19.83203125" customWidth="1"/>
    <col min="82" max="82" width="17.83203125" customWidth="1"/>
    <col min="87" max="87" width="19.6640625" customWidth="1"/>
    <col min="89" max="89" width="15.83203125" customWidth="1"/>
    <col min="92" max="92" width="16" customWidth="1"/>
    <col min="93" max="93" width="17.5" customWidth="1"/>
    <col min="97" max="97" width="17.33203125" customWidth="1"/>
    <col min="101" max="101" width="19" customWidth="1"/>
    <col min="112" max="112" width="20.83203125" customWidth="1"/>
    <col min="114" max="114" width="20.33203125" customWidth="1"/>
    <col min="116" max="116" width="21.5" customWidth="1"/>
    <col min="118" max="118" width="19" customWidth="1"/>
    <col min="120" max="120" width="15.1640625" customWidth="1"/>
    <col min="123" max="123" width="17" customWidth="1"/>
    <col min="126" max="126" width="21.5" customWidth="1"/>
    <col min="130" max="130" width="15.5" customWidth="1"/>
    <col min="136" max="136" width="21.6640625" customWidth="1"/>
    <col min="139" max="139" width="17" customWidth="1"/>
    <col min="141" max="141" width="17.6640625" customWidth="1"/>
    <col min="145" max="145" width="15.1640625" customWidth="1"/>
    <col min="151" max="151" width="15.5" customWidth="1"/>
    <col min="152" max="152" width="21.5" customWidth="1"/>
    <col min="153" max="153" width="20.1640625" customWidth="1"/>
    <col min="154" max="154" width="15.6640625" customWidth="1"/>
    <col min="156" max="156" width="17.1640625" customWidth="1"/>
    <col min="159" max="159" width="16.6640625" customWidth="1"/>
    <col min="165" max="165" width="16.83203125" customWidth="1"/>
    <col min="167" max="167" width="16.83203125" customWidth="1"/>
    <col min="168" max="169" width="18.6640625" customWidth="1"/>
    <col min="172" max="172" width="17.83203125" customWidth="1"/>
    <col min="174" max="174" width="17.33203125" customWidth="1"/>
    <col min="195" max="217" width="20.1640625" customWidth="1"/>
  </cols>
  <sheetData>
    <row r="1" spans="1:217" ht="16" x14ac:dyDescent="0.2">
      <c r="A1" s="1" t="s">
        <v>0</v>
      </c>
      <c r="B1" s="2"/>
      <c r="C1" s="1"/>
      <c r="D1" s="2"/>
      <c r="E1" s="2"/>
      <c r="F1" s="2"/>
      <c r="G1" s="1"/>
      <c r="H1" s="1"/>
      <c r="I1" s="1"/>
      <c r="J1" s="1"/>
      <c r="K1" s="1"/>
      <c r="L1" s="1"/>
      <c r="M1" s="1"/>
      <c r="N1" s="1"/>
      <c r="O1" s="1"/>
      <c r="P1" s="1"/>
      <c r="Q1" s="1"/>
      <c r="R1" s="2"/>
      <c r="S1" s="3"/>
      <c r="T1" s="4"/>
      <c r="U1" s="3"/>
      <c r="V1" s="3"/>
      <c r="W1" s="3"/>
      <c r="X1" s="3"/>
      <c r="Y1" s="3"/>
      <c r="Z1" s="3"/>
      <c r="AA1" s="3"/>
      <c r="AB1" s="2"/>
      <c r="AC1" s="3"/>
      <c r="AD1" s="4"/>
      <c r="AE1" s="2"/>
      <c r="AF1" s="4"/>
      <c r="AG1" s="4"/>
      <c r="AH1" s="3"/>
      <c r="AI1" s="1"/>
      <c r="AJ1" s="3"/>
      <c r="AK1" s="3"/>
      <c r="AL1" s="3"/>
      <c r="AM1" s="2"/>
      <c r="AN1" s="4"/>
      <c r="AO1" s="3"/>
      <c r="AP1" s="4"/>
      <c r="AQ1" s="3"/>
      <c r="AR1" s="3"/>
      <c r="AS1" s="3"/>
      <c r="AT1" s="3"/>
      <c r="AU1" s="3"/>
      <c r="AV1" s="3"/>
      <c r="AW1" s="3"/>
      <c r="AX1" s="7"/>
      <c r="AY1" s="3"/>
      <c r="AZ1" s="3"/>
      <c r="BA1" s="1"/>
      <c r="BB1" s="1"/>
      <c r="BC1" s="4"/>
      <c r="BD1" s="4"/>
      <c r="BE1" s="2"/>
      <c r="BF1" s="3"/>
      <c r="BG1" s="3"/>
      <c r="BH1" s="3"/>
      <c r="BI1" s="3"/>
      <c r="BJ1" s="3"/>
      <c r="BK1" s="2"/>
      <c r="BL1" s="4"/>
      <c r="BM1" s="2"/>
      <c r="BN1" s="4"/>
      <c r="BO1" s="3"/>
      <c r="BP1" s="4"/>
      <c r="BQ1" s="3"/>
      <c r="BR1" s="4"/>
      <c r="BS1" s="3"/>
      <c r="BT1" s="3"/>
      <c r="BU1" s="3"/>
      <c r="BV1" s="2"/>
      <c r="BW1" s="4"/>
      <c r="BX1" s="3"/>
      <c r="BY1" s="3"/>
      <c r="BZ1" s="2"/>
      <c r="CA1" s="3"/>
      <c r="CB1" s="3"/>
      <c r="CC1" s="2"/>
      <c r="CD1" s="3"/>
      <c r="CE1" s="3"/>
      <c r="CF1" s="3"/>
      <c r="CG1" s="3"/>
      <c r="CH1" s="4"/>
      <c r="CI1" s="3"/>
      <c r="CJ1" s="3"/>
      <c r="CK1" s="3"/>
      <c r="CL1" s="3"/>
      <c r="CM1" s="3"/>
      <c r="CN1" s="3"/>
      <c r="CO1" s="1"/>
      <c r="CP1" s="3"/>
      <c r="CQ1" s="3"/>
      <c r="CR1" s="3"/>
      <c r="CS1" s="1"/>
      <c r="CT1" s="4"/>
      <c r="CU1" s="4"/>
      <c r="CV1" s="3"/>
      <c r="CW1" s="3"/>
      <c r="CX1" s="3"/>
      <c r="CY1" s="3"/>
      <c r="CZ1" s="3"/>
      <c r="DA1" s="4"/>
      <c r="DB1" s="3"/>
      <c r="DC1" s="3"/>
      <c r="DD1" s="3"/>
      <c r="DE1" s="3"/>
      <c r="DF1" s="3"/>
      <c r="DG1" s="2"/>
      <c r="DH1" s="4"/>
      <c r="DI1" s="3"/>
      <c r="DJ1" s="4"/>
      <c r="DK1" s="3"/>
      <c r="DL1" s="4"/>
      <c r="DM1" s="2"/>
      <c r="DN1" s="3"/>
      <c r="DO1" s="3"/>
      <c r="DP1" s="4"/>
      <c r="DQ1" s="3"/>
      <c r="DR1" s="3"/>
      <c r="DS1" s="1"/>
      <c r="DT1" s="3"/>
      <c r="DU1" s="3"/>
      <c r="DV1" s="3"/>
      <c r="DW1" s="3"/>
      <c r="DX1" s="3"/>
      <c r="DY1" s="3"/>
      <c r="DZ1" s="4"/>
      <c r="EA1" s="2"/>
      <c r="EB1" s="3"/>
      <c r="EC1" s="3"/>
      <c r="ED1" s="3"/>
      <c r="EE1" s="3"/>
      <c r="EF1" s="3"/>
      <c r="EG1" s="3"/>
      <c r="EH1" s="3"/>
      <c r="EI1" s="3"/>
      <c r="EJ1" s="2"/>
      <c r="EK1" s="3"/>
      <c r="EL1" s="3"/>
      <c r="EM1" s="3"/>
      <c r="EN1" s="3"/>
      <c r="EO1" s="3"/>
      <c r="EP1" s="3"/>
      <c r="EQ1" s="3"/>
      <c r="ER1" s="3"/>
      <c r="ES1" s="3"/>
      <c r="ET1" s="3"/>
      <c r="EU1" s="3"/>
      <c r="EV1" s="3"/>
      <c r="EW1" s="3"/>
      <c r="EX1" s="3"/>
      <c r="EY1" s="3"/>
      <c r="EZ1" s="3"/>
      <c r="FA1" s="3"/>
      <c r="FB1" s="1"/>
      <c r="FC1" s="3"/>
      <c r="FD1" s="3"/>
      <c r="FE1" s="4"/>
      <c r="FF1" s="4"/>
      <c r="FG1" s="3"/>
      <c r="FH1" s="3"/>
      <c r="FI1" s="1"/>
      <c r="FJ1" s="3"/>
      <c r="FK1" s="4"/>
      <c r="FL1" s="4"/>
      <c r="FM1" s="2"/>
      <c r="FN1" s="3"/>
      <c r="FO1" s="3"/>
      <c r="FP1" s="3"/>
      <c r="FQ1" s="3"/>
      <c r="FR1" s="2"/>
      <c r="FS1" s="2"/>
      <c r="FT1" s="3"/>
      <c r="FU1" s="3"/>
      <c r="FV1" s="3"/>
      <c r="FW1" s="4"/>
      <c r="FX1" s="3"/>
      <c r="FY1" s="3"/>
      <c r="FZ1" s="3"/>
      <c r="GA1" s="3"/>
      <c r="GB1" s="3"/>
      <c r="GC1" s="3"/>
      <c r="GD1" s="3"/>
      <c r="GE1" s="3"/>
      <c r="GF1" s="4"/>
      <c r="GG1" s="4"/>
      <c r="GH1" s="4"/>
      <c r="GI1" s="4"/>
      <c r="GJ1" s="4"/>
      <c r="GK1" s="4"/>
      <c r="GL1" s="3"/>
      <c r="GM1" s="3"/>
      <c r="GN1" s="3"/>
      <c r="GO1" s="3"/>
      <c r="GP1" s="3"/>
      <c r="GQ1" s="3"/>
      <c r="GR1" s="3"/>
      <c r="GS1" s="3"/>
      <c r="GT1" s="3"/>
      <c r="GU1" s="3"/>
      <c r="GV1" s="3"/>
      <c r="GW1" s="3"/>
      <c r="GX1" s="3"/>
      <c r="GY1" s="3"/>
      <c r="GZ1" s="3"/>
      <c r="HA1" s="3"/>
      <c r="HB1" s="3"/>
      <c r="HC1" s="3"/>
      <c r="HD1" s="3"/>
      <c r="HE1" s="3"/>
      <c r="HF1" s="3"/>
      <c r="HG1" s="3"/>
      <c r="HH1" s="3"/>
      <c r="HI1" s="3"/>
    </row>
    <row r="2" spans="1:217" ht="16" x14ac:dyDescent="0.2">
      <c r="A2" s="1" t="s">
        <v>5</v>
      </c>
      <c r="B2" s="2"/>
      <c r="C2" s="1"/>
      <c r="D2" s="2"/>
      <c r="E2" s="2"/>
      <c r="F2" s="2"/>
      <c r="G2" s="1"/>
      <c r="H2" s="1"/>
      <c r="I2" s="1"/>
      <c r="J2" s="1"/>
      <c r="K2" s="1"/>
      <c r="L2" s="1"/>
      <c r="M2" s="1"/>
      <c r="N2" s="1"/>
      <c r="O2" s="1"/>
      <c r="P2" s="1"/>
      <c r="Q2" s="1"/>
      <c r="R2" s="2"/>
      <c r="S2" s="3"/>
      <c r="T2" s="4"/>
      <c r="U2" s="3"/>
      <c r="V2" s="3"/>
      <c r="W2" s="3"/>
      <c r="X2" s="3"/>
      <c r="Y2" s="3"/>
      <c r="Z2" s="3"/>
      <c r="AA2" s="3"/>
      <c r="AB2" s="2"/>
      <c r="AC2" s="3"/>
      <c r="AD2" s="4"/>
      <c r="AE2" s="2"/>
      <c r="AF2" s="4"/>
      <c r="AG2" s="4"/>
      <c r="AH2" s="3"/>
      <c r="AI2" s="1"/>
      <c r="AJ2" s="3"/>
      <c r="AK2" s="3"/>
      <c r="AL2" s="3"/>
      <c r="AM2" s="2"/>
      <c r="AN2" s="4"/>
      <c r="AO2" s="3"/>
      <c r="AP2" s="4"/>
      <c r="AQ2" s="3"/>
      <c r="AR2" s="3"/>
      <c r="AS2" s="3"/>
      <c r="AT2" s="3"/>
      <c r="AU2" s="3"/>
      <c r="AV2" s="3"/>
      <c r="AW2" s="3"/>
      <c r="AX2" s="7"/>
      <c r="AY2" s="3"/>
      <c r="AZ2" s="3"/>
      <c r="BA2" s="1"/>
      <c r="BB2" s="1"/>
      <c r="BC2" s="4"/>
      <c r="BD2" s="4"/>
      <c r="BE2" s="2"/>
      <c r="BF2" s="3"/>
      <c r="BG2" s="3"/>
      <c r="BH2" s="3"/>
      <c r="BI2" s="3"/>
      <c r="BJ2" s="3"/>
      <c r="BK2" s="2"/>
      <c r="BL2" s="4"/>
      <c r="BM2" s="2"/>
      <c r="BN2" s="4"/>
      <c r="BO2" s="3"/>
      <c r="BP2" s="4"/>
      <c r="BQ2" s="3"/>
      <c r="BR2" s="4"/>
      <c r="BS2" s="3"/>
      <c r="BT2" s="3"/>
      <c r="BU2" s="3"/>
      <c r="BV2" s="2"/>
      <c r="BW2" s="4"/>
      <c r="BX2" s="3"/>
      <c r="BY2" s="3"/>
      <c r="BZ2" s="2"/>
      <c r="CA2" s="3"/>
      <c r="CB2" s="3"/>
      <c r="CC2" s="2"/>
      <c r="CD2" s="3"/>
      <c r="CE2" s="3"/>
      <c r="CF2" s="3"/>
      <c r="CG2" s="3"/>
      <c r="CH2" s="4"/>
      <c r="CI2" s="3"/>
      <c r="CJ2" s="3"/>
      <c r="CK2" s="3"/>
      <c r="CL2" s="3"/>
      <c r="CM2" s="3"/>
      <c r="CN2" s="3"/>
      <c r="CO2" s="1"/>
      <c r="CP2" s="3"/>
      <c r="CQ2" s="3"/>
      <c r="CR2" s="3"/>
      <c r="CS2" s="1"/>
      <c r="CT2" s="4"/>
      <c r="CU2" s="4"/>
      <c r="CV2" s="3"/>
      <c r="CW2" s="3"/>
      <c r="CX2" s="3"/>
      <c r="CY2" s="3"/>
      <c r="CZ2" s="3"/>
      <c r="DA2" s="4"/>
      <c r="DB2" s="3"/>
      <c r="DC2" s="3"/>
      <c r="DD2" s="3"/>
      <c r="DE2" s="3"/>
      <c r="DF2" s="3"/>
      <c r="DG2" s="2"/>
      <c r="DH2" s="4"/>
      <c r="DI2" s="3"/>
      <c r="DJ2" s="4"/>
      <c r="DK2" s="3"/>
      <c r="DL2" s="4"/>
      <c r="DM2" s="2"/>
      <c r="DN2" s="3"/>
      <c r="DO2" s="3"/>
      <c r="DP2" s="4"/>
      <c r="DQ2" s="3"/>
      <c r="DR2" s="3"/>
      <c r="DS2" s="1"/>
      <c r="DT2" s="3"/>
      <c r="DU2" s="3"/>
      <c r="DV2" s="3"/>
      <c r="DW2" s="3"/>
      <c r="DX2" s="3"/>
      <c r="DY2" s="3"/>
      <c r="DZ2" s="4"/>
      <c r="EA2" s="2"/>
      <c r="EB2" s="3"/>
      <c r="EC2" s="3"/>
      <c r="ED2" s="3"/>
      <c r="EE2" s="3"/>
      <c r="EF2" s="3"/>
      <c r="EG2" s="3"/>
      <c r="EH2" s="3"/>
      <c r="EI2" s="3"/>
      <c r="EJ2" s="2"/>
      <c r="EK2" s="3"/>
      <c r="EL2" s="3"/>
      <c r="EM2" s="3"/>
      <c r="EN2" s="3"/>
      <c r="EO2" s="3"/>
      <c r="EP2" s="3"/>
      <c r="EQ2" s="3"/>
      <c r="ER2" s="3"/>
      <c r="ES2" s="3"/>
      <c r="ET2" s="3"/>
      <c r="EU2" s="3"/>
      <c r="EV2" s="3"/>
      <c r="EW2" s="3"/>
      <c r="EX2" s="3"/>
      <c r="EY2" s="3"/>
      <c r="EZ2" s="3"/>
      <c r="FA2" s="3"/>
      <c r="FB2" s="1"/>
      <c r="FC2" s="3"/>
      <c r="FD2" s="3"/>
      <c r="FE2" s="4"/>
      <c r="FF2" s="4"/>
      <c r="FG2" s="3"/>
      <c r="FH2" s="3"/>
      <c r="FI2" s="1"/>
      <c r="FJ2" s="3"/>
      <c r="FK2" s="4"/>
      <c r="FL2" s="4"/>
      <c r="FM2" s="2"/>
      <c r="FN2" s="3"/>
      <c r="FO2" s="3"/>
      <c r="FP2" s="3"/>
      <c r="FQ2" s="3"/>
      <c r="FR2" s="2"/>
      <c r="FS2" s="2"/>
      <c r="FT2" s="3"/>
      <c r="FU2" s="3"/>
      <c r="FV2" s="3"/>
      <c r="FW2" s="4"/>
      <c r="FX2" s="3"/>
      <c r="FY2" s="3"/>
      <c r="FZ2" s="3"/>
      <c r="GA2" s="3"/>
      <c r="GB2" s="3"/>
      <c r="GC2" s="3"/>
      <c r="GD2" s="3"/>
      <c r="GE2" s="3"/>
      <c r="GF2" s="4"/>
      <c r="GG2" s="4"/>
      <c r="GH2" s="4"/>
      <c r="GI2" s="4"/>
      <c r="GJ2" s="4"/>
      <c r="GK2" s="4"/>
      <c r="GL2" s="3"/>
      <c r="GM2" s="3"/>
      <c r="GN2" s="3"/>
      <c r="GO2" s="3"/>
      <c r="GP2" s="3"/>
      <c r="GQ2" s="3"/>
      <c r="GR2" s="3"/>
      <c r="GS2" s="3"/>
      <c r="GT2" s="3"/>
      <c r="GU2" s="3"/>
      <c r="GV2" s="3"/>
      <c r="GW2" s="3"/>
      <c r="GX2" s="3"/>
      <c r="GY2" s="3"/>
      <c r="GZ2" s="3"/>
      <c r="HA2" s="3"/>
      <c r="HB2" s="3"/>
      <c r="HC2" s="3"/>
      <c r="HD2" s="3"/>
      <c r="HE2" s="3"/>
      <c r="HF2" s="3"/>
      <c r="HG2" s="3"/>
      <c r="HH2" s="3"/>
      <c r="HI2" s="3"/>
    </row>
    <row r="3" spans="1:217" ht="16" x14ac:dyDescent="0.2">
      <c r="A3" s="1" t="s">
        <v>26</v>
      </c>
      <c r="B3" s="2"/>
      <c r="C3" s="1"/>
      <c r="D3" s="2"/>
      <c r="E3" s="2"/>
      <c r="F3" s="2"/>
      <c r="G3" s="1"/>
      <c r="H3" s="1"/>
      <c r="I3" s="1"/>
      <c r="J3" s="1"/>
      <c r="K3" s="1"/>
      <c r="L3" s="1"/>
      <c r="M3" s="1"/>
      <c r="N3" s="1"/>
      <c r="O3" s="1"/>
      <c r="P3" s="1"/>
      <c r="Q3" s="1"/>
      <c r="R3" s="2"/>
      <c r="S3" s="3"/>
      <c r="T3" s="4"/>
      <c r="U3" s="3"/>
      <c r="V3" s="3"/>
      <c r="W3" s="3"/>
      <c r="X3" s="3"/>
      <c r="Y3" s="3"/>
      <c r="Z3" s="3"/>
      <c r="AA3" s="3"/>
      <c r="AB3" s="2"/>
      <c r="AC3" s="3"/>
      <c r="AD3" s="4"/>
      <c r="AE3" s="2"/>
      <c r="AF3" s="4"/>
      <c r="AG3" s="4"/>
      <c r="AH3" s="3"/>
      <c r="AI3" s="1"/>
      <c r="AJ3" s="3"/>
      <c r="AK3" s="3"/>
      <c r="AL3" s="3"/>
      <c r="AM3" s="2"/>
      <c r="AN3" s="4"/>
      <c r="AO3" s="3"/>
      <c r="AP3" s="4"/>
      <c r="AQ3" s="3"/>
      <c r="AR3" s="3"/>
      <c r="AS3" s="3"/>
      <c r="AT3" s="3"/>
      <c r="AU3" s="3"/>
      <c r="AV3" s="3"/>
      <c r="AW3" s="3"/>
      <c r="AX3" s="7"/>
      <c r="AY3" s="3"/>
      <c r="AZ3" s="3"/>
      <c r="BA3" s="1"/>
      <c r="BB3" s="1"/>
      <c r="BC3" s="4"/>
      <c r="BD3" s="4"/>
      <c r="BE3" s="2"/>
      <c r="BF3" s="3"/>
      <c r="BG3" s="3"/>
      <c r="BH3" s="3"/>
      <c r="BI3" s="3"/>
      <c r="BJ3" s="3"/>
      <c r="BK3" s="2"/>
      <c r="BL3" s="4"/>
      <c r="BM3" s="2"/>
      <c r="BN3" s="4"/>
      <c r="BO3" s="3"/>
      <c r="BP3" s="4"/>
      <c r="BQ3" s="3"/>
      <c r="BR3" s="4"/>
      <c r="BS3" s="3"/>
      <c r="BT3" s="3"/>
      <c r="BU3" s="3"/>
      <c r="BV3" s="2"/>
      <c r="BW3" s="4"/>
      <c r="BX3" s="3"/>
      <c r="BY3" s="3"/>
      <c r="BZ3" s="2"/>
      <c r="CA3" s="3"/>
      <c r="CB3" s="3"/>
      <c r="CC3" s="2"/>
      <c r="CD3" s="3"/>
      <c r="CE3" s="3"/>
      <c r="CF3" s="3"/>
      <c r="CG3" s="3"/>
      <c r="CH3" s="4"/>
      <c r="CI3" s="3"/>
      <c r="CJ3" s="3"/>
      <c r="CK3" s="3"/>
      <c r="CL3" s="3"/>
      <c r="CM3" s="3"/>
      <c r="CN3" s="3"/>
      <c r="CO3" s="1"/>
      <c r="CP3" s="3"/>
      <c r="CQ3" s="3"/>
      <c r="CR3" s="3"/>
      <c r="CS3" s="1"/>
      <c r="CT3" s="4"/>
      <c r="CU3" s="4"/>
      <c r="CV3" s="3"/>
      <c r="CW3" s="3"/>
      <c r="CX3" s="3"/>
      <c r="CY3" s="3"/>
      <c r="CZ3" s="3"/>
      <c r="DA3" s="4"/>
      <c r="DB3" s="3"/>
      <c r="DC3" s="3"/>
      <c r="DD3" s="3"/>
      <c r="DE3" s="3"/>
      <c r="DF3" s="3"/>
      <c r="DG3" s="2"/>
      <c r="DH3" s="4"/>
      <c r="DI3" s="3"/>
      <c r="DJ3" s="4"/>
      <c r="DK3" s="3"/>
      <c r="DL3" s="4"/>
      <c r="DM3" s="2"/>
      <c r="DN3" s="3"/>
      <c r="DO3" s="3"/>
      <c r="DP3" s="4"/>
      <c r="DQ3" s="3"/>
      <c r="DR3" s="3"/>
      <c r="DS3" s="1"/>
      <c r="DT3" s="3"/>
      <c r="DU3" s="3"/>
      <c r="DV3" s="3"/>
      <c r="DW3" s="3"/>
      <c r="DX3" s="3"/>
      <c r="DY3" s="3"/>
      <c r="DZ3" s="4"/>
      <c r="EA3" s="2"/>
      <c r="EB3" s="3"/>
      <c r="EC3" s="3"/>
      <c r="ED3" s="3"/>
      <c r="EE3" s="3"/>
      <c r="EF3" s="3"/>
      <c r="EG3" s="3"/>
      <c r="EH3" s="3"/>
      <c r="EI3" s="3"/>
      <c r="EJ3" s="2"/>
      <c r="EK3" s="3"/>
      <c r="EL3" s="3"/>
      <c r="EM3" s="3"/>
      <c r="EN3" s="3"/>
      <c r="EO3" s="3"/>
      <c r="EP3" s="3"/>
      <c r="EQ3" s="3"/>
      <c r="ER3" s="3"/>
      <c r="ES3" s="3"/>
      <c r="ET3" s="3"/>
      <c r="EU3" s="3"/>
      <c r="EV3" s="3"/>
      <c r="EW3" s="3"/>
      <c r="EX3" s="3"/>
      <c r="EY3" s="3"/>
      <c r="EZ3" s="3"/>
      <c r="FA3" s="3"/>
      <c r="FB3" s="1"/>
      <c r="FC3" s="3"/>
      <c r="FD3" s="3"/>
      <c r="FE3" s="4"/>
      <c r="FF3" s="4"/>
      <c r="FG3" s="3"/>
      <c r="FH3" s="3"/>
      <c r="FI3" s="1"/>
      <c r="FJ3" s="3"/>
      <c r="FK3" s="4"/>
      <c r="FL3" s="4"/>
      <c r="FM3" s="2"/>
      <c r="FN3" s="3"/>
      <c r="FO3" s="3"/>
      <c r="FP3" s="3"/>
      <c r="FQ3" s="3"/>
      <c r="FR3" s="2"/>
      <c r="FS3" s="2"/>
      <c r="FT3" s="3"/>
      <c r="FU3" s="3"/>
      <c r="FV3" s="3"/>
      <c r="FW3" s="4"/>
      <c r="FX3" s="3"/>
      <c r="FY3" s="3"/>
      <c r="FZ3" s="3"/>
      <c r="GA3" s="3"/>
      <c r="GB3" s="3"/>
      <c r="GC3" s="3"/>
      <c r="GD3" s="3"/>
      <c r="GE3" s="3"/>
      <c r="GF3" s="4"/>
      <c r="GG3" s="4"/>
      <c r="GH3" s="4"/>
      <c r="GI3" s="4"/>
      <c r="GJ3" s="4"/>
      <c r="GK3" s="4"/>
      <c r="GL3" s="3"/>
      <c r="GM3" s="3"/>
      <c r="GN3" s="3"/>
      <c r="GO3" s="3"/>
      <c r="GP3" s="3"/>
      <c r="GQ3" s="3"/>
      <c r="GR3" s="3"/>
      <c r="GS3" s="3"/>
      <c r="GT3" s="3"/>
      <c r="GU3" s="3"/>
      <c r="GV3" s="3"/>
      <c r="GW3" s="3"/>
      <c r="GX3" s="3"/>
      <c r="GY3" s="3"/>
      <c r="GZ3" s="3"/>
      <c r="HA3" s="3"/>
      <c r="HB3" s="3"/>
      <c r="HC3" s="3"/>
      <c r="HD3" s="3"/>
      <c r="HE3" s="3"/>
      <c r="HF3" s="3"/>
      <c r="HG3" s="3"/>
      <c r="HH3" s="3"/>
      <c r="HI3" s="3"/>
    </row>
    <row r="4" spans="1:217" ht="16" x14ac:dyDescent="0.2">
      <c r="A4" s="1" t="s">
        <v>6</v>
      </c>
      <c r="B4" s="2" t="s">
        <v>7</v>
      </c>
      <c r="C4" s="1" t="s">
        <v>72</v>
      </c>
      <c r="D4" s="2" t="s">
        <v>8</v>
      </c>
      <c r="E4" s="2" t="s">
        <v>9</v>
      </c>
      <c r="F4" s="2" t="s">
        <v>10</v>
      </c>
      <c r="G4" s="1" t="s">
        <v>11</v>
      </c>
      <c r="H4" s="1" t="s">
        <v>12</v>
      </c>
      <c r="I4" s="1" t="s">
        <v>13</v>
      </c>
      <c r="J4" s="1" t="s">
        <v>14</v>
      </c>
      <c r="K4" s="1" t="s">
        <v>15</v>
      </c>
      <c r="L4" s="1" t="s">
        <v>16</v>
      </c>
      <c r="M4" s="1" t="s">
        <v>17</v>
      </c>
      <c r="N4" s="1" t="s">
        <v>18</v>
      </c>
      <c r="O4" s="1" t="s">
        <v>27</v>
      </c>
      <c r="P4" s="1" t="s">
        <v>28</v>
      </c>
      <c r="Q4" s="1" t="s">
        <v>20</v>
      </c>
      <c r="R4" s="2" t="s">
        <v>21</v>
      </c>
      <c r="S4" s="3" t="s">
        <v>22</v>
      </c>
      <c r="T4" s="4" t="s">
        <v>23</v>
      </c>
      <c r="U4" s="3" t="s">
        <v>24</v>
      </c>
      <c r="V4" s="8" t="s">
        <v>25</v>
      </c>
      <c r="W4" s="8" t="s">
        <v>29</v>
      </c>
      <c r="X4" s="8" t="s">
        <v>30</v>
      </c>
      <c r="Y4" s="3" t="s">
        <v>31</v>
      </c>
      <c r="Z4" s="3" t="s">
        <v>32</v>
      </c>
      <c r="AA4" s="8" t="s">
        <v>33</v>
      </c>
      <c r="AB4" s="2" t="s">
        <v>34</v>
      </c>
      <c r="AC4" s="3" t="s">
        <v>35</v>
      </c>
      <c r="AD4" s="4" t="s">
        <v>36</v>
      </c>
      <c r="AE4" s="2" t="s">
        <v>37</v>
      </c>
      <c r="AF4" s="4" t="s">
        <v>38</v>
      </c>
      <c r="AG4" s="4" t="s">
        <v>39</v>
      </c>
      <c r="AH4" s="8" t="s">
        <v>40</v>
      </c>
      <c r="AI4" s="1" t="s">
        <v>41</v>
      </c>
      <c r="AJ4" s="3" t="s">
        <v>42</v>
      </c>
      <c r="AK4" s="8" t="s">
        <v>43</v>
      </c>
      <c r="AL4" s="3" t="s">
        <v>44</v>
      </c>
      <c r="AM4" s="2" t="s">
        <v>45</v>
      </c>
      <c r="AN4" s="4" t="s">
        <v>46</v>
      </c>
      <c r="AO4" s="8" t="s">
        <v>47</v>
      </c>
      <c r="AP4" s="4" t="s">
        <v>48</v>
      </c>
      <c r="AQ4" s="3" t="s">
        <v>49</v>
      </c>
      <c r="AR4" s="3" t="s">
        <v>50</v>
      </c>
      <c r="AS4" s="3" t="s">
        <v>51</v>
      </c>
      <c r="AT4" s="3" t="s">
        <v>52</v>
      </c>
      <c r="AU4" s="8" t="s">
        <v>53</v>
      </c>
      <c r="AV4" s="8" t="s">
        <v>54</v>
      </c>
      <c r="AW4" s="8" t="s">
        <v>55</v>
      </c>
      <c r="AX4" s="9" t="s">
        <v>56</v>
      </c>
      <c r="AY4" s="8" t="s">
        <v>57</v>
      </c>
      <c r="AZ4" s="8" t="s">
        <v>58</v>
      </c>
      <c r="BA4" s="10" t="s">
        <v>59</v>
      </c>
      <c r="BB4" s="10" t="s">
        <v>60</v>
      </c>
      <c r="BC4" s="4" t="s">
        <v>61</v>
      </c>
      <c r="BD4" s="4" t="s">
        <v>62</v>
      </c>
      <c r="BE4" s="2" t="s">
        <v>63</v>
      </c>
      <c r="BF4" s="3" t="s">
        <v>64</v>
      </c>
      <c r="BG4" s="8" t="s">
        <v>65</v>
      </c>
      <c r="BH4" s="3" t="s">
        <v>66</v>
      </c>
      <c r="BI4" s="8" t="s">
        <v>67</v>
      </c>
      <c r="BJ4" s="8" t="s">
        <v>68</v>
      </c>
      <c r="BK4" s="2" t="s">
        <v>69</v>
      </c>
      <c r="BL4" s="4" t="s">
        <v>70</v>
      </c>
      <c r="BM4" s="2" t="s">
        <v>71</v>
      </c>
      <c r="BN4" s="4" t="s">
        <v>73</v>
      </c>
      <c r="BO4" s="8" t="s">
        <v>74</v>
      </c>
      <c r="BP4" s="4" t="s">
        <v>75</v>
      </c>
      <c r="BQ4" s="3" t="s">
        <v>76</v>
      </c>
      <c r="BR4" s="4" t="s">
        <v>77</v>
      </c>
      <c r="BS4" s="3" t="s">
        <v>78</v>
      </c>
      <c r="BT4" s="8" t="s">
        <v>79</v>
      </c>
      <c r="BU4" s="3" t="s">
        <v>80</v>
      </c>
      <c r="BV4" s="11" t="s">
        <v>81</v>
      </c>
      <c r="BW4" s="4" t="s">
        <v>82</v>
      </c>
      <c r="BX4" s="3" t="s">
        <v>83</v>
      </c>
      <c r="BY4" s="3" t="s">
        <v>84</v>
      </c>
      <c r="BZ4" s="2" t="s">
        <v>85</v>
      </c>
      <c r="CA4" s="3" t="s">
        <v>86</v>
      </c>
      <c r="CB4" s="3" t="s">
        <v>87</v>
      </c>
      <c r="CC4" s="2" t="s">
        <v>88</v>
      </c>
      <c r="CD4" s="8" t="s">
        <v>89</v>
      </c>
      <c r="CE4" s="8" t="s">
        <v>90</v>
      </c>
      <c r="CF4" s="3" t="s">
        <v>91</v>
      </c>
      <c r="CG4" s="8" t="s">
        <v>92</v>
      </c>
      <c r="CH4" s="4" t="s">
        <v>93</v>
      </c>
      <c r="CI4" s="3" t="s">
        <v>94</v>
      </c>
      <c r="CJ4" s="8" t="s">
        <v>95</v>
      </c>
      <c r="CK4" s="3" t="s">
        <v>96</v>
      </c>
      <c r="CL4" s="3" t="s">
        <v>97</v>
      </c>
      <c r="CM4" s="8" t="s">
        <v>98</v>
      </c>
      <c r="CN4" s="3" t="s">
        <v>99</v>
      </c>
      <c r="CO4" s="1" t="s">
        <v>100</v>
      </c>
      <c r="CP4" s="8" t="s">
        <v>101</v>
      </c>
      <c r="CQ4" s="8" t="s">
        <v>102</v>
      </c>
      <c r="CR4" s="3" t="s">
        <v>103</v>
      </c>
      <c r="CS4" s="1" t="s">
        <v>104</v>
      </c>
      <c r="CT4" s="4" t="s">
        <v>105</v>
      </c>
      <c r="CU4" s="4" t="s">
        <v>106</v>
      </c>
      <c r="CV4" s="8" t="s">
        <v>107</v>
      </c>
      <c r="CW4" s="8" t="s">
        <v>108</v>
      </c>
      <c r="CX4" s="8" t="s">
        <v>109</v>
      </c>
      <c r="CY4" s="8" t="s">
        <v>110</v>
      </c>
      <c r="CZ4" s="8" t="s">
        <v>111</v>
      </c>
      <c r="DA4" s="4" t="s">
        <v>112</v>
      </c>
      <c r="DB4" s="8" t="s">
        <v>113</v>
      </c>
      <c r="DC4" s="3" t="s">
        <v>114</v>
      </c>
      <c r="DD4" s="8" t="s">
        <v>115</v>
      </c>
      <c r="DE4" s="8" t="s">
        <v>116</v>
      </c>
      <c r="DF4" s="3" t="s">
        <v>117</v>
      </c>
      <c r="DG4" s="2" t="s">
        <v>118</v>
      </c>
      <c r="DH4" s="4" t="s">
        <v>119</v>
      </c>
      <c r="DI4" s="3" t="s">
        <v>120</v>
      </c>
      <c r="DJ4" s="4" t="s">
        <v>121</v>
      </c>
      <c r="DK4" s="8" t="s">
        <v>122</v>
      </c>
      <c r="DL4" s="4" t="s">
        <v>123</v>
      </c>
      <c r="DM4" s="2" t="s">
        <v>124</v>
      </c>
      <c r="DN4" s="3" t="s">
        <v>125</v>
      </c>
      <c r="DO4" s="3" t="s">
        <v>126</v>
      </c>
      <c r="DP4" s="4" t="s">
        <v>127</v>
      </c>
      <c r="DQ4" s="3" t="s">
        <v>128</v>
      </c>
      <c r="DR4" s="3" t="s">
        <v>129</v>
      </c>
      <c r="DS4" s="1" t="s">
        <v>130</v>
      </c>
      <c r="DT4" s="8" t="s">
        <v>131</v>
      </c>
      <c r="DU4" s="8" t="s">
        <v>132</v>
      </c>
      <c r="DV4" s="3" t="s">
        <v>133</v>
      </c>
      <c r="DW4" s="8" t="s">
        <v>134</v>
      </c>
      <c r="DX4" s="3" t="s">
        <v>135</v>
      </c>
      <c r="DY4" s="3" t="s">
        <v>136</v>
      </c>
      <c r="DZ4" s="4" t="s">
        <v>137</v>
      </c>
      <c r="EA4" s="2" t="s">
        <v>138</v>
      </c>
      <c r="EB4" s="8" t="s">
        <v>139</v>
      </c>
      <c r="EC4" s="8" t="s">
        <v>140</v>
      </c>
      <c r="ED4" s="3" t="s">
        <v>141</v>
      </c>
      <c r="EE4" s="8" t="s">
        <v>142</v>
      </c>
      <c r="EF4" s="8" t="s">
        <v>143</v>
      </c>
      <c r="EG4" s="8" t="s">
        <v>146</v>
      </c>
      <c r="EH4" s="8" t="s">
        <v>144</v>
      </c>
      <c r="EI4" s="3" t="s">
        <v>145</v>
      </c>
      <c r="EJ4" s="2" t="s">
        <v>147</v>
      </c>
      <c r="EK4" s="8" t="s">
        <v>148</v>
      </c>
      <c r="EL4" s="8" t="s">
        <v>149</v>
      </c>
      <c r="EM4" s="3" t="s">
        <v>150</v>
      </c>
      <c r="EN4" s="3" t="s">
        <v>151</v>
      </c>
      <c r="EO4" s="8" t="s">
        <v>152</v>
      </c>
      <c r="EP4" s="3" t="s">
        <v>153</v>
      </c>
      <c r="EQ4" s="3" t="s">
        <v>154</v>
      </c>
      <c r="ER4" s="3" t="s">
        <v>155</v>
      </c>
      <c r="ES4" s="8" t="s">
        <v>156</v>
      </c>
      <c r="ET4" s="8" t="s">
        <v>157</v>
      </c>
      <c r="EU4" s="8" t="s">
        <v>158</v>
      </c>
      <c r="EV4" s="3" t="s">
        <v>159</v>
      </c>
      <c r="EW4" s="3" t="s">
        <v>160</v>
      </c>
      <c r="EX4" s="3" t="s">
        <v>161</v>
      </c>
      <c r="EY4" s="8" t="s">
        <v>162</v>
      </c>
      <c r="EZ4" s="3" t="s">
        <v>163</v>
      </c>
      <c r="FA4" s="3" t="s">
        <v>164</v>
      </c>
      <c r="FB4" s="1" t="s">
        <v>165</v>
      </c>
      <c r="FC4" s="3" t="s">
        <v>166</v>
      </c>
      <c r="FD4" s="8" t="s">
        <v>167</v>
      </c>
      <c r="FE4" s="4" t="s">
        <v>200</v>
      </c>
      <c r="FF4" s="12" t="s">
        <v>169</v>
      </c>
      <c r="FG4" s="3" t="s">
        <v>170</v>
      </c>
      <c r="FH4" s="3" t="s">
        <v>171</v>
      </c>
      <c r="FI4" s="1" t="s">
        <v>172</v>
      </c>
      <c r="FJ4" s="8" t="s">
        <v>173</v>
      </c>
      <c r="FK4" s="4" t="s">
        <v>174</v>
      </c>
      <c r="FL4" s="4" t="s">
        <v>175</v>
      </c>
      <c r="FM4" s="2" t="s">
        <v>176</v>
      </c>
      <c r="FN4" s="3" t="s">
        <v>177</v>
      </c>
      <c r="FO4" s="3" t="s">
        <v>203</v>
      </c>
      <c r="FP4" s="3" t="s">
        <v>178</v>
      </c>
      <c r="FQ4" s="8" t="s">
        <v>179</v>
      </c>
      <c r="FR4" s="2" t="s">
        <v>180</v>
      </c>
      <c r="FS4" s="2" t="s">
        <v>181</v>
      </c>
      <c r="FT4" s="3" t="s">
        <v>182</v>
      </c>
      <c r="FU4" s="3" t="s">
        <v>183</v>
      </c>
      <c r="FV4" s="8" t="s">
        <v>184</v>
      </c>
      <c r="FW4" s="4" t="s">
        <v>185</v>
      </c>
      <c r="FX4" s="3" t="s">
        <v>205</v>
      </c>
      <c r="FY4" s="3" t="s">
        <v>194</v>
      </c>
      <c r="FZ4" s="3" t="s">
        <v>186</v>
      </c>
      <c r="GA4" s="3" t="s">
        <v>187</v>
      </c>
      <c r="GB4" s="8" t="s">
        <v>188</v>
      </c>
      <c r="GC4" s="3" t="s">
        <v>189</v>
      </c>
      <c r="GD4" s="3" t="s">
        <v>190</v>
      </c>
      <c r="GE4" s="8" t="s">
        <v>191</v>
      </c>
      <c r="GF4" s="4" t="s">
        <v>192</v>
      </c>
      <c r="GG4" s="12" t="s">
        <v>193</v>
      </c>
      <c r="GH4" s="4" t="s">
        <v>195</v>
      </c>
      <c r="GI4" s="4" t="s">
        <v>207</v>
      </c>
      <c r="GJ4" s="4" t="s">
        <v>208</v>
      </c>
      <c r="GK4" s="4" t="s">
        <v>210</v>
      </c>
      <c r="GL4" s="3" t="s">
        <v>211</v>
      </c>
      <c r="GM4" s="3" t="s">
        <v>213</v>
      </c>
      <c r="GN4" s="3"/>
      <c r="GO4" s="3"/>
      <c r="GP4" s="3"/>
      <c r="GQ4" s="3"/>
      <c r="GR4" s="3"/>
      <c r="GS4" s="3"/>
      <c r="GT4" s="3"/>
      <c r="GU4" s="3"/>
      <c r="GV4" s="3"/>
      <c r="GW4" s="3"/>
      <c r="GX4" s="3"/>
      <c r="GY4" s="3"/>
      <c r="GZ4" s="3"/>
      <c r="HA4" s="3"/>
      <c r="HB4" s="3"/>
      <c r="HC4" s="3"/>
      <c r="HD4" s="3"/>
      <c r="HE4" s="3"/>
      <c r="HF4" s="3"/>
      <c r="HG4" s="3"/>
      <c r="HH4" s="3"/>
      <c r="HI4" s="3"/>
    </row>
    <row r="5" spans="1:217" ht="15.75" customHeight="1" x14ac:dyDescent="0.15">
      <c r="A5" s="13">
        <v>38018</v>
      </c>
      <c r="B5" s="3" t="s">
        <v>196</v>
      </c>
      <c r="C5" s="3">
        <v>1</v>
      </c>
      <c r="D5" s="3">
        <v>21.559277999999999</v>
      </c>
      <c r="E5" s="3">
        <v>-157.87190200000001</v>
      </c>
      <c r="F5" s="3" t="s">
        <v>197</v>
      </c>
      <c r="G5" s="14">
        <v>0</v>
      </c>
      <c r="H5" s="14">
        <v>4.1666666666666664E-2</v>
      </c>
      <c r="I5" s="3">
        <v>6</v>
      </c>
      <c r="J5" s="3">
        <v>10</v>
      </c>
      <c r="K5" s="3" t="s">
        <v>198</v>
      </c>
      <c r="L5" s="3">
        <v>11</v>
      </c>
      <c r="M5" s="3">
        <v>22</v>
      </c>
      <c r="N5" s="3" t="s">
        <v>199</v>
      </c>
      <c r="P5" s="3">
        <v>22</v>
      </c>
      <c r="R5" s="3">
        <v>23</v>
      </c>
      <c r="AD5" s="3">
        <v>15</v>
      </c>
      <c r="AF5" s="3">
        <v>15</v>
      </c>
      <c r="AK5" s="3">
        <v>11</v>
      </c>
      <c r="BM5" s="3">
        <v>6</v>
      </c>
      <c r="DP5" s="3">
        <v>1</v>
      </c>
      <c r="ED5" s="3">
        <v>8</v>
      </c>
      <c r="FB5" s="3">
        <v>15</v>
      </c>
      <c r="FS5" s="3">
        <v>54</v>
      </c>
      <c r="FT5" s="3">
        <v>1</v>
      </c>
      <c r="GF5" s="3">
        <v>17</v>
      </c>
      <c r="GH5" s="3">
        <f t="shared" ref="GH5:GH51" si="0">COUNT(R5:GG5)</f>
        <v>11</v>
      </c>
      <c r="GI5" s="3">
        <f t="shared" ref="GI5:GI51" si="1">COUNTIF(R5:GG5,"&gt;=2")</f>
        <v>9</v>
      </c>
      <c r="GJ5" s="3">
        <f t="shared" ref="GJ5:GJ51" si="2">COUNTIF(R5:GG5,"&gt;=5")</f>
        <v>9</v>
      </c>
      <c r="GK5" s="3">
        <f t="shared" ref="GK5:GK51" si="3">SUM(R5:GG5)</f>
        <v>166</v>
      </c>
      <c r="GL5" s="3">
        <f t="shared" ref="GL5:GL51" si="4">25*P5</f>
        <v>550</v>
      </c>
      <c r="GM5" s="3">
        <f t="shared" ref="GM5:GM51" si="5">GL5-GK5</f>
        <v>384</v>
      </c>
    </row>
    <row r="6" spans="1:217" ht="15.75" customHeight="1" x14ac:dyDescent="0.15">
      <c r="A6" s="13">
        <v>38041</v>
      </c>
      <c r="B6" s="3" t="s">
        <v>201</v>
      </c>
      <c r="C6" s="16">
        <f t="shared" ref="C6:C51" si="6">C5+1</f>
        <v>2</v>
      </c>
      <c r="D6" s="3">
        <v>21.25544</v>
      </c>
      <c r="E6" s="3">
        <v>-157.810303</v>
      </c>
      <c r="F6" s="3" t="s">
        <v>197</v>
      </c>
      <c r="G6" s="14">
        <v>0</v>
      </c>
      <c r="H6" s="14">
        <v>4.1666666666666664E-2</v>
      </c>
      <c r="I6" s="3">
        <v>6</v>
      </c>
      <c r="J6" s="3">
        <v>11</v>
      </c>
      <c r="K6" s="3" t="s">
        <v>198</v>
      </c>
      <c r="L6" s="3">
        <v>12</v>
      </c>
      <c r="M6" s="3">
        <v>58</v>
      </c>
      <c r="N6" s="3" t="s">
        <v>202</v>
      </c>
      <c r="P6" s="3">
        <v>58</v>
      </c>
      <c r="R6" s="3">
        <v>3</v>
      </c>
      <c r="AF6" s="3">
        <v>3</v>
      </c>
      <c r="AO6" s="3">
        <v>1</v>
      </c>
      <c r="BB6" s="3">
        <v>5</v>
      </c>
      <c r="BM6" s="3">
        <v>4</v>
      </c>
      <c r="BQ6" s="3">
        <v>10</v>
      </c>
      <c r="BZ6" s="3">
        <v>102</v>
      </c>
      <c r="CB6" s="3">
        <v>3</v>
      </c>
      <c r="CS6" s="3">
        <v>2</v>
      </c>
      <c r="DM6" s="3">
        <v>51</v>
      </c>
      <c r="DP6" s="3">
        <v>3</v>
      </c>
      <c r="DS6" s="3">
        <v>27</v>
      </c>
      <c r="DV6" s="3">
        <v>4</v>
      </c>
      <c r="ED6" s="3">
        <v>2</v>
      </c>
      <c r="EJ6" s="3">
        <v>332</v>
      </c>
      <c r="FB6" s="3">
        <v>81</v>
      </c>
      <c r="FC6" s="3">
        <v>3</v>
      </c>
      <c r="FR6" s="3">
        <v>15</v>
      </c>
      <c r="FS6" s="3">
        <v>308</v>
      </c>
      <c r="GE6" s="3">
        <v>1</v>
      </c>
      <c r="GF6" s="3">
        <v>3</v>
      </c>
      <c r="GH6" s="3">
        <f t="shared" si="0"/>
        <v>21</v>
      </c>
      <c r="GI6" s="3">
        <f t="shared" si="1"/>
        <v>19</v>
      </c>
      <c r="GJ6" s="3">
        <f t="shared" si="2"/>
        <v>9</v>
      </c>
      <c r="GK6" s="3">
        <f t="shared" si="3"/>
        <v>963</v>
      </c>
      <c r="GL6" s="3">
        <f t="shared" si="4"/>
        <v>1450</v>
      </c>
      <c r="GM6" s="3">
        <f t="shared" si="5"/>
        <v>487</v>
      </c>
    </row>
    <row r="7" spans="1:217" ht="15.75" customHeight="1" x14ac:dyDescent="0.15">
      <c r="A7" s="13">
        <v>38050</v>
      </c>
      <c r="B7" s="3" t="s">
        <v>196</v>
      </c>
      <c r="C7" s="16">
        <f t="shared" si="6"/>
        <v>3</v>
      </c>
      <c r="D7" s="3">
        <v>21.559277999999999</v>
      </c>
      <c r="E7" s="3">
        <v>-157.87190200000001</v>
      </c>
      <c r="F7" s="3" t="s">
        <v>197</v>
      </c>
      <c r="G7" s="14">
        <v>0</v>
      </c>
      <c r="H7" s="14">
        <v>4.1666666666666664E-2</v>
      </c>
      <c r="I7" s="3">
        <v>6</v>
      </c>
      <c r="J7" s="3">
        <v>10</v>
      </c>
      <c r="K7" s="3" t="s">
        <v>198</v>
      </c>
      <c r="L7" s="3">
        <v>11</v>
      </c>
      <c r="M7" s="3">
        <v>33</v>
      </c>
      <c r="N7" s="3" t="s">
        <v>204</v>
      </c>
      <c r="P7" s="3">
        <v>33</v>
      </c>
      <c r="R7" s="3">
        <v>30</v>
      </c>
      <c r="AD7" s="3">
        <v>13</v>
      </c>
      <c r="AF7" s="3">
        <v>28</v>
      </c>
      <c r="AK7" s="3">
        <v>13</v>
      </c>
      <c r="BM7" s="3">
        <v>6</v>
      </c>
      <c r="ED7" s="3">
        <v>4</v>
      </c>
      <c r="FB7" s="3">
        <v>15</v>
      </c>
      <c r="FC7" s="3">
        <v>8</v>
      </c>
      <c r="FS7" s="3">
        <v>73</v>
      </c>
      <c r="FT7" s="3">
        <v>2</v>
      </c>
      <c r="GF7" s="3">
        <v>103</v>
      </c>
      <c r="GH7" s="3">
        <f t="shared" si="0"/>
        <v>11</v>
      </c>
      <c r="GI7" s="3">
        <f t="shared" si="1"/>
        <v>11</v>
      </c>
      <c r="GJ7" s="3">
        <f t="shared" si="2"/>
        <v>9</v>
      </c>
      <c r="GK7" s="3">
        <f t="shared" si="3"/>
        <v>295</v>
      </c>
      <c r="GL7" s="3">
        <f t="shared" si="4"/>
        <v>825</v>
      </c>
      <c r="GM7" s="3">
        <f t="shared" si="5"/>
        <v>530</v>
      </c>
    </row>
    <row r="8" spans="1:217" ht="15.75" customHeight="1" x14ac:dyDescent="0.15">
      <c r="A8" s="13">
        <v>38384</v>
      </c>
      <c r="B8" s="3" t="s">
        <v>196</v>
      </c>
      <c r="C8" s="16">
        <f t="shared" si="6"/>
        <v>4</v>
      </c>
      <c r="D8" s="3">
        <v>21.559277999999999</v>
      </c>
      <c r="E8" s="3">
        <v>-157.87190200000001</v>
      </c>
      <c r="F8" s="3" t="s">
        <v>197</v>
      </c>
      <c r="G8" s="14">
        <v>0</v>
      </c>
      <c r="H8" s="14">
        <v>4.1666666666666664E-2</v>
      </c>
      <c r="I8" s="3">
        <v>7</v>
      </c>
      <c r="J8" s="3">
        <v>9</v>
      </c>
      <c r="K8" s="3" t="s">
        <v>198</v>
      </c>
      <c r="L8" s="3">
        <v>10</v>
      </c>
      <c r="M8" s="3">
        <v>31</v>
      </c>
      <c r="N8" s="3" t="s">
        <v>206</v>
      </c>
      <c r="P8" s="3">
        <v>31</v>
      </c>
      <c r="R8" s="3">
        <v>85</v>
      </c>
      <c r="AD8" s="3">
        <v>14</v>
      </c>
      <c r="AF8" s="3">
        <v>37</v>
      </c>
      <c r="AK8" s="3">
        <v>4</v>
      </c>
      <c r="DH8" s="3">
        <v>4</v>
      </c>
      <c r="DI8" s="3">
        <v>1</v>
      </c>
      <c r="ED8" s="3">
        <v>21</v>
      </c>
      <c r="FC8" s="3">
        <v>2</v>
      </c>
      <c r="FT8" s="3">
        <v>1</v>
      </c>
      <c r="GE8" s="3">
        <v>15</v>
      </c>
      <c r="GF8" s="3">
        <v>5</v>
      </c>
      <c r="GH8" s="3">
        <f t="shared" si="0"/>
        <v>11</v>
      </c>
      <c r="GI8" s="3">
        <f t="shared" si="1"/>
        <v>9</v>
      </c>
      <c r="GJ8" s="3">
        <f t="shared" si="2"/>
        <v>6</v>
      </c>
      <c r="GK8" s="3">
        <f t="shared" si="3"/>
        <v>189</v>
      </c>
      <c r="GL8" s="3">
        <f t="shared" si="4"/>
        <v>775</v>
      </c>
      <c r="GM8" s="3">
        <f t="shared" si="5"/>
        <v>586</v>
      </c>
    </row>
    <row r="9" spans="1:217" ht="15.75" customHeight="1" x14ac:dyDescent="0.15">
      <c r="A9" s="13">
        <v>38401</v>
      </c>
      <c r="B9" s="3" t="s">
        <v>201</v>
      </c>
      <c r="C9" s="16">
        <f t="shared" si="6"/>
        <v>5</v>
      </c>
      <c r="D9" s="3">
        <v>21.25544</v>
      </c>
      <c r="E9" s="3">
        <v>-157.810303</v>
      </c>
      <c r="F9" s="3" t="s">
        <v>197</v>
      </c>
      <c r="G9" s="14">
        <v>0</v>
      </c>
      <c r="H9" s="14">
        <v>4.1666666666666664E-2</v>
      </c>
      <c r="I9" s="3">
        <v>6</v>
      </c>
      <c r="J9" s="3">
        <v>9</v>
      </c>
      <c r="K9" s="3" t="s">
        <v>198</v>
      </c>
      <c r="L9" s="3">
        <v>10</v>
      </c>
      <c r="M9" s="3">
        <v>56</v>
      </c>
      <c r="N9" s="3"/>
      <c r="P9" s="3">
        <v>56</v>
      </c>
      <c r="R9" s="3">
        <v>6</v>
      </c>
      <c r="AF9" s="3">
        <v>3</v>
      </c>
      <c r="BQ9" s="3">
        <v>3</v>
      </c>
      <c r="BW9" s="3">
        <v>15</v>
      </c>
      <c r="CB9" s="3">
        <v>3</v>
      </c>
      <c r="CV9" s="3">
        <v>1</v>
      </c>
      <c r="DM9" s="3">
        <v>132</v>
      </c>
      <c r="DP9" s="3">
        <v>1</v>
      </c>
      <c r="DW9" s="3">
        <v>1</v>
      </c>
      <c r="ED9" s="3">
        <v>6</v>
      </c>
      <c r="EJ9" s="3">
        <v>332</v>
      </c>
      <c r="FB9" s="3">
        <v>99</v>
      </c>
      <c r="FC9" s="3">
        <v>1</v>
      </c>
      <c r="FS9" s="3">
        <v>208</v>
      </c>
      <c r="GF9" s="3">
        <v>12</v>
      </c>
      <c r="GH9" s="3">
        <f t="shared" si="0"/>
        <v>15</v>
      </c>
      <c r="GI9" s="3">
        <f t="shared" si="1"/>
        <v>11</v>
      </c>
      <c r="GJ9" s="3">
        <f t="shared" si="2"/>
        <v>8</v>
      </c>
      <c r="GK9" s="3">
        <f t="shared" si="3"/>
        <v>823</v>
      </c>
      <c r="GL9" s="3">
        <f t="shared" si="4"/>
        <v>1400</v>
      </c>
      <c r="GM9" s="3">
        <f t="shared" si="5"/>
        <v>577</v>
      </c>
    </row>
    <row r="10" spans="1:217" ht="15.75" customHeight="1" x14ac:dyDescent="0.15">
      <c r="A10" s="13">
        <v>38416</v>
      </c>
      <c r="B10" s="3" t="s">
        <v>196</v>
      </c>
      <c r="C10" s="16">
        <f t="shared" si="6"/>
        <v>6</v>
      </c>
      <c r="D10" s="3">
        <v>21.559277999999999</v>
      </c>
      <c r="E10" s="3">
        <v>-157.87190200000001</v>
      </c>
      <c r="F10" s="3" t="s">
        <v>197</v>
      </c>
      <c r="G10" s="14">
        <v>0</v>
      </c>
      <c r="H10" s="14">
        <v>4.1666666666666664E-2</v>
      </c>
      <c r="I10" s="3">
        <v>7</v>
      </c>
      <c r="J10" s="3">
        <v>9</v>
      </c>
      <c r="K10" s="3" t="s">
        <v>198</v>
      </c>
      <c r="L10" s="3">
        <v>10</v>
      </c>
      <c r="M10" s="3">
        <v>29</v>
      </c>
      <c r="N10" s="3" t="s">
        <v>214</v>
      </c>
      <c r="P10" s="3">
        <v>29</v>
      </c>
      <c r="R10" s="3">
        <v>57</v>
      </c>
      <c r="AD10" s="3">
        <v>15</v>
      </c>
      <c r="AF10" s="3">
        <v>28</v>
      </c>
      <c r="AK10" s="3">
        <v>1</v>
      </c>
      <c r="DH10" s="3">
        <v>2</v>
      </c>
      <c r="DP10" s="3">
        <v>1</v>
      </c>
      <c r="ED10" s="3">
        <v>14</v>
      </c>
      <c r="EJ10" s="3">
        <v>10</v>
      </c>
      <c r="FC10" s="3">
        <v>1</v>
      </c>
      <c r="GF10" s="3">
        <v>8</v>
      </c>
      <c r="GH10" s="3">
        <f t="shared" si="0"/>
        <v>10</v>
      </c>
      <c r="GI10" s="3">
        <f t="shared" si="1"/>
        <v>7</v>
      </c>
      <c r="GJ10" s="3">
        <f t="shared" si="2"/>
        <v>6</v>
      </c>
      <c r="GK10" s="3">
        <f t="shared" si="3"/>
        <v>137</v>
      </c>
      <c r="GL10" s="3">
        <f t="shared" si="4"/>
        <v>725</v>
      </c>
      <c r="GM10" s="3">
        <f t="shared" si="5"/>
        <v>588</v>
      </c>
    </row>
    <row r="11" spans="1:217" ht="15.75" customHeight="1" x14ac:dyDescent="0.15">
      <c r="A11" s="17">
        <v>38416</v>
      </c>
      <c r="B11" s="15" t="s">
        <v>201</v>
      </c>
      <c r="C11" s="16">
        <f t="shared" si="6"/>
        <v>7</v>
      </c>
      <c r="D11" s="15">
        <v>21.25544</v>
      </c>
      <c r="E11" s="15">
        <v>-157.810303</v>
      </c>
      <c r="F11" s="15" t="s">
        <v>197</v>
      </c>
      <c r="G11" s="18">
        <v>0</v>
      </c>
      <c r="H11" s="18">
        <v>4.1666666666666664E-2</v>
      </c>
      <c r="I11" s="15">
        <v>7</v>
      </c>
      <c r="J11" s="15">
        <v>9</v>
      </c>
      <c r="K11" s="15" t="s">
        <v>198</v>
      </c>
      <c r="L11" s="15">
        <v>10</v>
      </c>
      <c r="M11" s="15">
        <v>56</v>
      </c>
      <c r="N11" s="15" t="s">
        <v>215</v>
      </c>
      <c r="O11" s="15"/>
      <c r="P11" s="15">
        <v>56</v>
      </c>
      <c r="Q11" s="15"/>
      <c r="R11" s="15">
        <v>23</v>
      </c>
      <c r="S11" s="15"/>
      <c r="T11" s="15"/>
      <c r="U11" s="15"/>
      <c r="V11" s="15"/>
      <c r="W11" s="15"/>
      <c r="X11" s="15"/>
      <c r="Y11" s="15"/>
      <c r="Z11" s="15"/>
      <c r="AA11" s="15"/>
      <c r="AB11" s="15"/>
      <c r="AC11" s="15"/>
      <c r="AD11" s="15"/>
      <c r="AE11" s="15"/>
      <c r="AF11" s="15">
        <v>1</v>
      </c>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v>3</v>
      </c>
      <c r="BR11" s="15"/>
      <c r="BS11" s="15"/>
      <c r="BT11" s="15"/>
      <c r="BU11" s="15"/>
      <c r="BV11" s="15"/>
      <c r="BW11" s="15">
        <v>8</v>
      </c>
      <c r="BX11" s="15"/>
      <c r="BY11" s="15"/>
      <c r="BZ11" s="15">
        <v>6</v>
      </c>
      <c r="CA11" s="15"/>
      <c r="CB11" s="15">
        <v>4</v>
      </c>
      <c r="CC11" s="15"/>
      <c r="CD11" s="15">
        <v>1</v>
      </c>
      <c r="CE11" s="15"/>
      <c r="CF11" s="15"/>
      <c r="CG11" s="15"/>
      <c r="CH11" s="15"/>
      <c r="CI11" s="15"/>
      <c r="CJ11" s="15"/>
      <c r="CK11" s="15"/>
      <c r="CL11" s="15"/>
      <c r="CM11" s="15"/>
      <c r="CN11" s="15"/>
      <c r="CO11" s="15"/>
      <c r="CP11" s="15"/>
      <c r="CQ11" s="15"/>
      <c r="CR11" s="15"/>
      <c r="CS11" s="15">
        <v>3</v>
      </c>
      <c r="CT11" s="15"/>
      <c r="CU11" s="15"/>
      <c r="CV11" s="15">
        <v>1</v>
      </c>
      <c r="CW11" s="15"/>
      <c r="CX11" s="15"/>
      <c r="CY11" s="15"/>
      <c r="CZ11" s="15"/>
      <c r="DA11" s="15"/>
      <c r="DB11" s="15"/>
      <c r="DC11" s="15"/>
      <c r="DD11" s="15"/>
      <c r="DE11" s="15"/>
      <c r="DF11" s="15"/>
      <c r="DG11" s="15"/>
      <c r="DH11" s="15"/>
      <c r="DI11" s="15"/>
      <c r="DJ11" s="15"/>
      <c r="DK11" s="15"/>
      <c r="DL11" s="15"/>
      <c r="DM11" s="15">
        <v>122</v>
      </c>
      <c r="DN11" s="15"/>
      <c r="DO11" s="15"/>
      <c r="DP11" s="15">
        <v>1</v>
      </c>
      <c r="DQ11" s="15"/>
      <c r="DR11" s="15"/>
      <c r="DS11" s="15"/>
      <c r="DT11" s="15"/>
      <c r="DU11" s="15"/>
      <c r="DV11" s="15"/>
      <c r="DW11" s="15"/>
      <c r="DX11" s="15"/>
      <c r="DY11" s="15"/>
      <c r="DZ11" s="15"/>
      <c r="EA11" s="15"/>
      <c r="EB11" s="15"/>
      <c r="EC11" s="15"/>
      <c r="ED11" s="15">
        <v>1</v>
      </c>
      <c r="EE11" s="15"/>
      <c r="EF11" s="15"/>
      <c r="EG11" s="15"/>
      <c r="EH11" s="15"/>
      <c r="EI11" s="15"/>
      <c r="EJ11" s="15">
        <v>301</v>
      </c>
      <c r="EK11" s="15"/>
      <c r="EL11" s="15"/>
      <c r="EM11" s="15"/>
      <c r="EN11" s="15"/>
      <c r="EO11" s="15"/>
      <c r="EP11" s="15"/>
      <c r="EQ11" s="15"/>
      <c r="ER11" s="15"/>
      <c r="ES11" s="15"/>
      <c r="ET11" s="15"/>
      <c r="EU11" s="15"/>
      <c r="EV11" s="15"/>
      <c r="EW11" s="15"/>
      <c r="EX11" s="15"/>
      <c r="EY11" s="15"/>
      <c r="EZ11" s="15"/>
      <c r="FA11" s="15"/>
      <c r="FB11" s="15">
        <v>130</v>
      </c>
      <c r="FC11" s="15"/>
      <c r="FD11" s="15"/>
      <c r="FE11" s="15"/>
      <c r="FF11" s="15"/>
      <c r="FG11" s="15"/>
      <c r="FH11" s="15"/>
      <c r="FI11" s="15"/>
      <c r="FJ11" s="15"/>
      <c r="FK11" s="15"/>
      <c r="FL11" s="15"/>
      <c r="FM11" s="15"/>
      <c r="FN11" s="15"/>
      <c r="FO11" s="15"/>
      <c r="FP11" s="15"/>
      <c r="FQ11" s="15"/>
      <c r="FR11" s="15">
        <v>1</v>
      </c>
      <c r="FS11" s="15">
        <v>91</v>
      </c>
      <c r="FT11" s="15"/>
      <c r="FU11" s="15"/>
      <c r="FV11" s="15"/>
      <c r="FW11" s="15"/>
      <c r="FX11" s="15"/>
      <c r="FY11" s="15"/>
      <c r="FZ11" s="15"/>
      <c r="GA11" s="15"/>
      <c r="GB11" s="15"/>
      <c r="GC11" s="15"/>
      <c r="GD11" s="15"/>
      <c r="GE11" s="15"/>
      <c r="GF11" s="15">
        <v>257</v>
      </c>
      <c r="GG11" s="15"/>
      <c r="GH11" s="3">
        <f t="shared" si="0"/>
        <v>17</v>
      </c>
      <c r="GI11" s="3">
        <f t="shared" si="1"/>
        <v>11</v>
      </c>
      <c r="GJ11" s="3">
        <f t="shared" si="2"/>
        <v>8</v>
      </c>
      <c r="GK11" s="3">
        <f t="shared" si="3"/>
        <v>954</v>
      </c>
      <c r="GL11" s="3">
        <f t="shared" si="4"/>
        <v>1400</v>
      </c>
      <c r="GM11" s="3">
        <f t="shared" si="5"/>
        <v>446</v>
      </c>
    </row>
    <row r="12" spans="1:217" ht="15.75" customHeight="1" x14ac:dyDescent="0.15">
      <c r="A12" s="13">
        <v>38440</v>
      </c>
      <c r="B12" s="3" t="s">
        <v>216</v>
      </c>
      <c r="C12" s="16">
        <f t="shared" si="6"/>
        <v>8</v>
      </c>
      <c r="D12" s="3">
        <v>21.3002</v>
      </c>
      <c r="E12" s="3">
        <v>-157.882599</v>
      </c>
      <c r="F12" s="3" t="s">
        <v>197</v>
      </c>
      <c r="G12" s="14">
        <v>0</v>
      </c>
      <c r="H12" s="14">
        <v>4.1666666666666664E-2</v>
      </c>
      <c r="I12" s="3">
        <v>4</v>
      </c>
      <c r="J12" s="3">
        <v>22</v>
      </c>
      <c r="K12" s="3" t="s">
        <v>217</v>
      </c>
      <c r="L12" s="3">
        <v>10</v>
      </c>
      <c r="M12" s="3">
        <v>26</v>
      </c>
      <c r="N12" s="3" t="s">
        <v>218</v>
      </c>
      <c r="P12" s="3">
        <v>26</v>
      </c>
      <c r="BZ12" s="3">
        <v>6</v>
      </c>
      <c r="EJ12" s="3">
        <v>181</v>
      </c>
      <c r="FB12" s="3">
        <v>3</v>
      </c>
      <c r="FM12" s="3">
        <v>4</v>
      </c>
      <c r="FS12" s="3">
        <v>2</v>
      </c>
      <c r="GF12" s="3">
        <v>5</v>
      </c>
      <c r="GH12" s="3">
        <f t="shared" si="0"/>
        <v>6</v>
      </c>
      <c r="GI12" s="3">
        <f t="shared" si="1"/>
        <v>6</v>
      </c>
      <c r="GJ12" s="3">
        <f t="shared" si="2"/>
        <v>3</v>
      </c>
      <c r="GK12" s="3">
        <f t="shared" si="3"/>
        <v>201</v>
      </c>
      <c r="GL12" s="3">
        <f t="shared" si="4"/>
        <v>650</v>
      </c>
      <c r="GM12" s="3">
        <f t="shared" si="5"/>
        <v>449</v>
      </c>
    </row>
    <row r="13" spans="1:217" ht="15.75" customHeight="1" x14ac:dyDescent="0.15">
      <c r="A13" s="13">
        <v>38441</v>
      </c>
      <c r="B13" s="3" t="s">
        <v>219</v>
      </c>
      <c r="C13" s="16">
        <f t="shared" si="6"/>
        <v>9</v>
      </c>
      <c r="D13" s="3">
        <v>21.295798999999999</v>
      </c>
      <c r="E13" s="3">
        <v>-158.10369900000001</v>
      </c>
      <c r="F13" s="3" t="s">
        <v>197</v>
      </c>
      <c r="G13" s="14">
        <v>0</v>
      </c>
      <c r="H13" s="14">
        <v>4.1666666666666664E-2</v>
      </c>
      <c r="I13" s="3">
        <v>5</v>
      </c>
      <c r="J13" s="3">
        <v>20</v>
      </c>
      <c r="K13" s="3" t="s">
        <v>217</v>
      </c>
      <c r="L13" s="3">
        <v>10</v>
      </c>
      <c r="M13" s="3">
        <v>30</v>
      </c>
      <c r="N13" s="3" t="s">
        <v>220</v>
      </c>
      <c r="P13" s="3">
        <v>30</v>
      </c>
      <c r="R13" s="3">
        <v>57</v>
      </c>
      <c r="AI13" s="3">
        <v>5</v>
      </c>
      <c r="AM13" s="3">
        <v>3</v>
      </c>
      <c r="BE13" s="3">
        <v>1</v>
      </c>
      <c r="BM13" s="3">
        <v>1</v>
      </c>
      <c r="BQ13" s="3">
        <v>18</v>
      </c>
      <c r="BW13" s="3">
        <v>14</v>
      </c>
      <c r="BZ13" s="3">
        <v>18</v>
      </c>
      <c r="CC13" s="3">
        <v>1</v>
      </c>
      <c r="DM13" s="3">
        <v>71</v>
      </c>
      <c r="DQ13" s="3">
        <v>1</v>
      </c>
      <c r="DZ13" s="3">
        <v>8</v>
      </c>
      <c r="ED13" s="3">
        <v>1</v>
      </c>
      <c r="EJ13" s="3">
        <v>171</v>
      </c>
      <c r="FB13" s="3">
        <v>24</v>
      </c>
      <c r="FC13" s="3">
        <v>2</v>
      </c>
      <c r="FS13" s="3">
        <v>48</v>
      </c>
      <c r="GF13" s="3">
        <v>9</v>
      </c>
      <c r="GH13" s="3">
        <f t="shared" si="0"/>
        <v>18</v>
      </c>
      <c r="GI13" s="3">
        <f t="shared" si="1"/>
        <v>13</v>
      </c>
      <c r="GJ13" s="3">
        <f t="shared" si="2"/>
        <v>11</v>
      </c>
      <c r="GK13" s="3">
        <f t="shared" si="3"/>
        <v>453</v>
      </c>
      <c r="GL13" s="3">
        <f t="shared" si="4"/>
        <v>750</v>
      </c>
      <c r="GM13" s="3">
        <f t="shared" si="5"/>
        <v>297</v>
      </c>
    </row>
    <row r="14" spans="1:217" ht="15.75" customHeight="1" x14ac:dyDescent="0.15">
      <c r="A14" s="13">
        <v>38464</v>
      </c>
      <c r="B14" s="3" t="s">
        <v>201</v>
      </c>
      <c r="C14" s="16">
        <f t="shared" si="6"/>
        <v>10</v>
      </c>
      <c r="D14" s="3">
        <v>21.25544</v>
      </c>
      <c r="E14" s="3">
        <v>-157.810303</v>
      </c>
      <c r="F14" s="3" t="s">
        <v>197</v>
      </c>
      <c r="G14" s="14">
        <v>0</v>
      </c>
      <c r="H14" s="14">
        <v>4.1666666666666664E-2</v>
      </c>
      <c r="I14" s="3">
        <v>5</v>
      </c>
      <c r="J14" s="3">
        <v>9</v>
      </c>
      <c r="K14" s="3" t="s">
        <v>198</v>
      </c>
      <c r="L14" s="3">
        <v>10</v>
      </c>
      <c r="M14" s="3">
        <v>45</v>
      </c>
      <c r="N14" s="3" t="s">
        <v>221</v>
      </c>
      <c r="P14" s="3">
        <v>45</v>
      </c>
      <c r="R14" s="3">
        <v>5</v>
      </c>
      <c r="AF14" s="3">
        <v>1</v>
      </c>
      <c r="BQ14" s="3">
        <v>1</v>
      </c>
      <c r="BW14" s="3">
        <v>11</v>
      </c>
      <c r="BZ14" s="3">
        <v>9</v>
      </c>
      <c r="CB14" s="3">
        <v>5</v>
      </c>
      <c r="CJ14" s="3">
        <v>6</v>
      </c>
      <c r="CS14" s="3">
        <v>2</v>
      </c>
      <c r="DM14" s="3">
        <v>35</v>
      </c>
      <c r="DP14" s="3">
        <v>1</v>
      </c>
      <c r="DS14" s="3">
        <v>9</v>
      </c>
      <c r="DT14" s="3">
        <v>7</v>
      </c>
      <c r="DU14" s="3">
        <v>1</v>
      </c>
      <c r="EC14" s="3">
        <v>1</v>
      </c>
      <c r="EJ14" s="3">
        <v>151</v>
      </c>
      <c r="FB14" s="3">
        <v>50</v>
      </c>
      <c r="FS14" s="3">
        <v>425</v>
      </c>
      <c r="GF14" s="3">
        <v>117</v>
      </c>
      <c r="GH14" s="3">
        <f t="shared" si="0"/>
        <v>18</v>
      </c>
      <c r="GI14" s="3">
        <f t="shared" si="1"/>
        <v>13</v>
      </c>
      <c r="GJ14" s="3">
        <f t="shared" si="2"/>
        <v>12</v>
      </c>
      <c r="GK14" s="3">
        <f t="shared" si="3"/>
        <v>837</v>
      </c>
      <c r="GL14" s="3">
        <f t="shared" si="4"/>
        <v>1125</v>
      </c>
      <c r="GM14" s="3">
        <f t="shared" si="5"/>
        <v>288</v>
      </c>
    </row>
    <row r="15" spans="1:217" ht="15.75" customHeight="1" x14ac:dyDescent="0.15">
      <c r="A15" s="13">
        <v>38469</v>
      </c>
      <c r="B15" s="3" t="s">
        <v>219</v>
      </c>
      <c r="C15" s="16">
        <f t="shared" si="6"/>
        <v>11</v>
      </c>
      <c r="D15" s="3">
        <v>21.295798999999999</v>
      </c>
      <c r="E15" s="3">
        <v>-158.10369900000001</v>
      </c>
      <c r="F15" s="3" t="s">
        <v>197</v>
      </c>
      <c r="G15" s="14">
        <v>0</v>
      </c>
      <c r="H15" s="14">
        <v>4.1666666666666664E-2</v>
      </c>
      <c r="I15" s="3">
        <v>4</v>
      </c>
      <c r="J15" s="3">
        <v>20</v>
      </c>
      <c r="K15" s="3" t="s">
        <v>217</v>
      </c>
      <c r="L15" s="3">
        <v>10</v>
      </c>
      <c r="M15" s="3">
        <v>29</v>
      </c>
      <c r="N15" s="3" t="s">
        <v>222</v>
      </c>
      <c r="P15" s="3">
        <v>29</v>
      </c>
      <c r="R15" s="3">
        <v>112</v>
      </c>
      <c r="AQ15" s="3">
        <v>1</v>
      </c>
      <c r="BQ15" s="3">
        <v>31</v>
      </c>
      <c r="BW15" s="3">
        <v>1</v>
      </c>
      <c r="BZ15" s="3">
        <v>17</v>
      </c>
      <c r="DH15" s="3">
        <v>2</v>
      </c>
      <c r="DM15" s="3">
        <v>9</v>
      </c>
      <c r="DZ15" s="3">
        <v>1</v>
      </c>
      <c r="ED15" s="3">
        <v>2</v>
      </c>
      <c r="EJ15" s="3">
        <v>111</v>
      </c>
      <c r="FB15" s="3">
        <v>10</v>
      </c>
      <c r="FS15" s="3">
        <v>44</v>
      </c>
      <c r="GF15" s="3">
        <v>9</v>
      </c>
      <c r="GH15" s="3">
        <f t="shared" si="0"/>
        <v>13</v>
      </c>
      <c r="GI15" s="3">
        <f t="shared" si="1"/>
        <v>10</v>
      </c>
      <c r="GJ15" s="3">
        <f t="shared" si="2"/>
        <v>8</v>
      </c>
      <c r="GK15" s="3">
        <f t="shared" si="3"/>
        <v>350</v>
      </c>
      <c r="GL15" s="3">
        <f t="shared" si="4"/>
        <v>725</v>
      </c>
      <c r="GM15" s="3">
        <f t="shared" si="5"/>
        <v>375</v>
      </c>
    </row>
    <row r="16" spans="1:217" ht="15.75" customHeight="1" x14ac:dyDescent="0.15">
      <c r="A16" s="13">
        <v>38471</v>
      </c>
      <c r="B16" s="3" t="s">
        <v>216</v>
      </c>
      <c r="C16" s="16">
        <f t="shared" si="6"/>
        <v>12</v>
      </c>
      <c r="D16" s="3">
        <v>21.3002</v>
      </c>
      <c r="E16" s="3">
        <v>-157.882599</v>
      </c>
      <c r="F16" s="3" t="s">
        <v>197</v>
      </c>
      <c r="G16" s="14">
        <v>0</v>
      </c>
      <c r="H16" s="14">
        <v>4.1666666666666664E-2</v>
      </c>
      <c r="I16" s="3">
        <v>6</v>
      </c>
      <c r="J16" s="3">
        <v>22</v>
      </c>
      <c r="K16" s="3" t="s">
        <v>217</v>
      </c>
      <c r="L16" s="3">
        <v>10</v>
      </c>
      <c r="M16" s="3">
        <v>36</v>
      </c>
      <c r="N16" s="3" t="s">
        <v>223</v>
      </c>
      <c r="P16" s="3">
        <v>36</v>
      </c>
      <c r="R16" s="3">
        <v>13</v>
      </c>
      <c r="AC16" s="3">
        <v>10</v>
      </c>
      <c r="BM16" s="3">
        <v>8</v>
      </c>
      <c r="CC16" s="3">
        <v>2</v>
      </c>
      <c r="CV16" s="3">
        <v>2</v>
      </c>
      <c r="DS16" s="3">
        <v>4</v>
      </c>
      <c r="DZ16" s="3">
        <v>1</v>
      </c>
      <c r="EC16" s="3">
        <v>1</v>
      </c>
      <c r="EJ16" s="3">
        <v>106</v>
      </c>
      <c r="FC16" s="3">
        <v>1</v>
      </c>
      <c r="FE16" s="3">
        <v>1</v>
      </c>
      <c r="FJ16" s="3">
        <v>1</v>
      </c>
      <c r="FS16" s="3">
        <v>204</v>
      </c>
      <c r="GF16" s="3">
        <v>26</v>
      </c>
      <c r="GH16" s="3">
        <f t="shared" si="0"/>
        <v>14</v>
      </c>
      <c r="GI16" s="3">
        <f t="shared" si="1"/>
        <v>9</v>
      </c>
      <c r="GJ16" s="3">
        <f t="shared" si="2"/>
        <v>6</v>
      </c>
      <c r="GK16" s="3">
        <f t="shared" si="3"/>
        <v>380</v>
      </c>
      <c r="GL16" s="3">
        <f t="shared" si="4"/>
        <v>900</v>
      </c>
      <c r="GM16" s="3">
        <f t="shared" si="5"/>
        <v>520</v>
      </c>
    </row>
    <row r="17" spans="1:195" ht="15.75" customHeight="1" x14ac:dyDescent="0.15">
      <c r="A17" s="13">
        <v>38473</v>
      </c>
      <c r="B17" s="3" t="s">
        <v>201</v>
      </c>
      <c r="C17" s="16">
        <f t="shared" si="6"/>
        <v>13</v>
      </c>
      <c r="D17" s="3">
        <v>21.25544</v>
      </c>
      <c r="E17" s="3">
        <v>-157.810303</v>
      </c>
      <c r="F17" s="3" t="s">
        <v>197</v>
      </c>
      <c r="G17" s="14">
        <v>0</v>
      </c>
      <c r="H17" s="14">
        <v>4.1666666666666664E-2</v>
      </c>
      <c r="I17" s="3">
        <v>3</v>
      </c>
      <c r="J17" s="3">
        <v>9</v>
      </c>
      <c r="K17" s="3" t="s">
        <v>198</v>
      </c>
      <c r="L17" s="3">
        <v>10</v>
      </c>
      <c r="M17" s="3">
        <v>27</v>
      </c>
      <c r="P17" s="3">
        <v>27</v>
      </c>
      <c r="R17" s="3">
        <v>12</v>
      </c>
      <c r="BB17" s="3">
        <v>6</v>
      </c>
      <c r="BQ17" s="3">
        <v>9</v>
      </c>
      <c r="BZ17" s="3">
        <v>26</v>
      </c>
      <c r="DM17" s="3">
        <v>19</v>
      </c>
      <c r="DS17" s="3">
        <v>15</v>
      </c>
      <c r="EJ17" s="3">
        <v>168</v>
      </c>
      <c r="FB17" s="3">
        <v>67</v>
      </c>
      <c r="FS17" s="3">
        <v>122</v>
      </c>
      <c r="GF17" s="3">
        <v>36</v>
      </c>
      <c r="GH17" s="3">
        <f t="shared" si="0"/>
        <v>10</v>
      </c>
      <c r="GI17" s="3">
        <f t="shared" si="1"/>
        <v>10</v>
      </c>
      <c r="GJ17" s="3">
        <f t="shared" si="2"/>
        <v>10</v>
      </c>
      <c r="GK17" s="3">
        <f t="shared" si="3"/>
        <v>480</v>
      </c>
      <c r="GL17" s="3">
        <f t="shared" si="4"/>
        <v>675</v>
      </c>
      <c r="GM17" s="3">
        <f t="shared" si="5"/>
        <v>195</v>
      </c>
    </row>
    <row r="18" spans="1:195" ht="15.75" customHeight="1" x14ac:dyDescent="0.15">
      <c r="A18" s="13">
        <v>38473</v>
      </c>
      <c r="B18" s="3" t="s">
        <v>219</v>
      </c>
      <c r="C18" s="16">
        <f t="shared" si="6"/>
        <v>14</v>
      </c>
      <c r="D18" s="3">
        <v>21.295798999999999</v>
      </c>
      <c r="E18" s="3">
        <v>-158.10369900000001</v>
      </c>
      <c r="F18" s="3" t="s">
        <v>197</v>
      </c>
      <c r="G18" s="14">
        <v>0</v>
      </c>
      <c r="H18" s="14">
        <v>4.1666666666666664E-2</v>
      </c>
      <c r="I18" s="3">
        <v>6</v>
      </c>
      <c r="J18" s="3">
        <v>20</v>
      </c>
      <c r="K18" s="3" t="s">
        <v>217</v>
      </c>
      <c r="L18" s="3">
        <v>10</v>
      </c>
      <c r="M18" s="3">
        <v>34</v>
      </c>
      <c r="N18" s="3" t="s">
        <v>224</v>
      </c>
      <c r="P18" s="3">
        <v>34</v>
      </c>
      <c r="R18" s="3">
        <v>134</v>
      </c>
      <c r="BQ18" s="3">
        <v>10</v>
      </c>
      <c r="BW18" s="3">
        <v>22</v>
      </c>
      <c r="BZ18" s="3">
        <v>2</v>
      </c>
      <c r="CS18" s="3">
        <v>2</v>
      </c>
      <c r="DM18" s="3">
        <v>15</v>
      </c>
      <c r="DZ18" s="3">
        <v>1</v>
      </c>
      <c r="ED18" s="3">
        <v>1</v>
      </c>
      <c r="EJ18" s="3">
        <v>147</v>
      </c>
      <c r="FB18" s="3">
        <v>53</v>
      </c>
      <c r="FC18" s="3">
        <v>20</v>
      </c>
      <c r="FS18" s="3">
        <v>35</v>
      </c>
      <c r="GF18" s="3">
        <v>1</v>
      </c>
      <c r="GH18" s="3">
        <f t="shared" si="0"/>
        <v>13</v>
      </c>
      <c r="GI18" s="3">
        <f t="shared" si="1"/>
        <v>10</v>
      </c>
      <c r="GJ18" s="3">
        <f t="shared" si="2"/>
        <v>8</v>
      </c>
      <c r="GK18" s="3">
        <f t="shared" si="3"/>
        <v>443</v>
      </c>
      <c r="GL18" s="3">
        <f t="shared" si="4"/>
        <v>850</v>
      </c>
      <c r="GM18" s="3">
        <f t="shared" si="5"/>
        <v>407</v>
      </c>
    </row>
    <row r="19" spans="1:195" ht="15.75" customHeight="1" x14ac:dyDescent="0.15">
      <c r="A19" s="13">
        <v>38478</v>
      </c>
      <c r="B19" s="3" t="s">
        <v>216</v>
      </c>
      <c r="C19" s="16">
        <f t="shared" si="6"/>
        <v>15</v>
      </c>
      <c r="D19" s="3">
        <v>21.3002</v>
      </c>
      <c r="E19" s="3">
        <v>-157.882599</v>
      </c>
      <c r="F19" s="3" t="s">
        <v>197</v>
      </c>
      <c r="G19" s="14">
        <v>0</v>
      </c>
      <c r="H19" s="14">
        <v>4.1666666666666664E-2</v>
      </c>
      <c r="I19" s="3">
        <v>4</v>
      </c>
      <c r="J19" s="3">
        <v>22</v>
      </c>
      <c r="K19" s="3" t="s">
        <v>217</v>
      </c>
      <c r="L19" s="3">
        <v>10</v>
      </c>
      <c r="M19" s="3">
        <v>38</v>
      </c>
      <c r="N19" s="3" t="s">
        <v>225</v>
      </c>
      <c r="P19" s="3">
        <v>38</v>
      </c>
      <c r="R19" s="3">
        <v>30</v>
      </c>
      <c r="BZ19" s="3">
        <v>1</v>
      </c>
      <c r="CV19" s="3">
        <v>2</v>
      </c>
      <c r="DS19" s="3">
        <v>1</v>
      </c>
      <c r="EJ19" s="3">
        <v>45</v>
      </c>
      <c r="FS19" s="3">
        <v>223</v>
      </c>
      <c r="GF19" s="3">
        <v>52</v>
      </c>
      <c r="GH19" s="3">
        <f t="shared" si="0"/>
        <v>7</v>
      </c>
      <c r="GI19" s="3">
        <f t="shared" si="1"/>
        <v>5</v>
      </c>
      <c r="GJ19" s="3">
        <f t="shared" si="2"/>
        <v>4</v>
      </c>
      <c r="GK19" s="3">
        <f t="shared" si="3"/>
        <v>354</v>
      </c>
      <c r="GL19" s="3">
        <f t="shared" si="4"/>
        <v>950</v>
      </c>
      <c r="GM19" s="3">
        <f t="shared" si="5"/>
        <v>596</v>
      </c>
    </row>
    <row r="20" spans="1:195" ht="15.75" customHeight="1" x14ac:dyDescent="0.15">
      <c r="A20" s="13">
        <v>38479</v>
      </c>
      <c r="B20" s="3" t="s">
        <v>226</v>
      </c>
      <c r="C20" s="16">
        <f t="shared" si="6"/>
        <v>16</v>
      </c>
      <c r="D20" s="3">
        <v>21.706499000000001</v>
      </c>
      <c r="E20" s="3">
        <v>-157.99850499999999</v>
      </c>
      <c r="F20" s="3" t="s">
        <v>197</v>
      </c>
      <c r="G20" s="14">
        <v>0</v>
      </c>
      <c r="H20" s="14">
        <v>4.1666666666666664E-2</v>
      </c>
      <c r="I20" s="3">
        <v>3</v>
      </c>
      <c r="J20" s="3">
        <v>27</v>
      </c>
      <c r="K20" s="3" t="s">
        <v>227</v>
      </c>
      <c r="L20" s="3">
        <v>10</v>
      </c>
      <c r="M20" s="3">
        <v>22</v>
      </c>
      <c r="N20" s="3" t="s">
        <v>228</v>
      </c>
      <c r="P20" s="3">
        <v>22</v>
      </c>
      <c r="AC20" s="3">
        <v>3</v>
      </c>
      <c r="BH20" s="3">
        <v>4</v>
      </c>
      <c r="BW20" s="3">
        <v>12</v>
      </c>
      <c r="BZ20" s="3">
        <v>5</v>
      </c>
      <c r="CC20" s="3">
        <v>13</v>
      </c>
      <c r="CS20" s="3">
        <v>1</v>
      </c>
      <c r="DC20" s="3">
        <v>4</v>
      </c>
      <c r="DM20" s="3">
        <v>116</v>
      </c>
      <c r="DV20" s="3">
        <v>62</v>
      </c>
      <c r="EJ20" s="3">
        <v>93</v>
      </c>
      <c r="FB20" s="3">
        <v>29</v>
      </c>
      <c r="FR20" s="3">
        <v>14</v>
      </c>
      <c r="FS20" s="3">
        <v>118</v>
      </c>
      <c r="FX20" s="3"/>
      <c r="FY20" s="3">
        <v>14</v>
      </c>
      <c r="GF20" s="3">
        <v>16</v>
      </c>
      <c r="GH20" s="3">
        <f t="shared" si="0"/>
        <v>15</v>
      </c>
      <c r="GI20" s="3">
        <f t="shared" si="1"/>
        <v>14</v>
      </c>
      <c r="GJ20" s="3">
        <f t="shared" si="2"/>
        <v>11</v>
      </c>
      <c r="GK20" s="3">
        <f t="shared" si="3"/>
        <v>504</v>
      </c>
      <c r="GL20" s="3">
        <f t="shared" si="4"/>
        <v>550</v>
      </c>
      <c r="GM20" s="3">
        <f t="shared" si="5"/>
        <v>46</v>
      </c>
    </row>
    <row r="21" spans="1:195" ht="15.75" customHeight="1" x14ac:dyDescent="0.15">
      <c r="A21" s="13">
        <v>38493</v>
      </c>
      <c r="B21" s="3" t="s">
        <v>226</v>
      </c>
      <c r="C21" s="16">
        <f t="shared" si="6"/>
        <v>17</v>
      </c>
      <c r="D21" s="3">
        <v>21.706499000000001</v>
      </c>
      <c r="E21" s="3">
        <v>-157.99850499999999</v>
      </c>
      <c r="F21" s="3" t="s">
        <v>197</v>
      </c>
      <c r="G21" s="14">
        <v>0</v>
      </c>
      <c r="H21" s="14">
        <v>4.1666666666666664E-2</v>
      </c>
      <c r="I21" s="3">
        <v>2</v>
      </c>
      <c r="J21" s="3">
        <v>27</v>
      </c>
      <c r="K21" s="3" t="s">
        <v>227</v>
      </c>
      <c r="L21" s="3">
        <v>10</v>
      </c>
      <c r="M21" s="3">
        <v>11</v>
      </c>
      <c r="N21" s="3" t="s">
        <v>229</v>
      </c>
      <c r="P21" s="3">
        <v>11</v>
      </c>
      <c r="BH21" s="3">
        <v>1</v>
      </c>
      <c r="BW21" s="3">
        <v>3</v>
      </c>
      <c r="BZ21" s="3">
        <v>1</v>
      </c>
      <c r="DV21" s="3">
        <v>32</v>
      </c>
      <c r="ED21" s="3">
        <v>1</v>
      </c>
      <c r="EJ21" s="3">
        <v>55</v>
      </c>
      <c r="FB21" s="3">
        <v>13</v>
      </c>
      <c r="FR21" s="3">
        <v>1</v>
      </c>
      <c r="FS21" s="3">
        <v>103</v>
      </c>
      <c r="GF21" s="3">
        <v>4</v>
      </c>
      <c r="GH21" s="3">
        <f t="shared" si="0"/>
        <v>10</v>
      </c>
      <c r="GI21" s="3">
        <f t="shared" si="1"/>
        <v>6</v>
      </c>
      <c r="GJ21" s="3">
        <f t="shared" si="2"/>
        <v>4</v>
      </c>
      <c r="GK21" s="3">
        <f t="shared" si="3"/>
        <v>214</v>
      </c>
      <c r="GL21" s="3">
        <f t="shared" si="4"/>
        <v>275</v>
      </c>
      <c r="GM21" s="3">
        <f t="shared" si="5"/>
        <v>61</v>
      </c>
    </row>
    <row r="22" spans="1:195" ht="15.75" customHeight="1" x14ac:dyDescent="0.15">
      <c r="A22" s="13">
        <v>38496</v>
      </c>
      <c r="B22" s="3" t="s">
        <v>230</v>
      </c>
      <c r="C22" s="16">
        <f t="shared" si="6"/>
        <v>18</v>
      </c>
      <c r="D22" s="3">
        <v>20.753699999999998</v>
      </c>
      <c r="E22" s="3">
        <v>-156.46090699999999</v>
      </c>
      <c r="F22" s="3" t="s">
        <v>197</v>
      </c>
      <c r="G22" s="14">
        <v>0</v>
      </c>
      <c r="H22" s="14">
        <v>4.1666666666666664E-2</v>
      </c>
      <c r="I22" s="3">
        <v>5</v>
      </c>
      <c r="J22" s="3">
        <v>15</v>
      </c>
      <c r="K22" s="3" t="s">
        <v>217</v>
      </c>
      <c r="L22" s="3">
        <v>8</v>
      </c>
      <c r="M22" s="3">
        <v>36</v>
      </c>
      <c r="N22" s="3" t="s">
        <v>231</v>
      </c>
      <c r="P22" s="3">
        <v>36</v>
      </c>
      <c r="R22" s="3">
        <v>12</v>
      </c>
      <c r="BH22" s="3">
        <v>8</v>
      </c>
      <c r="BM22" s="3">
        <v>67</v>
      </c>
      <c r="DF22" s="3">
        <v>60</v>
      </c>
      <c r="DM22" s="3">
        <v>15</v>
      </c>
      <c r="EI22" s="3">
        <v>1</v>
      </c>
      <c r="EJ22" s="3">
        <v>8</v>
      </c>
      <c r="FB22" s="3">
        <v>31</v>
      </c>
      <c r="FS22" s="3">
        <v>23</v>
      </c>
      <c r="FT22" s="3">
        <v>59</v>
      </c>
      <c r="FV22" s="3">
        <v>1</v>
      </c>
      <c r="GF22" s="3">
        <v>2</v>
      </c>
      <c r="GH22" s="3">
        <f t="shared" si="0"/>
        <v>12</v>
      </c>
      <c r="GI22" s="3">
        <f t="shared" si="1"/>
        <v>10</v>
      </c>
      <c r="GJ22" s="3">
        <f t="shared" si="2"/>
        <v>9</v>
      </c>
      <c r="GK22" s="3">
        <f t="shared" si="3"/>
        <v>287</v>
      </c>
      <c r="GL22" s="3">
        <f t="shared" si="4"/>
        <v>900</v>
      </c>
      <c r="GM22" s="3">
        <f t="shared" si="5"/>
        <v>613</v>
      </c>
    </row>
    <row r="23" spans="1:195" ht="15.75" customHeight="1" x14ac:dyDescent="0.15">
      <c r="A23" s="13">
        <v>38507</v>
      </c>
      <c r="B23" s="3" t="s">
        <v>226</v>
      </c>
      <c r="C23" s="16">
        <f t="shared" si="6"/>
        <v>19</v>
      </c>
      <c r="D23" s="3">
        <v>21.706499000000001</v>
      </c>
      <c r="E23" s="3">
        <v>-157.99850499999999</v>
      </c>
      <c r="F23" s="3" t="s">
        <v>197</v>
      </c>
      <c r="G23" s="14">
        <v>0</v>
      </c>
      <c r="H23" s="14">
        <v>4.1666666666666664E-2</v>
      </c>
      <c r="I23" s="3">
        <v>3</v>
      </c>
      <c r="J23" s="3">
        <v>27</v>
      </c>
      <c r="K23" s="3" t="s">
        <v>227</v>
      </c>
      <c r="L23" s="3">
        <v>10</v>
      </c>
      <c r="M23" s="3">
        <v>20</v>
      </c>
      <c r="N23" s="3" t="s">
        <v>232</v>
      </c>
      <c r="P23" s="3">
        <v>20</v>
      </c>
      <c r="R23" s="3">
        <v>7</v>
      </c>
      <c r="S23" s="3">
        <v>1</v>
      </c>
      <c r="BB23" s="3">
        <v>11</v>
      </c>
      <c r="BH23" s="3">
        <v>1</v>
      </c>
      <c r="BM23" s="3">
        <v>3</v>
      </c>
      <c r="BW23" s="3">
        <v>7</v>
      </c>
      <c r="BZ23" s="3">
        <v>10</v>
      </c>
      <c r="CC23" s="3">
        <v>7</v>
      </c>
      <c r="CD23" s="3">
        <v>4</v>
      </c>
      <c r="CS23" s="3">
        <v>1</v>
      </c>
      <c r="CW23" s="3">
        <v>7</v>
      </c>
      <c r="DC23" s="3">
        <v>1</v>
      </c>
      <c r="DM23" s="3">
        <v>46</v>
      </c>
      <c r="DV23" s="3">
        <v>53</v>
      </c>
      <c r="EJ23" s="3">
        <v>33</v>
      </c>
      <c r="FB23" s="3">
        <v>7</v>
      </c>
      <c r="FR23" s="3">
        <v>8</v>
      </c>
      <c r="FS23" s="3">
        <v>146</v>
      </c>
      <c r="GF23" s="3">
        <v>53</v>
      </c>
      <c r="GH23" s="3">
        <f t="shared" si="0"/>
        <v>19</v>
      </c>
      <c r="GI23" s="3">
        <f t="shared" si="1"/>
        <v>15</v>
      </c>
      <c r="GJ23" s="3">
        <f t="shared" si="2"/>
        <v>13</v>
      </c>
      <c r="GK23" s="3">
        <f t="shared" si="3"/>
        <v>406</v>
      </c>
      <c r="GL23" s="3">
        <f t="shared" si="4"/>
        <v>500</v>
      </c>
      <c r="GM23" s="3">
        <f t="shared" si="5"/>
        <v>94</v>
      </c>
    </row>
    <row r="24" spans="1:195" ht="15.75" customHeight="1" x14ac:dyDescent="0.15">
      <c r="A24" s="13">
        <v>38824</v>
      </c>
      <c r="B24" s="3" t="s">
        <v>233</v>
      </c>
      <c r="C24" s="16">
        <f t="shared" si="6"/>
        <v>20</v>
      </c>
      <c r="D24" s="3">
        <v>21.066799</v>
      </c>
      <c r="E24" s="3">
        <v>-156.804993</v>
      </c>
      <c r="F24" s="3" t="s">
        <v>197</v>
      </c>
      <c r="G24" s="14">
        <v>0</v>
      </c>
      <c r="H24" s="14">
        <v>4.1666666666666664E-2</v>
      </c>
      <c r="I24" s="3">
        <v>3</v>
      </c>
      <c r="J24" s="3">
        <v>27</v>
      </c>
      <c r="K24" s="3" t="s">
        <v>227</v>
      </c>
      <c r="L24" s="3">
        <v>10</v>
      </c>
      <c r="M24" s="3">
        <v>29</v>
      </c>
      <c r="N24" s="3" t="s">
        <v>234</v>
      </c>
      <c r="P24" s="3">
        <v>29</v>
      </c>
      <c r="R24" s="3">
        <v>97</v>
      </c>
      <c r="BB24" s="3">
        <v>102</v>
      </c>
      <c r="BM24" s="3">
        <v>4</v>
      </c>
      <c r="BY24" s="3">
        <v>3</v>
      </c>
      <c r="CG24" s="3">
        <v>1</v>
      </c>
      <c r="CO24" s="3">
        <v>1</v>
      </c>
      <c r="DD24" s="3">
        <v>5</v>
      </c>
      <c r="DM24" s="3">
        <v>18</v>
      </c>
      <c r="DS24" s="3">
        <v>129</v>
      </c>
      <c r="EJ24" s="3">
        <v>1</v>
      </c>
      <c r="FB24" s="3">
        <v>17</v>
      </c>
      <c r="FR24" s="3">
        <v>2</v>
      </c>
      <c r="GH24" s="3">
        <f t="shared" si="0"/>
        <v>12</v>
      </c>
      <c r="GI24" s="3">
        <f t="shared" si="1"/>
        <v>9</v>
      </c>
      <c r="GJ24" s="3">
        <f t="shared" si="2"/>
        <v>6</v>
      </c>
      <c r="GK24" s="3">
        <f t="shared" si="3"/>
        <v>380</v>
      </c>
      <c r="GL24" s="3">
        <f t="shared" si="4"/>
        <v>725</v>
      </c>
      <c r="GM24" s="3">
        <f t="shared" si="5"/>
        <v>345</v>
      </c>
    </row>
    <row r="25" spans="1:195" ht="15.75" customHeight="1" x14ac:dyDescent="0.15">
      <c r="A25" s="13">
        <v>38824</v>
      </c>
      <c r="B25" s="3" t="s">
        <v>201</v>
      </c>
      <c r="C25" s="16">
        <f t="shared" si="6"/>
        <v>21</v>
      </c>
      <c r="D25" s="3">
        <v>21.25544</v>
      </c>
      <c r="E25" s="3">
        <v>-157.810303</v>
      </c>
      <c r="F25" s="3" t="s">
        <v>197</v>
      </c>
      <c r="G25" s="14">
        <v>0</v>
      </c>
      <c r="H25" s="14">
        <v>4.1666666666666664E-2</v>
      </c>
      <c r="I25" s="3">
        <v>6</v>
      </c>
      <c r="J25" s="3">
        <v>11</v>
      </c>
      <c r="K25" s="3" t="s">
        <v>198</v>
      </c>
      <c r="L25" s="3">
        <v>12</v>
      </c>
      <c r="M25" s="3">
        <v>53</v>
      </c>
      <c r="N25" s="3" t="s">
        <v>235</v>
      </c>
      <c r="P25" s="3">
        <v>53</v>
      </c>
      <c r="R25" s="3">
        <v>4</v>
      </c>
      <c r="AE25" s="3">
        <v>2</v>
      </c>
      <c r="AF25" s="3">
        <v>1</v>
      </c>
      <c r="BH25" s="3">
        <v>2</v>
      </c>
      <c r="BQ25" s="3">
        <v>10</v>
      </c>
      <c r="BW25" s="3">
        <v>7</v>
      </c>
      <c r="BZ25" s="3">
        <v>31</v>
      </c>
      <c r="CS25" s="3">
        <v>22</v>
      </c>
      <c r="DM25" s="3">
        <v>248</v>
      </c>
      <c r="DP25" s="3">
        <v>3</v>
      </c>
      <c r="DZ25" s="3">
        <v>2</v>
      </c>
      <c r="EJ25" s="3">
        <v>188</v>
      </c>
      <c r="FB25" s="3">
        <v>193</v>
      </c>
      <c r="FC25" s="3">
        <v>6</v>
      </c>
      <c r="FR25" s="3">
        <v>3</v>
      </c>
      <c r="FS25" s="3">
        <v>86</v>
      </c>
      <c r="FU25" s="3">
        <v>15</v>
      </c>
      <c r="GF25" s="3">
        <v>25</v>
      </c>
      <c r="GH25" s="3">
        <f t="shared" si="0"/>
        <v>18</v>
      </c>
      <c r="GI25" s="3">
        <f t="shared" si="1"/>
        <v>17</v>
      </c>
      <c r="GJ25" s="3">
        <f t="shared" si="2"/>
        <v>11</v>
      </c>
      <c r="GK25" s="3">
        <f t="shared" si="3"/>
        <v>848</v>
      </c>
      <c r="GL25" s="3">
        <f t="shared" si="4"/>
        <v>1325</v>
      </c>
      <c r="GM25" s="3">
        <f t="shared" si="5"/>
        <v>477</v>
      </c>
    </row>
    <row r="26" spans="1:195" ht="15.75" customHeight="1" x14ac:dyDescent="0.15">
      <c r="A26" s="13">
        <v>38825</v>
      </c>
      <c r="B26" s="3" t="s">
        <v>230</v>
      </c>
      <c r="C26" s="16">
        <f t="shared" si="6"/>
        <v>22</v>
      </c>
      <c r="D26" s="3">
        <v>20.753699999999998</v>
      </c>
      <c r="E26" s="3">
        <v>-156.46090699999999</v>
      </c>
      <c r="F26" s="3" t="s">
        <v>197</v>
      </c>
      <c r="G26" s="14">
        <v>0</v>
      </c>
      <c r="H26" s="14">
        <v>4.1666666666666664E-2</v>
      </c>
      <c r="I26" s="3">
        <v>5</v>
      </c>
      <c r="J26" s="3">
        <v>22</v>
      </c>
      <c r="K26" s="3" t="s">
        <v>217</v>
      </c>
      <c r="L26" s="3">
        <v>14</v>
      </c>
      <c r="M26" s="3">
        <v>42</v>
      </c>
      <c r="N26" s="3" t="s">
        <v>236</v>
      </c>
      <c r="P26" s="3">
        <v>42</v>
      </c>
      <c r="R26" s="3">
        <v>31</v>
      </c>
      <c r="BK26" s="3">
        <v>24</v>
      </c>
      <c r="BM26" s="3">
        <v>109</v>
      </c>
      <c r="BX26" s="3">
        <v>1</v>
      </c>
      <c r="DF26" s="3">
        <v>23</v>
      </c>
      <c r="DM26" s="3">
        <v>2</v>
      </c>
      <c r="ED26" s="3">
        <v>2</v>
      </c>
      <c r="EJ26" s="3">
        <v>9</v>
      </c>
      <c r="FB26" s="3">
        <v>14</v>
      </c>
      <c r="FN26" s="3">
        <v>3</v>
      </c>
      <c r="FS26" s="3">
        <v>12</v>
      </c>
      <c r="FT26" s="3">
        <v>57</v>
      </c>
      <c r="FV26" s="3">
        <v>2</v>
      </c>
      <c r="GH26" s="3">
        <f t="shared" si="0"/>
        <v>13</v>
      </c>
      <c r="GI26" s="3">
        <f t="shared" si="1"/>
        <v>12</v>
      </c>
      <c r="GJ26" s="3">
        <f t="shared" si="2"/>
        <v>8</v>
      </c>
      <c r="GK26" s="3">
        <f t="shared" si="3"/>
        <v>289</v>
      </c>
      <c r="GL26" s="3">
        <f t="shared" si="4"/>
        <v>1050</v>
      </c>
      <c r="GM26" s="3">
        <f t="shared" si="5"/>
        <v>761</v>
      </c>
    </row>
    <row r="27" spans="1:195" ht="15.75" customHeight="1" x14ac:dyDescent="0.15">
      <c r="A27" s="13">
        <v>38834</v>
      </c>
      <c r="B27" s="3" t="s">
        <v>219</v>
      </c>
      <c r="C27" s="16">
        <f t="shared" si="6"/>
        <v>23</v>
      </c>
      <c r="D27" s="3">
        <v>21.295798999999999</v>
      </c>
      <c r="E27" s="3">
        <v>-158.10369900000001</v>
      </c>
      <c r="F27" s="3" t="s">
        <v>197</v>
      </c>
      <c r="G27" s="14">
        <v>0</v>
      </c>
      <c r="H27" s="14">
        <v>4.1666666666666664E-2</v>
      </c>
      <c r="I27" s="3">
        <v>4</v>
      </c>
      <c r="J27" s="3">
        <v>25</v>
      </c>
      <c r="K27" s="3" t="s">
        <v>237</v>
      </c>
      <c r="L27" s="3">
        <v>5</v>
      </c>
      <c r="M27" s="3">
        <v>16</v>
      </c>
      <c r="N27" s="3" t="s">
        <v>238</v>
      </c>
      <c r="P27" s="3">
        <v>16</v>
      </c>
      <c r="R27" s="3">
        <v>5</v>
      </c>
      <c r="BD27" s="3">
        <v>1</v>
      </c>
      <c r="BM27" s="3">
        <v>1</v>
      </c>
      <c r="BQ27" s="3">
        <v>25</v>
      </c>
      <c r="BU27" s="3">
        <v>8</v>
      </c>
      <c r="BW27" s="3">
        <v>3</v>
      </c>
      <c r="DM27" s="3">
        <v>2</v>
      </c>
      <c r="EC27" s="3">
        <v>1</v>
      </c>
      <c r="ED27" s="3">
        <v>1</v>
      </c>
      <c r="EJ27" s="3">
        <v>134</v>
      </c>
      <c r="FB27" s="3">
        <v>1</v>
      </c>
      <c r="FS27" s="3">
        <v>8</v>
      </c>
      <c r="GH27" s="3">
        <f t="shared" si="0"/>
        <v>12</v>
      </c>
      <c r="GI27" s="3">
        <f t="shared" si="1"/>
        <v>7</v>
      </c>
      <c r="GJ27" s="3">
        <f t="shared" si="2"/>
        <v>5</v>
      </c>
      <c r="GK27" s="3">
        <f t="shared" si="3"/>
        <v>190</v>
      </c>
      <c r="GL27" s="3">
        <f t="shared" si="4"/>
        <v>400</v>
      </c>
      <c r="GM27" s="3">
        <f t="shared" si="5"/>
        <v>210</v>
      </c>
    </row>
    <row r="28" spans="1:195" ht="15.75" customHeight="1" x14ac:dyDescent="0.15">
      <c r="A28" s="13">
        <v>38835</v>
      </c>
      <c r="B28" s="3" t="s">
        <v>216</v>
      </c>
      <c r="C28" s="16">
        <f t="shared" si="6"/>
        <v>24</v>
      </c>
      <c r="D28" s="3">
        <v>21.3002</v>
      </c>
      <c r="E28" s="3">
        <v>-157.882599</v>
      </c>
      <c r="F28" s="3" t="s">
        <v>197</v>
      </c>
      <c r="G28" s="14">
        <v>0</v>
      </c>
      <c r="H28" s="14">
        <v>4.1666666666666664E-2</v>
      </c>
      <c r="I28" s="3">
        <v>3</v>
      </c>
      <c r="J28" s="3">
        <v>25</v>
      </c>
      <c r="K28" s="3" t="s">
        <v>237</v>
      </c>
      <c r="L28" s="3">
        <v>5</v>
      </c>
      <c r="M28" s="3">
        <v>10</v>
      </c>
      <c r="N28" s="3" t="s">
        <v>239</v>
      </c>
      <c r="P28" s="3">
        <v>10</v>
      </c>
      <c r="R28" s="3">
        <v>1</v>
      </c>
      <c r="BE28" s="3">
        <v>1</v>
      </c>
      <c r="BV28" s="3">
        <v>1</v>
      </c>
      <c r="DM28" s="3">
        <v>7</v>
      </c>
      <c r="EJ28" s="3">
        <v>21</v>
      </c>
      <c r="FB28" s="3">
        <v>1</v>
      </c>
      <c r="GF28" s="3">
        <v>2</v>
      </c>
      <c r="GH28" s="3">
        <f t="shared" si="0"/>
        <v>7</v>
      </c>
      <c r="GI28" s="3">
        <f t="shared" si="1"/>
        <v>3</v>
      </c>
      <c r="GJ28" s="3">
        <f t="shared" si="2"/>
        <v>2</v>
      </c>
      <c r="GK28" s="3">
        <f t="shared" si="3"/>
        <v>34</v>
      </c>
      <c r="GL28" s="3">
        <f t="shared" si="4"/>
        <v>250</v>
      </c>
      <c r="GM28" s="3">
        <f t="shared" si="5"/>
        <v>216</v>
      </c>
    </row>
    <row r="29" spans="1:195" ht="15.75" customHeight="1" x14ac:dyDescent="0.15">
      <c r="A29" s="13">
        <v>38838</v>
      </c>
      <c r="B29" s="3" t="s">
        <v>240</v>
      </c>
      <c r="C29" s="16">
        <f t="shared" si="6"/>
        <v>25</v>
      </c>
      <c r="D29" s="3">
        <v>21.105899999999998</v>
      </c>
      <c r="E29" s="3">
        <v>-156.746094</v>
      </c>
      <c r="F29" s="3" t="s">
        <v>197</v>
      </c>
      <c r="G29" s="14">
        <v>0</v>
      </c>
      <c r="H29" s="14">
        <v>4.1666666666666664E-2</v>
      </c>
      <c r="I29" s="3">
        <v>3</v>
      </c>
      <c r="J29" s="3">
        <v>27</v>
      </c>
      <c r="K29" s="3" t="s">
        <v>227</v>
      </c>
      <c r="L29" s="3">
        <v>10</v>
      </c>
      <c r="M29" s="3">
        <v>27</v>
      </c>
      <c r="N29" s="3" t="s">
        <v>241</v>
      </c>
      <c r="P29" s="3">
        <v>27</v>
      </c>
      <c r="AM29" s="3">
        <v>22</v>
      </c>
      <c r="BB29" s="3">
        <v>12</v>
      </c>
      <c r="BM29" s="3">
        <v>9</v>
      </c>
      <c r="CS29" s="3">
        <v>1</v>
      </c>
      <c r="EJ29" s="3">
        <v>40</v>
      </c>
      <c r="FS29" s="3">
        <v>322</v>
      </c>
      <c r="GH29" s="3">
        <f t="shared" si="0"/>
        <v>6</v>
      </c>
      <c r="GI29" s="3">
        <f t="shared" si="1"/>
        <v>5</v>
      </c>
      <c r="GJ29" s="3">
        <f t="shared" si="2"/>
        <v>5</v>
      </c>
      <c r="GK29" s="3">
        <f t="shared" si="3"/>
        <v>406</v>
      </c>
      <c r="GL29" s="3">
        <f t="shared" si="4"/>
        <v>675</v>
      </c>
      <c r="GM29" s="3">
        <f t="shared" si="5"/>
        <v>269</v>
      </c>
    </row>
    <row r="30" spans="1:195" ht="15.75" customHeight="1" x14ac:dyDescent="0.15">
      <c r="A30" s="13">
        <v>38849</v>
      </c>
      <c r="B30" s="3" t="s">
        <v>219</v>
      </c>
      <c r="C30" s="16">
        <f t="shared" si="6"/>
        <v>26</v>
      </c>
      <c r="D30" s="3">
        <v>21.295798999999999</v>
      </c>
      <c r="E30" s="3">
        <v>-158.10369900000001</v>
      </c>
      <c r="F30" s="3" t="s">
        <v>197</v>
      </c>
      <c r="G30" s="14">
        <v>0</v>
      </c>
      <c r="H30" s="14">
        <v>4.1666666666666664E-2</v>
      </c>
      <c r="I30" s="3">
        <v>4</v>
      </c>
      <c r="J30" s="3">
        <v>25</v>
      </c>
      <c r="K30" s="3" t="s">
        <v>237</v>
      </c>
      <c r="L30" s="3">
        <v>5</v>
      </c>
      <c r="M30" s="3">
        <v>14</v>
      </c>
      <c r="N30" s="3" t="s">
        <v>242</v>
      </c>
      <c r="P30" s="3">
        <v>14</v>
      </c>
      <c r="AD30" s="3">
        <v>3</v>
      </c>
      <c r="AM30" s="3">
        <v>6</v>
      </c>
      <c r="BQ30" s="3">
        <v>5</v>
      </c>
      <c r="BW30" s="3">
        <v>13</v>
      </c>
      <c r="DH30" s="3">
        <v>1</v>
      </c>
      <c r="DM30" s="3">
        <v>20</v>
      </c>
      <c r="EC30" s="3">
        <v>1</v>
      </c>
      <c r="EJ30" s="3">
        <v>216</v>
      </c>
      <c r="EV30" s="3">
        <v>1</v>
      </c>
      <c r="FB30" s="3">
        <v>27</v>
      </c>
      <c r="FC30" s="3">
        <v>1</v>
      </c>
      <c r="FM30" s="3">
        <v>8</v>
      </c>
      <c r="FS30" s="3">
        <v>38</v>
      </c>
      <c r="GF30" s="3">
        <v>1</v>
      </c>
      <c r="GH30" s="3">
        <f t="shared" si="0"/>
        <v>14</v>
      </c>
      <c r="GI30" s="3">
        <f t="shared" si="1"/>
        <v>9</v>
      </c>
      <c r="GJ30" s="3">
        <f t="shared" si="2"/>
        <v>8</v>
      </c>
      <c r="GK30" s="3">
        <f t="shared" si="3"/>
        <v>341</v>
      </c>
      <c r="GL30" s="3">
        <f t="shared" si="4"/>
        <v>350</v>
      </c>
      <c r="GM30" s="3">
        <f t="shared" si="5"/>
        <v>9</v>
      </c>
    </row>
    <row r="31" spans="1:195" ht="15.75" customHeight="1" x14ac:dyDescent="0.15">
      <c r="A31" s="13">
        <v>38852</v>
      </c>
      <c r="B31" s="3" t="s">
        <v>216</v>
      </c>
      <c r="C31" s="16">
        <f t="shared" si="6"/>
        <v>27</v>
      </c>
      <c r="D31" s="3">
        <v>21.3002</v>
      </c>
      <c r="E31" s="3">
        <v>-157.882599</v>
      </c>
      <c r="F31" s="3" t="s">
        <v>197</v>
      </c>
      <c r="G31" s="14">
        <v>0</v>
      </c>
      <c r="H31" s="14">
        <v>4.1666666666666664E-2</v>
      </c>
      <c r="I31" s="3">
        <v>7</v>
      </c>
      <c r="J31" s="3">
        <v>25</v>
      </c>
      <c r="K31" s="3" t="s">
        <v>237</v>
      </c>
      <c r="L31" s="3">
        <v>5</v>
      </c>
      <c r="M31" s="3">
        <v>23</v>
      </c>
      <c r="N31" s="3" t="s">
        <v>243</v>
      </c>
      <c r="P31" s="3">
        <v>23</v>
      </c>
      <c r="R31" s="3">
        <v>4</v>
      </c>
      <c r="AI31" s="3">
        <v>3</v>
      </c>
      <c r="BD31" s="3">
        <v>1</v>
      </c>
      <c r="BQ31" s="3">
        <v>11</v>
      </c>
      <c r="BW31" s="3">
        <v>1</v>
      </c>
      <c r="CD31" s="3">
        <v>2</v>
      </c>
      <c r="DM31" s="3">
        <v>3</v>
      </c>
      <c r="DO31" s="3">
        <v>2</v>
      </c>
      <c r="DS31" s="3">
        <v>6</v>
      </c>
      <c r="EJ31" s="3">
        <v>60</v>
      </c>
      <c r="FB31" s="3">
        <v>11</v>
      </c>
      <c r="FS31" s="3">
        <v>46</v>
      </c>
      <c r="GH31" s="3">
        <f t="shared" si="0"/>
        <v>12</v>
      </c>
      <c r="GI31" s="3">
        <f t="shared" si="1"/>
        <v>10</v>
      </c>
      <c r="GJ31" s="3">
        <f t="shared" si="2"/>
        <v>5</v>
      </c>
      <c r="GK31" s="3">
        <f t="shared" si="3"/>
        <v>150</v>
      </c>
      <c r="GL31" s="3">
        <f t="shared" si="4"/>
        <v>575</v>
      </c>
      <c r="GM31" s="3">
        <f t="shared" si="5"/>
        <v>425</v>
      </c>
    </row>
    <row r="32" spans="1:195" ht="15.75" customHeight="1" x14ac:dyDescent="0.15">
      <c r="A32" s="13">
        <v>38853</v>
      </c>
      <c r="B32" s="3" t="s">
        <v>244</v>
      </c>
      <c r="C32" s="16">
        <f t="shared" si="6"/>
        <v>28</v>
      </c>
      <c r="D32" s="3">
        <v>21.310611999999999</v>
      </c>
      <c r="E32" s="3">
        <v>-158.00441000000001</v>
      </c>
      <c r="F32" s="3" t="s">
        <v>197</v>
      </c>
      <c r="G32" s="14">
        <v>0</v>
      </c>
      <c r="H32" s="14">
        <v>4.1666666666666664E-2</v>
      </c>
      <c r="I32" s="3">
        <v>4</v>
      </c>
      <c r="J32" s="3">
        <v>20</v>
      </c>
      <c r="K32" s="3" t="s">
        <v>245</v>
      </c>
      <c r="L32" s="3">
        <v>5</v>
      </c>
      <c r="M32" s="3">
        <v>4</v>
      </c>
      <c r="N32" s="3">
        <v>4</v>
      </c>
      <c r="P32" s="3">
        <v>4</v>
      </c>
      <c r="R32" s="3">
        <v>12</v>
      </c>
      <c r="AX32" s="3">
        <v>1</v>
      </c>
      <c r="BM32" s="3">
        <v>2</v>
      </c>
      <c r="BQ32" s="3">
        <v>14</v>
      </c>
      <c r="BU32" s="3">
        <v>20</v>
      </c>
      <c r="BX32" s="3">
        <v>27</v>
      </c>
      <c r="CS32" s="3">
        <v>4</v>
      </c>
      <c r="DD32" s="3">
        <v>4</v>
      </c>
      <c r="DM32" s="3">
        <v>14</v>
      </c>
      <c r="DU32" s="3"/>
      <c r="DV32" s="3">
        <v>5</v>
      </c>
      <c r="EJ32" s="3">
        <v>4</v>
      </c>
      <c r="FB32" s="3">
        <v>7</v>
      </c>
      <c r="FR32" s="3">
        <v>6</v>
      </c>
      <c r="FS32" s="3">
        <v>18</v>
      </c>
      <c r="GH32" s="3">
        <f t="shared" si="0"/>
        <v>14</v>
      </c>
      <c r="GI32" s="3">
        <f t="shared" si="1"/>
        <v>13</v>
      </c>
      <c r="GJ32" s="3">
        <f t="shared" si="2"/>
        <v>9</v>
      </c>
      <c r="GK32" s="3">
        <f t="shared" si="3"/>
        <v>138</v>
      </c>
      <c r="GL32" s="3">
        <f t="shared" si="4"/>
        <v>100</v>
      </c>
      <c r="GM32" s="3">
        <f t="shared" si="5"/>
        <v>-38</v>
      </c>
    </row>
    <row r="33" spans="1:195" ht="15.75" customHeight="1" x14ac:dyDescent="0.15">
      <c r="A33" s="13">
        <v>38854</v>
      </c>
      <c r="B33" s="3" t="s">
        <v>246</v>
      </c>
      <c r="C33" s="16">
        <f t="shared" si="6"/>
        <v>29</v>
      </c>
      <c r="D33" s="3">
        <v>21.2882</v>
      </c>
      <c r="E33" s="3">
        <v>-157.66799900000001</v>
      </c>
      <c r="F33" s="3" t="s">
        <v>197</v>
      </c>
      <c r="G33" s="14">
        <v>0</v>
      </c>
      <c r="H33" s="14">
        <v>4.1666666666666664E-2</v>
      </c>
      <c r="I33" s="3">
        <v>3</v>
      </c>
      <c r="J33" s="3">
        <v>20</v>
      </c>
      <c r="K33" s="3" t="s">
        <v>245</v>
      </c>
      <c r="L33" s="3">
        <v>5</v>
      </c>
      <c r="M33" s="3">
        <v>4</v>
      </c>
      <c r="N33" s="3">
        <v>4</v>
      </c>
      <c r="P33" s="3">
        <v>4</v>
      </c>
      <c r="R33" s="3">
        <v>1</v>
      </c>
      <c r="BH33" s="3">
        <v>1</v>
      </c>
      <c r="BK33" s="3">
        <v>2</v>
      </c>
      <c r="BW33" s="3">
        <v>3</v>
      </c>
      <c r="CJ33" s="3">
        <v>6</v>
      </c>
      <c r="CO33" s="3">
        <v>3</v>
      </c>
      <c r="DM33" s="3">
        <v>6</v>
      </c>
      <c r="DO33" s="3">
        <v>3</v>
      </c>
      <c r="DZ33" s="3">
        <v>1</v>
      </c>
      <c r="EJ33" s="3">
        <v>8</v>
      </c>
      <c r="FB33" s="3">
        <v>10</v>
      </c>
      <c r="FR33" s="3">
        <v>1</v>
      </c>
      <c r="FS33" s="3">
        <v>34</v>
      </c>
      <c r="GH33" s="3">
        <f t="shared" si="0"/>
        <v>13</v>
      </c>
      <c r="GI33" s="3">
        <f t="shared" si="1"/>
        <v>9</v>
      </c>
      <c r="GJ33" s="3">
        <f t="shared" si="2"/>
        <v>5</v>
      </c>
      <c r="GK33" s="3">
        <f t="shared" si="3"/>
        <v>79</v>
      </c>
      <c r="GL33" s="3">
        <f t="shared" si="4"/>
        <v>100</v>
      </c>
      <c r="GM33" s="3">
        <f t="shared" si="5"/>
        <v>21</v>
      </c>
    </row>
    <row r="34" spans="1:195" ht="15.75" customHeight="1" x14ac:dyDescent="0.15">
      <c r="A34" s="13">
        <v>39177</v>
      </c>
      <c r="B34" s="3" t="s">
        <v>247</v>
      </c>
      <c r="C34" s="16">
        <f t="shared" si="6"/>
        <v>30</v>
      </c>
      <c r="D34" s="3">
        <v>19.488199000000002</v>
      </c>
      <c r="E34" s="3">
        <v>-154.81930500000001</v>
      </c>
      <c r="F34" s="3" t="s">
        <v>197</v>
      </c>
      <c r="G34" s="14">
        <v>0</v>
      </c>
      <c r="H34" s="14">
        <v>4.1666666666666664E-2</v>
      </c>
      <c r="I34" s="3">
        <v>4</v>
      </c>
      <c r="J34" s="3">
        <v>20</v>
      </c>
      <c r="K34" s="3" t="s">
        <v>245</v>
      </c>
      <c r="L34" s="3">
        <v>5</v>
      </c>
      <c r="M34" s="3">
        <v>13</v>
      </c>
      <c r="N34" s="3" t="s">
        <v>248</v>
      </c>
      <c r="P34" s="3">
        <v>13</v>
      </c>
      <c r="AM34" s="3">
        <v>10</v>
      </c>
      <c r="CC34" s="3">
        <v>1</v>
      </c>
      <c r="DM34" s="3">
        <v>9</v>
      </c>
      <c r="DX34" s="3">
        <v>94</v>
      </c>
      <c r="FM34" s="3">
        <v>1</v>
      </c>
      <c r="FS34" s="3">
        <v>131</v>
      </c>
      <c r="GF34" s="3">
        <v>1</v>
      </c>
      <c r="GH34" s="3">
        <f t="shared" si="0"/>
        <v>7</v>
      </c>
      <c r="GI34" s="3">
        <f t="shared" si="1"/>
        <v>4</v>
      </c>
      <c r="GJ34" s="3">
        <f t="shared" si="2"/>
        <v>4</v>
      </c>
      <c r="GK34" s="3">
        <f t="shared" si="3"/>
        <v>247</v>
      </c>
      <c r="GL34" s="3">
        <f t="shared" si="4"/>
        <v>325</v>
      </c>
      <c r="GM34" s="3">
        <f t="shared" si="5"/>
        <v>78</v>
      </c>
    </row>
    <row r="35" spans="1:195" ht="15.75" customHeight="1" x14ac:dyDescent="0.15">
      <c r="A35" s="13">
        <v>39190</v>
      </c>
      <c r="B35" s="3" t="s">
        <v>201</v>
      </c>
      <c r="C35" s="16">
        <f t="shared" si="6"/>
        <v>31</v>
      </c>
      <c r="D35" s="3">
        <v>21.25544</v>
      </c>
      <c r="E35" s="3">
        <v>-157.810303</v>
      </c>
      <c r="F35" s="3" t="s">
        <v>197</v>
      </c>
      <c r="G35" s="14">
        <v>0</v>
      </c>
      <c r="H35" s="14">
        <v>4.1666666666666664E-2</v>
      </c>
      <c r="I35" s="3">
        <v>7</v>
      </c>
      <c r="J35" s="3">
        <v>11</v>
      </c>
      <c r="K35" s="3" t="s">
        <v>198</v>
      </c>
      <c r="L35" s="3">
        <v>12</v>
      </c>
      <c r="M35" s="3">
        <v>74</v>
      </c>
      <c r="N35" s="3" t="s">
        <v>249</v>
      </c>
      <c r="P35" s="3">
        <v>74</v>
      </c>
      <c r="R35" s="3">
        <v>175</v>
      </c>
      <c r="Y35" s="3">
        <v>1</v>
      </c>
      <c r="AF35" s="3">
        <v>1</v>
      </c>
      <c r="AM35" s="3">
        <v>9</v>
      </c>
      <c r="AZ35" s="3">
        <v>25</v>
      </c>
      <c r="BB35" s="3">
        <v>18</v>
      </c>
      <c r="BF35" s="3">
        <v>1</v>
      </c>
      <c r="BM35" s="3">
        <v>16</v>
      </c>
      <c r="BQ35" s="3">
        <v>58</v>
      </c>
      <c r="BT35" s="3">
        <v>7</v>
      </c>
      <c r="BU35" s="3">
        <v>3</v>
      </c>
      <c r="BW35" s="3">
        <v>4</v>
      </c>
      <c r="BX35" s="3">
        <v>10</v>
      </c>
      <c r="BY35" s="3">
        <v>1</v>
      </c>
      <c r="CB35" s="3">
        <v>9</v>
      </c>
      <c r="CJ35" s="3">
        <v>4</v>
      </c>
      <c r="CO35" s="3">
        <v>38</v>
      </c>
      <c r="CS35" s="3">
        <v>6</v>
      </c>
      <c r="CV35" s="3">
        <v>2</v>
      </c>
      <c r="DD35" s="3">
        <v>1</v>
      </c>
      <c r="DF35" s="3">
        <v>33</v>
      </c>
      <c r="DL35" s="3">
        <v>71</v>
      </c>
      <c r="DM35" s="3">
        <v>140</v>
      </c>
      <c r="DP35" s="3">
        <v>3</v>
      </c>
      <c r="DS35" s="3">
        <v>72</v>
      </c>
      <c r="DU35" s="3"/>
      <c r="DV35" s="3">
        <v>5</v>
      </c>
      <c r="ED35" s="3">
        <v>4</v>
      </c>
      <c r="EJ35" s="3">
        <v>220</v>
      </c>
      <c r="EW35" s="3">
        <v>2</v>
      </c>
      <c r="FB35" s="3">
        <v>221</v>
      </c>
      <c r="FC35" s="3">
        <v>36</v>
      </c>
      <c r="FI35" s="3">
        <v>1</v>
      </c>
      <c r="FR35" s="3">
        <v>2</v>
      </c>
      <c r="FS35" s="3">
        <v>142</v>
      </c>
      <c r="FX35" s="3"/>
      <c r="FY35" s="3">
        <v>20</v>
      </c>
      <c r="GE35" s="3">
        <v>11</v>
      </c>
      <c r="GF35" s="3">
        <v>21</v>
      </c>
      <c r="GH35" s="3">
        <f t="shared" si="0"/>
        <v>37</v>
      </c>
      <c r="GI35" s="3">
        <f t="shared" si="1"/>
        <v>31</v>
      </c>
      <c r="GJ35" s="3">
        <f t="shared" si="2"/>
        <v>23</v>
      </c>
      <c r="GK35" s="3">
        <f t="shared" si="3"/>
        <v>1393</v>
      </c>
      <c r="GL35" s="3">
        <f t="shared" si="4"/>
        <v>1850</v>
      </c>
      <c r="GM35" s="3">
        <f t="shared" si="5"/>
        <v>457</v>
      </c>
    </row>
    <row r="36" spans="1:195" ht="15.75" customHeight="1" x14ac:dyDescent="0.15">
      <c r="A36" s="13">
        <v>39191</v>
      </c>
      <c r="B36" s="3" t="s">
        <v>250</v>
      </c>
      <c r="C36" s="16">
        <f t="shared" si="6"/>
        <v>32</v>
      </c>
      <c r="D36" s="3">
        <v>21.410399999999999</v>
      </c>
      <c r="E36" s="3">
        <v>-158.17770400000001</v>
      </c>
      <c r="F36" s="3" t="s">
        <v>197</v>
      </c>
      <c r="G36" s="14">
        <v>0</v>
      </c>
      <c r="H36" s="14">
        <v>4.1666666666666664E-2</v>
      </c>
      <c r="I36" s="3">
        <v>10</v>
      </c>
      <c r="J36" s="3">
        <v>20</v>
      </c>
      <c r="K36" s="3" t="s">
        <v>245</v>
      </c>
      <c r="L36" s="3">
        <v>6</v>
      </c>
      <c r="M36" s="3">
        <v>15</v>
      </c>
      <c r="N36" s="3" t="s">
        <v>251</v>
      </c>
      <c r="P36" s="3">
        <v>15</v>
      </c>
      <c r="R36" s="3">
        <v>82</v>
      </c>
      <c r="S36" s="3">
        <v>4</v>
      </c>
      <c r="AJ36" s="3"/>
      <c r="AK36" s="3">
        <v>5</v>
      </c>
      <c r="BG36" s="3">
        <v>9</v>
      </c>
      <c r="BI36" s="3">
        <v>2</v>
      </c>
      <c r="BK36" s="3">
        <v>9</v>
      </c>
      <c r="BY36" s="3">
        <v>56</v>
      </c>
      <c r="BZ36" s="3">
        <v>33</v>
      </c>
      <c r="CC36" s="3">
        <v>7</v>
      </c>
      <c r="CD36" s="3">
        <v>1</v>
      </c>
      <c r="DH36" s="3">
        <v>1</v>
      </c>
      <c r="DL36" s="3">
        <v>9</v>
      </c>
      <c r="DM36" s="3">
        <v>32</v>
      </c>
      <c r="EJ36" s="3">
        <v>11</v>
      </c>
      <c r="EW36" s="3">
        <v>15</v>
      </c>
      <c r="FC36" s="3">
        <v>2</v>
      </c>
      <c r="FE36" s="3">
        <v>24</v>
      </c>
      <c r="FR36" s="3">
        <v>16</v>
      </c>
      <c r="FS36" s="3">
        <v>44</v>
      </c>
      <c r="FT36" s="3">
        <v>41</v>
      </c>
      <c r="GE36" s="3">
        <v>3</v>
      </c>
      <c r="GF36" s="3">
        <v>52</v>
      </c>
      <c r="GH36" s="3">
        <f t="shared" si="0"/>
        <v>22</v>
      </c>
      <c r="GI36" s="3">
        <f t="shared" si="1"/>
        <v>20</v>
      </c>
      <c r="GJ36" s="3">
        <f t="shared" si="2"/>
        <v>16</v>
      </c>
      <c r="GK36" s="3">
        <f t="shared" si="3"/>
        <v>458</v>
      </c>
      <c r="GL36" s="3">
        <f t="shared" si="4"/>
        <v>375</v>
      </c>
      <c r="GM36" s="3">
        <f t="shared" si="5"/>
        <v>-83</v>
      </c>
    </row>
    <row r="37" spans="1:195" ht="15.75" customHeight="1" x14ac:dyDescent="0.15">
      <c r="A37" s="13">
        <v>39191</v>
      </c>
      <c r="B37" s="3" t="s">
        <v>201</v>
      </c>
      <c r="C37" s="16">
        <f t="shared" si="6"/>
        <v>33</v>
      </c>
      <c r="D37" s="3">
        <v>21.25544</v>
      </c>
      <c r="E37" s="3">
        <v>-157.810303</v>
      </c>
      <c r="F37" s="3" t="s">
        <v>197</v>
      </c>
      <c r="G37" s="14">
        <v>0</v>
      </c>
      <c r="H37" s="14">
        <v>4.1666666666666664E-2</v>
      </c>
      <c r="I37" s="3">
        <v>7</v>
      </c>
      <c r="J37" s="3">
        <v>11</v>
      </c>
      <c r="K37" s="3" t="s">
        <v>198</v>
      </c>
      <c r="L37" s="3">
        <v>12</v>
      </c>
      <c r="M37" s="3">
        <v>66</v>
      </c>
      <c r="N37" s="3" t="s">
        <v>252</v>
      </c>
      <c r="P37" s="3">
        <v>66</v>
      </c>
      <c r="R37" s="3">
        <v>11</v>
      </c>
      <c r="X37" s="3">
        <v>3</v>
      </c>
      <c r="Z37" s="3">
        <v>5</v>
      </c>
      <c r="AE37" s="3">
        <v>10</v>
      </c>
      <c r="AF37" s="3">
        <v>2</v>
      </c>
      <c r="AI37" s="3">
        <v>2</v>
      </c>
      <c r="AJ37" s="3">
        <v>1</v>
      </c>
      <c r="AM37" s="3">
        <v>2</v>
      </c>
      <c r="BB37" s="3">
        <v>21</v>
      </c>
      <c r="BM37" s="3">
        <v>1</v>
      </c>
      <c r="BQ37" s="3">
        <v>80</v>
      </c>
      <c r="BT37" s="3">
        <v>32</v>
      </c>
      <c r="BU37" s="3">
        <v>12</v>
      </c>
      <c r="BW37" s="3">
        <v>5</v>
      </c>
      <c r="BX37" s="3">
        <v>70</v>
      </c>
      <c r="BY37" s="3">
        <v>52</v>
      </c>
      <c r="CB37" s="3">
        <v>14</v>
      </c>
      <c r="CJ37" s="3">
        <v>5</v>
      </c>
      <c r="CO37" s="3">
        <v>24</v>
      </c>
      <c r="CS37" s="3">
        <v>7</v>
      </c>
      <c r="CV37" s="3">
        <v>5</v>
      </c>
      <c r="DF37" s="3">
        <v>18</v>
      </c>
      <c r="DH37" s="3">
        <v>2</v>
      </c>
      <c r="DL37" s="3">
        <v>40</v>
      </c>
      <c r="DM37" s="3">
        <v>207</v>
      </c>
      <c r="DO37" s="3">
        <v>3</v>
      </c>
      <c r="DP37" s="3">
        <v>4</v>
      </c>
      <c r="DS37" s="3">
        <v>40</v>
      </c>
      <c r="DU37" s="3"/>
      <c r="DV37" s="3">
        <v>44</v>
      </c>
      <c r="DZ37" s="3">
        <v>1</v>
      </c>
      <c r="EB37" s="3">
        <v>1</v>
      </c>
      <c r="EC37" s="3">
        <v>1</v>
      </c>
      <c r="ED37" s="3">
        <v>2</v>
      </c>
      <c r="EJ37" s="3">
        <v>168</v>
      </c>
      <c r="EN37" s="3">
        <v>1</v>
      </c>
      <c r="EW37" s="3">
        <v>13</v>
      </c>
      <c r="FB37" s="3">
        <v>101</v>
      </c>
      <c r="FC37" s="3">
        <v>10</v>
      </c>
      <c r="FE37" s="3">
        <v>1</v>
      </c>
      <c r="FF37" s="3">
        <v>3</v>
      </c>
      <c r="FH37" s="3">
        <v>1</v>
      </c>
      <c r="FM37" s="3">
        <v>1</v>
      </c>
      <c r="FR37" s="3">
        <v>43</v>
      </c>
      <c r="FS37" s="3">
        <v>134</v>
      </c>
      <c r="GE37" s="3">
        <v>5</v>
      </c>
      <c r="GF37" s="3">
        <v>41</v>
      </c>
      <c r="GH37" s="3">
        <f t="shared" si="0"/>
        <v>46</v>
      </c>
      <c r="GI37" s="3">
        <f t="shared" si="1"/>
        <v>37</v>
      </c>
      <c r="GJ37" s="3">
        <f t="shared" si="2"/>
        <v>28</v>
      </c>
      <c r="GK37" s="3">
        <f t="shared" si="3"/>
        <v>1249</v>
      </c>
      <c r="GL37" s="3">
        <f t="shared" si="4"/>
        <v>1650</v>
      </c>
      <c r="GM37" s="3">
        <f t="shared" si="5"/>
        <v>401</v>
      </c>
    </row>
    <row r="38" spans="1:195" ht="15.75" customHeight="1" x14ac:dyDescent="0.15">
      <c r="A38" s="13">
        <v>39192</v>
      </c>
      <c r="B38" s="3" t="s">
        <v>230</v>
      </c>
      <c r="C38" s="16">
        <f t="shared" si="6"/>
        <v>34</v>
      </c>
      <c r="D38" s="3">
        <v>20.753699999999998</v>
      </c>
      <c r="E38" s="3">
        <v>-156.46090699999999</v>
      </c>
      <c r="F38" s="3" t="s">
        <v>197</v>
      </c>
      <c r="G38" s="14">
        <v>0</v>
      </c>
      <c r="H38" s="14">
        <v>4.1666666666666664E-2</v>
      </c>
      <c r="I38" s="3">
        <v>4</v>
      </c>
      <c r="J38" s="3">
        <v>9</v>
      </c>
      <c r="K38" s="3" t="s">
        <v>198</v>
      </c>
      <c r="L38" s="3">
        <v>10</v>
      </c>
      <c r="M38" s="3">
        <v>36</v>
      </c>
      <c r="N38" s="3" t="s">
        <v>253</v>
      </c>
      <c r="P38" s="3">
        <v>36</v>
      </c>
      <c r="R38" s="3">
        <v>14</v>
      </c>
      <c r="Z38" s="3">
        <v>2</v>
      </c>
      <c r="AD38" s="3">
        <v>5</v>
      </c>
      <c r="AM38" s="3">
        <v>9</v>
      </c>
      <c r="AN38" s="3">
        <v>2</v>
      </c>
      <c r="AO38" s="3"/>
      <c r="AP38" s="3">
        <v>5</v>
      </c>
      <c r="BH38" s="3">
        <v>1</v>
      </c>
      <c r="BK38" s="3">
        <v>12</v>
      </c>
      <c r="BM38" s="3">
        <v>18</v>
      </c>
      <c r="BX38" s="3">
        <v>1</v>
      </c>
      <c r="BY38" s="3">
        <v>3</v>
      </c>
      <c r="CC38" s="3">
        <v>1</v>
      </c>
      <c r="DF38" s="3">
        <v>1</v>
      </c>
      <c r="DH38" s="3">
        <v>2</v>
      </c>
      <c r="DM38" s="3">
        <v>1</v>
      </c>
      <c r="DS38" s="3">
        <v>27</v>
      </c>
      <c r="DW38" s="3">
        <v>3</v>
      </c>
      <c r="EJ38" s="3">
        <v>1</v>
      </c>
      <c r="FB38" s="3">
        <v>5</v>
      </c>
      <c r="FH38" s="3">
        <v>3</v>
      </c>
      <c r="FS38" s="3">
        <v>59</v>
      </c>
      <c r="FT38" s="3">
        <v>27</v>
      </c>
      <c r="GH38" s="3">
        <f t="shared" si="0"/>
        <v>22</v>
      </c>
      <c r="GI38" s="3">
        <f t="shared" si="1"/>
        <v>16</v>
      </c>
      <c r="GJ38" s="3">
        <f t="shared" si="2"/>
        <v>10</v>
      </c>
      <c r="GK38" s="3">
        <f t="shared" si="3"/>
        <v>202</v>
      </c>
      <c r="GL38" s="3">
        <f t="shared" si="4"/>
        <v>900</v>
      </c>
      <c r="GM38" s="3">
        <f t="shared" si="5"/>
        <v>698</v>
      </c>
    </row>
    <row r="39" spans="1:195" ht="15.75" customHeight="1" x14ac:dyDescent="0.15">
      <c r="A39" s="13">
        <v>39192</v>
      </c>
      <c r="B39" s="3" t="s">
        <v>246</v>
      </c>
      <c r="C39" s="16">
        <f t="shared" si="6"/>
        <v>35</v>
      </c>
      <c r="D39" s="3">
        <v>21.2882</v>
      </c>
      <c r="E39" s="3">
        <v>-157.66799900000001</v>
      </c>
      <c r="F39" s="3" t="s">
        <v>197</v>
      </c>
      <c r="G39" s="14">
        <v>0</v>
      </c>
      <c r="H39" s="14">
        <v>4.1666666666666664E-2</v>
      </c>
      <c r="I39" s="3">
        <v>3</v>
      </c>
      <c r="J39" s="3">
        <v>20</v>
      </c>
      <c r="K39" s="3" t="s">
        <v>245</v>
      </c>
      <c r="L39" s="3">
        <v>7</v>
      </c>
      <c r="M39" s="3">
        <v>15</v>
      </c>
      <c r="N39" s="3" t="s">
        <v>254</v>
      </c>
      <c r="P39" s="3">
        <v>15</v>
      </c>
      <c r="R39" s="3">
        <v>4</v>
      </c>
      <c r="AB39" s="3">
        <v>7</v>
      </c>
      <c r="AM39" s="3">
        <v>10</v>
      </c>
      <c r="BB39" s="3">
        <v>12</v>
      </c>
      <c r="BF39" s="3">
        <v>1</v>
      </c>
      <c r="BH39" s="3">
        <v>1</v>
      </c>
      <c r="BK39" s="3">
        <v>3</v>
      </c>
      <c r="BM39" s="3">
        <v>10</v>
      </c>
      <c r="BY39" s="3">
        <v>2</v>
      </c>
      <c r="CJ39" s="3">
        <v>4</v>
      </c>
      <c r="DM39" s="3">
        <v>3</v>
      </c>
      <c r="DS39" s="3">
        <v>1</v>
      </c>
      <c r="EJ39" s="3">
        <v>2</v>
      </c>
      <c r="EV39" s="3">
        <v>7</v>
      </c>
      <c r="EW39" s="3">
        <v>12</v>
      </c>
      <c r="FM39" s="3">
        <v>5</v>
      </c>
      <c r="FS39" s="3">
        <v>115</v>
      </c>
      <c r="GH39" s="3">
        <f t="shared" si="0"/>
        <v>17</v>
      </c>
      <c r="GI39" s="3">
        <f t="shared" si="1"/>
        <v>14</v>
      </c>
      <c r="GJ39" s="3">
        <f t="shared" si="2"/>
        <v>8</v>
      </c>
      <c r="GK39" s="3">
        <f t="shared" si="3"/>
        <v>199</v>
      </c>
      <c r="GL39" s="3">
        <f t="shared" si="4"/>
        <v>375</v>
      </c>
      <c r="GM39" s="3">
        <f t="shared" si="5"/>
        <v>176</v>
      </c>
    </row>
    <row r="40" spans="1:195" ht="15.75" customHeight="1" x14ac:dyDescent="0.15">
      <c r="A40" s="13">
        <v>39203</v>
      </c>
      <c r="B40" s="3" t="s">
        <v>230</v>
      </c>
      <c r="C40" s="16">
        <f t="shared" si="6"/>
        <v>36</v>
      </c>
      <c r="D40" s="3">
        <v>20.753699999999998</v>
      </c>
      <c r="E40" s="3">
        <v>-156.46090699999999</v>
      </c>
      <c r="F40" s="3" t="s">
        <v>197</v>
      </c>
      <c r="G40" s="14">
        <v>0</v>
      </c>
      <c r="H40" s="14">
        <v>4.1666666666666664E-2</v>
      </c>
      <c r="I40" s="3">
        <v>5</v>
      </c>
      <c r="J40" s="3">
        <v>18</v>
      </c>
      <c r="K40" s="3" t="s">
        <v>217</v>
      </c>
      <c r="L40" s="3">
        <v>10</v>
      </c>
      <c r="M40" s="3">
        <v>43</v>
      </c>
      <c r="N40" s="3" t="s">
        <v>255</v>
      </c>
      <c r="P40" s="3">
        <v>43</v>
      </c>
      <c r="R40" s="3">
        <v>18</v>
      </c>
      <c r="AX40" s="3">
        <v>1</v>
      </c>
      <c r="BB40" s="3">
        <v>1</v>
      </c>
      <c r="BH40" s="3">
        <v>1</v>
      </c>
      <c r="BM40" s="3">
        <v>73</v>
      </c>
      <c r="BX40" s="3">
        <v>1</v>
      </c>
      <c r="BZ40" s="3">
        <v>1</v>
      </c>
      <c r="CC40" s="3">
        <v>1</v>
      </c>
      <c r="CJ40" s="3">
        <v>1</v>
      </c>
      <c r="CU40" s="3">
        <v>1</v>
      </c>
      <c r="DF40" s="3">
        <v>17</v>
      </c>
      <c r="DM40" s="3">
        <v>1</v>
      </c>
      <c r="DW40" s="3">
        <v>1</v>
      </c>
      <c r="EJ40" s="3">
        <v>9</v>
      </c>
      <c r="FB40" s="3">
        <v>38</v>
      </c>
      <c r="FF40" s="3">
        <v>1</v>
      </c>
      <c r="FS40" s="3">
        <v>44</v>
      </c>
      <c r="FT40" s="3">
        <v>10</v>
      </c>
      <c r="FV40" s="3">
        <v>2</v>
      </c>
      <c r="GE40" s="3">
        <v>5</v>
      </c>
      <c r="GF40" s="3">
        <v>3</v>
      </c>
      <c r="GH40" s="3">
        <f t="shared" si="0"/>
        <v>21</v>
      </c>
      <c r="GI40" s="3">
        <f t="shared" si="1"/>
        <v>10</v>
      </c>
      <c r="GJ40" s="3">
        <f t="shared" si="2"/>
        <v>8</v>
      </c>
      <c r="GK40" s="3">
        <f t="shared" si="3"/>
        <v>230</v>
      </c>
      <c r="GL40" s="3">
        <f t="shared" si="4"/>
        <v>1075</v>
      </c>
      <c r="GM40" s="3">
        <f t="shared" si="5"/>
        <v>845</v>
      </c>
    </row>
    <row r="41" spans="1:195" ht="15.75" customHeight="1" x14ac:dyDescent="0.15">
      <c r="A41" s="13">
        <v>39203</v>
      </c>
      <c r="B41" s="3" t="s">
        <v>216</v>
      </c>
      <c r="C41" s="16">
        <f t="shared" si="6"/>
        <v>37</v>
      </c>
      <c r="D41" s="3">
        <v>21.3002</v>
      </c>
      <c r="E41" s="3">
        <v>-157.882599</v>
      </c>
      <c r="F41" s="3" t="s">
        <v>197</v>
      </c>
      <c r="G41" s="14">
        <v>0</v>
      </c>
      <c r="H41" s="14">
        <v>4.1666666666666664E-2</v>
      </c>
      <c r="I41" s="3">
        <v>4</v>
      </c>
      <c r="J41" s="3">
        <v>30</v>
      </c>
      <c r="K41" s="3" t="s">
        <v>227</v>
      </c>
      <c r="L41" s="3">
        <v>10</v>
      </c>
      <c r="M41" s="3">
        <v>36</v>
      </c>
      <c r="N41" s="3" t="s">
        <v>256</v>
      </c>
      <c r="P41" s="3">
        <v>36</v>
      </c>
      <c r="R41" s="3">
        <v>26</v>
      </c>
      <c r="AC41" s="3">
        <v>1</v>
      </c>
      <c r="AM41" s="3">
        <v>6</v>
      </c>
      <c r="BB41" s="3">
        <v>4</v>
      </c>
      <c r="BC41" s="3">
        <v>1</v>
      </c>
      <c r="BH41" s="3">
        <v>1</v>
      </c>
      <c r="BM41" s="3">
        <v>5</v>
      </c>
      <c r="CC41" s="3">
        <v>1</v>
      </c>
      <c r="CD41" s="3">
        <v>2</v>
      </c>
      <c r="CW41" s="3">
        <v>1</v>
      </c>
      <c r="DS41" s="3">
        <v>7</v>
      </c>
      <c r="DZ41" s="3">
        <v>1</v>
      </c>
      <c r="EJ41" s="3">
        <v>42</v>
      </c>
      <c r="FM41" s="3">
        <v>12</v>
      </c>
      <c r="FS41" s="3">
        <v>163</v>
      </c>
      <c r="GF41" s="3">
        <v>9</v>
      </c>
      <c r="GH41" s="3">
        <f t="shared" si="0"/>
        <v>16</v>
      </c>
      <c r="GI41" s="3">
        <f t="shared" si="1"/>
        <v>10</v>
      </c>
      <c r="GJ41" s="3">
        <f t="shared" si="2"/>
        <v>8</v>
      </c>
      <c r="GK41" s="3">
        <f t="shared" si="3"/>
        <v>282</v>
      </c>
      <c r="GL41" s="3">
        <f t="shared" si="4"/>
        <v>900</v>
      </c>
      <c r="GM41" s="3">
        <f t="shared" si="5"/>
        <v>618</v>
      </c>
    </row>
    <row r="42" spans="1:195" ht="15.75" customHeight="1" x14ac:dyDescent="0.15">
      <c r="A42" s="13">
        <v>39204</v>
      </c>
      <c r="B42" s="3" t="s">
        <v>219</v>
      </c>
      <c r="C42" s="16">
        <f t="shared" si="6"/>
        <v>38</v>
      </c>
      <c r="D42" s="3">
        <v>21.295798999999999</v>
      </c>
      <c r="E42" s="3">
        <v>-158.10369900000001</v>
      </c>
      <c r="F42" s="3" t="s">
        <v>197</v>
      </c>
      <c r="G42" s="14">
        <v>0</v>
      </c>
      <c r="H42" s="14">
        <v>4.1666666666666664E-2</v>
      </c>
      <c r="I42" s="3">
        <v>5</v>
      </c>
      <c r="J42" s="3">
        <v>30</v>
      </c>
      <c r="K42" s="3" t="s">
        <v>237</v>
      </c>
      <c r="L42" s="3">
        <v>7</v>
      </c>
      <c r="M42" s="3">
        <v>22</v>
      </c>
      <c r="N42" s="3" t="s">
        <v>257</v>
      </c>
      <c r="P42" s="3">
        <v>22</v>
      </c>
      <c r="R42" s="3">
        <v>21</v>
      </c>
      <c r="AF42" s="3">
        <v>1</v>
      </c>
      <c r="AM42" s="3">
        <v>1</v>
      </c>
      <c r="BB42" s="3">
        <v>5</v>
      </c>
      <c r="BD42" s="3">
        <v>2</v>
      </c>
      <c r="BM42" s="3">
        <v>13</v>
      </c>
      <c r="BW42" s="3">
        <v>6</v>
      </c>
      <c r="BX42" s="3">
        <v>2</v>
      </c>
      <c r="CO42" s="3">
        <v>2</v>
      </c>
      <c r="CS42" s="3">
        <v>1</v>
      </c>
      <c r="DM42" s="3">
        <v>4</v>
      </c>
      <c r="DS42" s="3">
        <v>1</v>
      </c>
      <c r="DZ42" s="3">
        <v>2</v>
      </c>
      <c r="EC42" s="3">
        <v>1</v>
      </c>
      <c r="ED42" s="3">
        <v>1</v>
      </c>
      <c r="EJ42" s="3">
        <v>69</v>
      </c>
      <c r="FB42" s="3">
        <v>11</v>
      </c>
      <c r="FC42" s="3">
        <v>5</v>
      </c>
      <c r="FE42" s="3">
        <v>1</v>
      </c>
      <c r="FH42" s="3">
        <v>7</v>
      </c>
      <c r="FS42" s="3">
        <v>159</v>
      </c>
      <c r="GF42" s="3">
        <v>18</v>
      </c>
      <c r="GH42" s="3">
        <f t="shared" si="0"/>
        <v>22</v>
      </c>
      <c r="GI42" s="3">
        <f t="shared" si="1"/>
        <v>15</v>
      </c>
      <c r="GJ42" s="3">
        <f t="shared" si="2"/>
        <v>10</v>
      </c>
      <c r="GK42" s="3">
        <f t="shared" si="3"/>
        <v>333</v>
      </c>
      <c r="GL42" s="3">
        <f t="shared" si="4"/>
        <v>550</v>
      </c>
      <c r="GM42" s="3">
        <f t="shared" si="5"/>
        <v>217</v>
      </c>
    </row>
    <row r="43" spans="1:195" ht="15.75" customHeight="1" x14ac:dyDescent="0.15">
      <c r="A43" s="13">
        <v>39206</v>
      </c>
      <c r="B43" s="3" t="s">
        <v>216</v>
      </c>
      <c r="C43" s="16">
        <f t="shared" si="6"/>
        <v>39</v>
      </c>
      <c r="D43" s="3">
        <v>21.3002</v>
      </c>
      <c r="E43" s="3">
        <v>-157.882599</v>
      </c>
      <c r="F43" s="3" t="s">
        <v>197</v>
      </c>
      <c r="G43" s="14">
        <v>0</v>
      </c>
      <c r="H43" s="14">
        <v>4.1666666666666664E-2</v>
      </c>
      <c r="I43" s="3">
        <v>4</v>
      </c>
      <c r="J43" s="3">
        <v>30</v>
      </c>
      <c r="K43" s="3" t="s">
        <v>237</v>
      </c>
      <c r="L43" s="3">
        <v>7</v>
      </c>
      <c r="M43" s="3">
        <v>20</v>
      </c>
      <c r="N43" s="3" t="s">
        <v>258</v>
      </c>
      <c r="P43" s="3">
        <v>20</v>
      </c>
      <c r="R43" s="3">
        <v>5</v>
      </c>
      <c r="AE43" s="3">
        <v>2</v>
      </c>
      <c r="AM43" s="3">
        <v>5</v>
      </c>
      <c r="AN43" s="3">
        <v>2</v>
      </c>
      <c r="BD43" s="3">
        <v>3</v>
      </c>
      <c r="BH43" s="3">
        <v>1</v>
      </c>
      <c r="BM43" s="3">
        <v>20</v>
      </c>
      <c r="BW43" s="3">
        <v>4</v>
      </c>
      <c r="CW43" s="3">
        <v>1</v>
      </c>
      <c r="DQ43" s="3">
        <v>4</v>
      </c>
      <c r="DS43" s="3">
        <v>56</v>
      </c>
      <c r="EJ43" s="3">
        <v>17</v>
      </c>
      <c r="FF43" s="3">
        <v>1</v>
      </c>
      <c r="FJ43" s="3">
        <v>1</v>
      </c>
      <c r="FM43" s="3">
        <v>2</v>
      </c>
      <c r="FS43" s="3">
        <v>58</v>
      </c>
      <c r="GH43" s="3">
        <f t="shared" si="0"/>
        <v>16</v>
      </c>
      <c r="GI43" s="3">
        <f t="shared" si="1"/>
        <v>12</v>
      </c>
      <c r="GJ43" s="3">
        <f t="shared" si="2"/>
        <v>6</v>
      </c>
      <c r="GK43" s="3">
        <f t="shared" si="3"/>
        <v>182</v>
      </c>
      <c r="GL43" s="3">
        <f t="shared" si="4"/>
        <v>500</v>
      </c>
      <c r="GM43" s="3">
        <f t="shared" si="5"/>
        <v>318</v>
      </c>
    </row>
    <row r="44" spans="1:195" ht="15.75" customHeight="1" x14ac:dyDescent="0.15">
      <c r="A44" s="13">
        <v>39217</v>
      </c>
      <c r="B44" s="3" t="s">
        <v>259</v>
      </c>
      <c r="C44" s="16">
        <f t="shared" si="6"/>
        <v>40</v>
      </c>
      <c r="D44" s="3">
        <v>19.737894000000001</v>
      </c>
      <c r="E44" s="3">
        <v>-155.03405799999999</v>
      </c>
      <c r="F44" s="3" t="s">
        <v>197</v>
      </c>
      <c r="G44" s="14">
        <v>0</v>
      </c>
      <c r="H44" s="14">
        <v>4.1666666666666664E-2</v>
      </c>
      <c r="I44" s="3">
        <v>6</v>
      </c>
      <c r="J44" s="3">
        <v>18</v>
      </c>
      <c r="K44" s="3" t="s">
        <v>227</v>
      </c>
      <c r="L44" s="3">
        <v>7</v>
      </c>
      <c r="M44" s="3">
        <v>22</v>
      </c>
      <c r="N44" s="3" t="s">
        <v>260</v>
      </c>
      <c r="P44" s="3">
        <v>22</v>
      </c>
      <c r="AK44" s="3">
        <v>6</v>
      </c>
      <c r="BU44" s="3">
        <v>3</v>
      </c>
      <c r="BX44" s="3">
        <v>1</v>
      </c>
      <c r="CC44" s="3">
        <v>1</v>
      </c>
      <c r="CO44" s="3">
        <v>46</v>
      </c>
      <c r="DH44" s="3">
        <v>4</v>
      </c>
      <c r="ED44" s="3">
        <v>2</v>
      </c>
      <c r="EJ44" s="3">
        <v>108</v>
      </c>
      <c r="FS44" s="3">
        <v>8</v>
      </c>
      <c r="GE44" s="3">
        <v>3</v>
      </c>
      <c r="GF44" s="3">
        <v>11</v>
      </c>
      <c r="GH44" s="3">
        <f t="shared" si="0"/>
        <v>11</v>
      </c>
      <c r="GI44" s="3">
        <f t="shared" si="1"/>
        <v>9</v>
      </c>
      <c r="GJ44" s="3">
        <f t="shared" si="2"/>
        <v>5</v>
      </c>
      <c r="GK44" s="3">
        <f t="shared" si="3"/>
        <v>193</v>
      </c>
      <c r="GL44" s="3">
        <f t="shared" si="4"/>
        <v>550</v>
      </c>
      <c r="GM44" s="3">
        <f t="shared" si="5"/>
        <v>357</v>
      </c>
    </row>
    <row r="45" spans="1:195" ht="15.75" customHeight="1" x14ac:dyDescent="0.15">
      <c r="A45" s="13">
        <v>39218</v>
      </c>
      <c r="B45" s="3" t="s">
        <v>216</v>
      </c>
      <c r="C45" s="16">
        <f t="shared" si="6"/>
        <v>41</v>
      </c>
      <c r="D45" s="3">
        <v>21.3002</v>
      </c>
      <c r="E45" s="3">
        <v>-157.882599</v>
      </c>
      <c r="F45" s="3" t="s">
        <v>197</v>
      </c>
      <c r="G45" s="14">
        <v>0</v>
      </c>
      <c r="H45" s="14">
        <v>4.1666666666666664E-2</v>
      </c>
      <c r="I45" s="3">
        <v>5</v>
      </c>
      <c r="J45" s="3">
        <v>30</v>
      </c>
      <c r="K45" s="3" t="s">
        <v>237</v>
      </c>
      <c r="L45" s="3">
        <v>7</v>
      </c>
      <c r="M45" s="3">
        <v>15</v>
      </c>
      <c r="N45" s="3" t="s">
        <v>261</v>
      </c>
      <c r="P45" s="3">
        <v>15</v>
      </c>
      <c r="R45" s="3">
        <v>6</v>
      </c>
      <c r="BD45" s="3">
        <v>2</v>
      </c>
      <c r="BK45" s="3">
        <v>1</v>
      </c>
      <c r="BW45" s="3">
        <v>1</v>
      </c>
      <c r="DQ45" s="3">
        <v>1</v>
      </c>
      <c r="DS45" s="3">
        <v>16</v>
      </c>
      <c r="EJ45" s="3">
        <v>30</v>
      </c>
      <c r="FN45" s="3">
        <v>1</v>
      </c>
      <c r="FS45" s="3">
        <v>96</v>
      </c>
      <c r="GE45" s="3">
        <v>1</v>
      </c>
      <c r="GH45" s="3">
        <f t="shared" si="0"/>
        <v>10</v>
      </c>
      <c r="GI45" s="3">
        <f t="shared" si="1"/>
        <v>5</v>
      </c>
      <c r="GJ45" s="3">
        <f t="shared" si="2"/>
        <v>4</v>
      </c>
      <c r="GK45" s="3">
        <f t="shared" si="3"/>
        <v>155</v>
      </c>
      <c r="GL45" s="3">
        <f t="shared" si="4"/>
        <v>375</v>
      </c>
      <c r="GM45" s="3">
        <f t="shared" si="5"/>
        <v>220</v>
      </c>
    </row>
    <row r="46" spans="1:195" ht="15.75" customHeight="1" x14ac:dyDescent="0.15">
      <c r="A46" s="13">
        <v>39219</v>
      </c>
      <c r="B46" s="3" t="s">
        <v>247</v>
      </c>
      <c r="C46" s="16">
        <f t="shared" si="6"/>
        <v>42</v>
      </c>
      <c r="D46" s="3">
        <v>19.488199000000002</v>
      </c>
      <c r="E46" s="3">
        <v>-154.81930500000001</v>
      </c>
      <c r="F46" s="3" t="s">
        <v>197</v>
      </c>
      <c r="G46" s="14">
        <v>0</v>
      </c>
      <c r="H46" s="14">
        <v>4.1666666666666664E-2</v>
      </c>
      <c r="I46" s="3">
        <v>5</v>
      </c>
      <c r="J46" s="3">
        <v>20</v>
      </c>
      <c r="K46" s="3" t="s">
        <v>217</v>
      </c>
      <c r="L46" s="3">
        <v>10</v>
      </c>
      <c r="M46" s="3">
        <v>49</v>
      </c>
      <c r="N46" s="3" t="s">
        <v>262</v>
      </c>
      <c r="P46" s="3">
        <v>49</v>
      </c>
      <c r="AM46" s="3">
        <v>27</v>
      </c>
      <c r="BK46" s="3">
        <v>55</v>
      </c>
      <c r="BM46" s="3">
        <v>135</v>
      </c>
      <c r="BX46" s="3">
        <v>27</v>
      </c>
      <c r="CC46" s="3">
        <v>13</v>
      </c>
      <c r="CD46" s="3">
        <v>1</v>
      </c>
      <c r="DL46" s="3">
        <v>8</v>
      </c>
      <c r="DM46" s="3">
        <v>18</v>
      </c>
      <c r="DO46" s="3">
        <v>1</v>
      </c>
      <c r="DQ46" s="3">
        <v>26</v>
      </c>
      <c r="DS46" s="3">
        <v>9</v>
      </c>
      <c r="DX46" s="3">
        <v>23</v>
      </c>
      <c r="EI46" s="3">
        <v>1</v>
      </c>
      <c r="EJ46" s="3">
        <v>16</v>
      </c>
      <c r="EP46" s="3">
        <v>5</v>
      </c>
      <c r="ER46" s="3">
        <v>108</v>
      </c>
      <c r="FG46" s="3">
        <v>1</v>
      </c>
      <c r="FM46" s="3">
        <v>50</v>
      </c>
      <c r="FS46" s="3">
        <v>597</v>
      </c>
      <c r="FV46" s="3">
        <v>2</v>
      </c>
      <c r="FX46" s="3"/>
      <c r="FY46" s="3">
        <v>2</v>
      </c>
      <c r="GE46" s="3">
        <v>3</v>
      </c>
      <c r="GF46" s="3">
        <v>1</v>
      </c>
      <c r="GH46" s="3">
        <f t="shared" si="0"/>
        <v>23</v>
      </c>
      <c r="GI46" s="3">
        <f t="shared" si="1"/>
        <v>18</v>
      </c>
      <c r="GJ46" s="3">
        <f t="shared" si="2"/>
        <v>15</v>
      </c>
      <c r="GK46" s="3">
        <f t="shared" si="3"/>
        <v>1129</v>
      </c>
      <c r="GL46" s="3">
        <f t="shared" si="4"/>
        <v>1225</v>
      </c>
      <c r="GM46" s="3">
        <f t="shared" si="5"/>
        <v>96</v>
      </c>
    </row>
    <row r="47" spans="1:195" ht="15.75" customHeight="1" x14ac:dyDescent="0.15">
      <c r="A47" s="13">
        <v>39220</v>
      </c>
      <c r="B47" s="3" t="s">
        <v>219</v>
      </c>
      <c r="C47" s="16">
        <f t="shared" si="6"/>
        <v>43</v>
      </c>
      <c r="D47" s="3">
        <v>21.295798999999999</v>
      </c>
      <c r="E47" s="3">
        <v>-158.10369900000001</v>
      </c>
      <c r="F47" s="3" t="s">
        <v>197</v>
      </c>
      <c r="G47" s="14">
        <v>0</v>
      </c>
      <c r="H47" s="14">
        <v>4.1666666666666664E-2</v>
      </c>
      <c r="I47" s="3">
        <v>5</v>
      </c>
      <c r="J47" s="3">
        <v>30</v>
      </c>
      <c r="K47" s="3" t="s">
        <v>237</v>
      </c>
      <c r="L47" s="3">
        <v>7</v>
      </c>
      <c r="M47" s="3">
        <v>28</v>
      </c>
      <c r="N47" s="3" t="s">
        <v>263</v>
      </c>
      <c r="P47" s="3">
        <v>28</v>
      </c>
      <c r="R47" s="3">
        <v>24</v>
      </c>
      <c r="AM47" s="3">
        <v>1</v>
      </c>
      <c r="BB47" s="3">
        <v>5</v>
      </c>
      <c r="BM47" s="3">
        <v>19</v>
      </c>
      <c r="BT47" s="3">
        <v>2</v>
      </c>
      <c r="BW47" s="3">
        <v>13</v>
      </c>
      <c r="BX47" s="3">
        <v>4</v>
      </c>
      <c r="CC47" s="3">
        <v>1</v>
      </c>
      <c r="DD47" s="3">
        <v>1</v>
      </c>
      <c r="DE47" s="3">
        <v>3</v>
      </c>
      <c r="DH47" s="3">
        <v>2</v>
      </c>
      <c r="DL47" s="3">
        <v>4</v>
      </c>
      <c r="DM47" s="3">
        <v>28</v>
      </c>
      <c r="DS47" s="3">
        <v>6</v>
      </c>
      <c r="DU47" s="3"/>
      <c r="DV47" s="3">
        <v>3</v>
      </c>
      <c r="EC47" s="3">
        <v>6</v>
      </c>
      <c r="EJ47" s="3">
        <v>196</v>
      </c>
      <c r="EW47" s="3">
        <v>1</v>
      </c>
      <c r="FB47" s="3">
        <v>28</v>
      </c>
      <c r="FC47" s="3">
        <v>1</v>
      </c>
      <c r="FH47" s="3">
        <v>1</v>
      </c>
      <c r="FM47" s="3">
        <v>2</v>
      </c>
      <c r="FS47" s="3">
        <v>189</v>
      </c>
      <c r="GE47" s="3">
        <v>1</v>
      </c>
      <c r="GF47" s="3">
        <v>3</v>
      </c>
      <c r="GH47" s="3">
        <f t="shared" si="0"/>
        <v>25</v>
      </c>
      <c r="GI47" s="3">
        <f t="shared" si="1"/>
        <v>18</v>
      </c>
      <c r="GJ47" s="3">
        <f t="shared" si="2"/>
        <v>10</v>
      </c>
      <c r="GK47" s="3">
        <f t="shared" si="3"/>
        <v>544</v>
      </c>
      <c r="GL47" s="3">
        <f t="shared" si="4"/>
        <v>700</v>
      </c>
      <c r="GM47" s="3">
        <f t="shared" si="5"/>
        <v>156</v>
      </c>
    </row>
    <row r="48" spans="1:195" ht="15.75" customHeight="1" x14ac:dyDescent="0.15">
      <c r="A48" s="13">
        <v>39501</v>
      </c>
      <c r="B48" s="3" t="s">
        <v>250</v>
      </c>
      <c r="C48" s="16">
        <f t="shared" si="6"/>
        <v>44</v>
      </c>
      <c r="D48" s="3">
        <v>21.410399999999999</v>
      </c>
      <c r="E48" s="3">
        <v>-158.17770400000001</v>
      </c>
      <c r="F48" s="3" t="s">
        <v>197</v>
      </c>
      <c r="G48" s="14">
        <v>0</v>
      </c>
      <c r="H48" s="14">
        <v>4.1666666666666664E-2</v>
      </c>
      <c r="I48" s="3">
        <v>4</v>
      </c>
      <c r="J48" s="3">
        <v>21</v>
      </c>
      <c r="K48" s="3" t="s">
        <v>217</v>
      </c>
      <c r="L48" s="3">
        <v>11</v>
      </c>
      <c r="M48" s="3">
        <v>41</v>
      </c>
      <c r="N48" s="3" t="s">
        <v>264</v>
      </c>
      <c r="P48" s="3">
        <v>41</v>
      </c>
      <c r="R48" s="3">
        <v>272</v>
      </c>
      <c r="Y48" s="3"/>
      <c r="Z48" s="3">
        <v>1</v>
      </c>
      <c r="AM48" s="3">
        <v>3</v>
      </c>
      <c r="AR48" s="3">
        <v>1</v>
      </c>
      <c r="AX48" s="3">
        <v>19</v>
      </c>
      <c r="BH48" s="3">
        <v>2</v>
      </c>
      <c r="BM48" s="3">
        <v>24</v>
      </c>
      <c r="BQ48" s="3">
        <v>77</v>
      </c>
      <c r="BV48" s="3">
        <v>11</v>
      </c>
      <c r="BZ48" s="3">
        <v>75</v>
      </c>
      <c r="CC48" s="3">
        <v>37</v>
      </c>
      <c r="CD48" s="3">
        <v>28</v>
      </c>
      <c r="CJ48" s="3">
        <v>2</v>
      </c>
      <c r="CK48" s="3">
        <v>24</v>
      </c>
      <c r="DD48" s="3">
        <v>14</v>
      </c>
      <c r="DF48" s="3">
        <v>2</v>
      </c>
      <c r="DM48" s="3">
        <v>16</v>
      </c>
      <c r="DS48" s="3">
        <v>18</v>
      </c>
      <c r="EJ48" s="3">
        <v>1</v>
      </c>
      <c r="EV48" s="3">
        <v>75</v>
      </c>
      <c r="FM48" s="3">
        <v>1</v>
      </c>
      <c r="FS48" s="3">
        <v>136</v>
      </c>
      <c r="FT48" s="3">
        <v>31</v>
      </c>
      <c r="GH48" s="3">
        <f t="shared" si="0"/>
        <v>23</v>
      </c>
      <c r="GI48" s="3">
        <f t="shared" si="1"/>
        <v>19</v>
      </c>
      <c r="GJ48" s="3">
        <f t="shared" si="2"/>
        <v>15</v>
      </c>
      <c r="GK48" s="3">
        <f t="shared" si="3"/>
        <v>870</v>
      </c>
      <c r="GL48" s="3">
        <f t="shared" si="4"/>
        <v>1025</v>
      </c>
      <c r="GM48" s="3">
        <f t="shared" si="5"/>
        <v>155</v>
      </c>
    </row>
    <row r="49" spans="1:217" ht="15.75" customHeight="1" x14ac:dyDescent="0.15">
      <c r="A49" s="13">
        <v>42420</v>
      </c>
      <c r="B49" s="3" t="s">
        <v>216</v>
      </c>
      <c r="C49" s="16">
        <f t="shared" si="6"/>
        <v>45</v>
      </c>
      <c r="D49" s="3">
        <v>21.3002</v>
      </c>
      <c r="E49" s="3">
        <v>-157.882599</v>
      </c>
      <c r="F49" s="3" t="s">
        <v>197</v>
      </c>
      <c r="G49" s="14">
        <v>0.36388888888888887</v>
      </c>
      <c r="H49" s="14">
        <v>0.43055555555555558</v>
      </c>
      <c r="I49" s="3">
        <v>7</v>
      </c>
      <c r="J49" s="3">
        <v>25</v>
      </c>
      <c r="K49" s="3" t="s">
        <v>198</v>
      </c>
      <c r="L49" s="3">
        <v>13</v>
      </c>
      <c r="M49" s="3">
        <v>75</v>
      </c>
      <c r="N49" s="3" t="s">
        <v>265</v>
      </c>
      <c r="P49" s="3">
        <v>75</v>
      </c>
      <c r="R49" s="3">
        <v>1</v>
      </c>
      <c r="S49" s="3">
        <v>1</v>
      </c>
      <c r="AB49" s="3">
        <v>341</v>
      </c>
      <c r="AC49" s="3">
        <v>7</v>
      </c>
      <c r="AE49" s="3">
        <v>1</v>
      </c>
      <c r="AG49" s="3">
        <v>13</v>
      </c>
      <c r="AH49" s="3">
        <v>3</v>
      </c>
      <c r="AI49" s="3">
        <v>8</v>
      </c>
      <c r="AM49" s="3">
        <v>171</v>
      </c>
      <c r="AX49" s="3">
        <v>1</v>
      </c>
      <c r="BE49" s="3">
        <v>9</v>
      </c>
      <c r="BK49" s="3">
        <v>1</v>
      </c>
      <c r="BM49" s="3">
        <v>113</v>
      </c>
      <c r="BN49" s="3">
        <v>35</v>
      </c>
      <c r="BQ49" s="3">
        <v>10</v>
      </c>
      <c r="BV49" s="3">
        <v>11</v>
      </c>
      <c r="BZ49" s="3">
        <v>1</v>
      </c>
      <c r="CC49" s="3">
        <v>3</v>
      </c>
      <c r="CV49" s="3">
        <v>1</v>
      </c>
      <c r="CW49" s="3">
        <v>1</v>
      </c>
      <c r="CX49" s="3">
        <v>1</v>
      </c>
      <c r="DG49" s="3">
        <v>3</v>
      </c>
      <c r="DN49" s="3">
        <v>9</v>
      </c>
      <c r="DO49" s="3">
        <v>1</v>
      </c>
      <c r="DQ49" s="3">
        <v>66</v>
      </c>
      <c r="EC49" s="3">
        <v>15</v>
      </c>
      <c r="EJ49" s="3">
        <v>32</v>
      </c>
      <c r="FF49" s="3">
        <v>1</v>
      </c>
      <c r="FJ49" s="3"/>
      <c r="FK49" s="3"/>
      <c r="FL49" s="3">
        <v>1</v>
      </c>
      <c r="FQ49" s="3">
        <v>7</v>
      </c>
      <c r="FS49" s="3">
        <v>495</v>
      </c>
      <c r="FU49" s="3">
        <v>8</v>
      </c>
      <c r="GH49" s="3">
        <f t="shared" si="0"/>
        <v>32</v>
      </c>
      <c r="GI49" s="3">
        <f t="shared" si="1"/>
        <v>20</v>
      </c>
      <c r="GJ49" s="3">
        <f t="shared" si="2"/>
        <v>17</v>
      </c>
      <c r="GK49" s="3">
        <f t="shared" si="3"/>
        <v>1371</v>
      </c>
      <c r="GL49" s="3">
        <f t="shared" si="4"/>
        <v>1875</v>
      </c>
      <c r="GM49" s="3">
        <f t="shared" si="5"/>
        <v>504</v>
      </c>
    </row>
    <row r="50" spans="1:217" ht="15.75" customHeight="1" x14ac:dyDescent="0.15">
      <c r="A50" s="13">
        <v>42427</v>
      </c>
      <c r="B50" s="3" t="s">
        <v>266</v>
      </c>
      <c r="C50" s="16">
        <f t="shared" si="6"/>
        <v>46</v>
      </c>
      <c r="D50" s="3">
        <v>22.060683999999998</v>
      </c>
      <c r="E50" s="3">
        <v>-159.318512</v>
      </c>
      <c r="F50" s="3" t="s">
        <v>197</v>
      </c>
      <c r="G50" s="14">
        <v>0.4826388888888889</v>
      </c>
      <c r="H50" s="14">
        <v>0.54166666666666663</v>
      </c>
      <c r="I50" s="3">
        <v>3</v>
      </c>
      <c r="J50" s="3">
        <v>16</v>
      </c>
      <c r="K50" s="3" t="s">
        <v>198</v>
      </c>
      <c r="L50" s="3">
        <v>15</v>
      </c>
      <c r="M50" s="3">
        <v>40</v>
      </c>
      <c r="N50" s="3" t="s">
        <v>267</v>
      </c>
      <c r="P50" s="3">
        <v>40</v>
      </c>
      <c r="R50" s="3">
        <v>6</v>
      </c>
      <c r="T50" s="3">
        <v>1</v>
      </c>
      <c r="W50" s="3"/>
      <c r="X50" s="3">
        <v>1</v>
      </c>
      <c r="AB50" s="3">
        <v>10</v>
      </c>
      <c r="AC50" s="3">
        <v>6</v>
      </c>
      <c r="AD50" s="3">
        <v>1</v>
      </c>
      <c r="AG50" s="3">
        <v>2</v>
      </c>
      <c r="AI50" s="3">
        <v>2</v>
      </c>
      <c r="AM50" s="3">
        <v>26</v>
      </c>
      <c r="AX50" s="3">
        <v>8</v>
      </c>
      <c r="BB50" s="3">
        <v>24</v>
      </c>
      <c r="BN50" s="3">
        <v>449</v>
      </c>
      <c r="BV50" s="3">
        <v>7</v>
      </c>
      <c r="DG50" s="3">
        <v>7</v>
      </c>
      <c r="DM50" s="3">
        <v>3</v>
      </c>
      <c r="DO50" s="3">
        <v>4</v>
      </c>
      <c r="DU50" s="3"/>
      <c r="DV50" s="3">
        <v>5</v>
      </c>
      <c r="EJ50" s="3">
        <v>77</v>
      </c>
      <c r="EN50" s="3">
        <v>4</v>
      </c>
      <c r="FB50" s="3">
        <v>21</v>
      </c>
      <c r="FI50" s="3">
        <v>8</v>
      </c>
      <c r="FR50" s="3">
        <v>35</v>
      </c>
      <c r="FS50" s="3">
        <v>12</v>
      </c>
      <c r="FX50" s="3"/>
      <c r="FY50" s="3">
        <v>15</v>
      </c>
      <c r="GH50" s="3">
        <f t="shared" si="0"/>
        <v>24</v>
      </c>
      <c r="GI50" s="3">
        <f t="shared" si="1"/>
        <v>21</v>
      </c>
      <c r="GJ50" s="3">
        <f t="shared" si="2"/>
        <v>16</v>
      </c>
      <c r="GK50" s="3">
        <f t="shared" si="3"/>
        <v>734</v>
      </c>
      <c r="GL50" s="3">
        <f t="shared" si="4"/>
        <v>1000</v>
      </c>
      <c r="GM50" s="3">
        <f t="shared" si="5"/>
        <v>266</v>
      </c>
    </row>
    <row r="51" spans="1:217" ht="15.75" customHeight="1" x14ac:dyDescent="0.15">
      <c r="A51" s="13">
        <v>42428</v>
      </c>
      <c r="B51" s="3" t="s">
        <v>266</v>
      </c>
      <c r="C51" s="16">
        <f t="shared" si="6"/>
        <v>47</v>
      </c>
      <c r="D51" s="3">
        <v>22.060683999999998</v>
      </c>
      <c r="E51" s="3">
        <v>-159.318512</v>
      </c>
      <c r="F51" s="3" t="s">
        <v>197</v>
      </c>
      <c r="G51" s="14">
        <v>0.48958333333333331</v>
      </c>
      <c r="H51" s="14">
        <v>0.5625</v>
      </c>
      <c r="I51" s="3">
        <v>3</v>
      </c>
      <c r="J51" s="3">
        <v>21</v>
      </c>
      <c r="K51" s="3" t="s">
        <v>198</v>
      </c>
      <c r="L51" s="3">
        <v>15</v>
      </c>
      <c r="M51" s="3">
        <v>43</v>
      </c>
      <c r="N51" s="3" t="s">
        <v>268</v>
      </c>
      <c r="P51" s="3">
        <v>43</v>
      </c>
      <c r="R51" s="3">
        <v>4</v>
      </c>
      <c r="T51" s="3">
        <v>26</v>
      </c>
      <c r="AB51" s="3">
        <v>6</v>
      </c>
      <c r="AD51" s="3">
        <v>4</v>
      </c>
      <c r="AM51" s="3">
        <v>30</v>
      </c>
      <c r="AX51" s="3">
        <v>1</v>
      </c>
      <c r="AZ51" s="3">
        <v>2</v>
      </c>
      <c r="BB51" s="3">
        <v>30</v>
      </c>
      <c r="BM51" s="3">
        <v>19</v>
      </c>
      <c r="BN51" s="3">
        <v>503</v>
      </c>
      <c r="BO51" s="3"/>
      <c r="BP51" s="3">
        <v>1</v>
      </c>
      <c r="BQ51" s="3">
        <v>1</v>
      </c>
      <c r="BV51" s="3">
        <v>5</v>
      </c>
      <c r="BZ51" s="3">
        <v>3</v>
      </c>
      <c r="CK51" s="3">
        <v>4</v>
      </c>
      <c r="DG51" s="3">
        <v>3</v>
      </c>
      <c r="DM51" s="3">
        <v>6</v>
      </c>
      <c r="DU51" s="3"/>
      <c r="DV51" s="3">
        <v>40</v>
      </c>
      <c r="EJ51" s="3">
        <v>43</v>
      </c>
      <c r="FB51" s="3">
        <v>6</v>
      </c>
      <c r="FC51" s="3">
        <v>1</v>
      </c>
      <c r="FI51" s="3">
        <v>19</v>
      </c>
      <c r="FR51" s="3">
        <v>6</v>
      </c>
      <c r="FS51" s="3">
        <v>26</v>
      </c>
      <c r="GH51" s="3">
        <f t="shared" si="0"/>
        <v>24</v>
      </c>
      <c r="GI51" s="3">
        <f t="shared" si="1"/>
        <v>20</v>
      </c>
      <c r="GJ51" s="3">
        <f t="shared" si="2"/>
        <v>14</v>
      </c>
      <c r="GK51" s="3">
        <f t="shared" si="3"/>
        <v>789</v>
      </c>
      <c r="GL51" s="3">
        <f t="shared" si="4"/>
        <v>1075</v>
      </c>
      <c r="GM51" s="3">
        <f t="shared" si="5"/>
        <v>286</v>
      </c>
    </row>
    <row r="52" spans="1:217" ht="15.75" customHeight="1" x14ac:dyDescent="0.15">
      <c r="A52" s="19">
        <v>42428</v>
      </c>
      <c r="B52" s="20" t="s">
        <v>201</v>
      </c>
      <c r="C52" s="16"/>
      <c r="D52" s="20">
        <v>21.25544</v>
      </c>
      <c r="E52" s="20">
        <v>-157.810303</v>
      </c>
      <c r="F52" s="20" t="s">
        <v>197</v>
      </c>
      <c r="G52" s="21"/>
      <c r="H52" s="21"/>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c r="DV52" s="20"/>
      <c r="DW52" s="20"/>
      <c r="DX52" s="20"/>
      <c r="DY52" s="20"/>
      <c r="DZ52" s="20"/>
      <c r="EA52" s="20"/>
      <c r="EB52" s="20"/>
      <c r="EC52" s="20"/>
      <c r="ED52" s="20"/>
      <c r="EE52" s="20"/>
      <c r="EF52" s="20"/>
      <c r="EG52" s="20"/>
      <c r="EH52" s="20"/>
      <c r="EI52" s="20"/>
      <c r="EJ52" s="20"/>
      <c r="EK52" s="20"/>
      <c r="EL52" s="20"/>
      <c r="EM52" s="20"/>
      <c r="EN52" s="20"/>
      <c r="EO52" s="20"/>
      <c r="EP52" s="20"/>
      <c r="EQ52" s="20"/>
      <c r="ER52" s="20"/>
      <c r="ES52" s="20"/>
      <c r="ET52" s="20"/>
      <c r="EU52" s="20"/>
      <c r="EV52" s="20"/>
      <c r="EW52" s="20"/>
      <c r="EX52" s="20"/>
      <c r="EY52" s="20"/>
      <c r="EZ52" s="20"/>
      <c r="FA52" s="20"/>
      <c r="FB52" s="20"/>
      <c r="FC52" s="20"/>
      <c r="FD52" s="20"/>
      <c r="FE52" s="20"/>
      <c r="FF52" s="20"/>
      <c r="FG52" s="20"/>
      <c r="FH52" s="20"/>
      <c r="FI52" s="20"/>
      <c r="FJ52" s="20"/>
      <c r="FK52" s="20"/>
      <c r="FL52" s="20"/>
      <c r="FM52" s="20"/>
      <c r="FN52" s="20"/>
      <c r="FO52" s="20"/>
      <c r="FP52" s="20"/>
      <c r="FQ52" s="20"/>
      <c r="FR52" s="20"/>
      <c r="FS52" s="20"/>
      <c r="FT52" s="20"/>
      <c r="FU52" s="20"/>
      <c r="FV52" s="20"/>
      <c r="FW52" s="20"/>
      <c r="FX52" s="20"/>
      <c r="FY52" s="20"/>
      <c r="FZ52" s="20"/>
      <c r="GA52" s="20"/>
      <c r="GB52" s="20"/>
      <c r="GC52" s="20"/>
      <c r="GD52" s="20"/>
      <c r="GE52" s="20"/>
      <c r="GF52" s="20"/>
      <c r="GG52" s="20"/>
      <c r="GH52" s="20"/>
      <c r="GI52" s="20"/>
      <c r="GJ52" s="20"/>
      <c r="GK52" s="20"/>
      <c r="GL52" s="20"/>
      <c r="GM52" s="20"/>
      <c r="GN52" s="20"/>
      <c r="GO52" s="20"/>
      <c r="GP52" s="20"/>
      <c r="GQ52" s="20"/>
      <c r="GR52" s="20"/>
      <c r="GS52" s="20"/>
      <c r="GT52" s="20"/>
      <c r="GU52" s="20"/>
      <c r="GV52" s="20"/>
      <c r="GW52" s="20"/>
      <c r="GX52" s="20"/>
      <c r="GY52" s="20"/>
      <c r="GZ52" s="20"/>
      <c r="HA52" s="20"/>
      <c r="HB52" s="20"/>
      <c r="HC52" s="20"/>
      <c r="HD52" s="20"/>
      <c r="HE52" s="20"/>
      <c r="HF52" s="20"/>
      <c r="HG52" s="20"/>
      <c r="HH52" s="20"/>
      <c r="HI52" s="20"/>
    </row>
    <row r="53" spans="1:217" ht="15.75" customHeight="1" x14ac:dyDescent="0.15">
      <c r="A53" s="19">
        <v>42435</v>
      </c>
      <c r="B53" s="20" t="s">
        <v>216</v>
      </c>
      <c r="C53" s="16"/>
      <c r="D53" s="20">
        <v>21.3002</v>
      </c>
      <c r="E53" s="20">
        <v>-157.882599</v>
      </c>
      <c r="F53" s="20" t="s">
        <v>197</v>
      </c>
      <c r="G53" s="21"/>
      <c r="H53" s="21"/>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20"/>
      <c r="DM53" s="20"/>
      <c r="DN53" s="20"/>
      <c r="DO53" s="20"/>
      <c r="DP53" s="20"/>
      <c r="DQ53" s="20"/>
      <c r="DR53" s="20"/>
      <c r="DS53" s="20"/>
      <c r="DT53" s="20"/>
      <c r="DU53" s="20"/>
      <c r="DV53" s="20"/>
      <c r="DW53" s="20"/>
      <c r="DX53" s="20"/>
      <c r="DY53" s="20"/>
      <c r="DZ53" s="20"/>
      <c r="EA53" s="20"/>
      <c r="EB53" s="20"/>
      <c r="EC53" s="20"/>
      <c r="ED53" s="20"/>
      <c r="EE53" s="20"/>
      <c r="EF53" s="20"/>
      <c r="EG53" s="20"/>
      <c r="EH53" s="20"/>
      <c r="EI53" s="20"/>
      <c r="EJ53" s="20"/>
      <c r="EK53" s="20"/>
      <c r="EL53" s="20"/>
      <c r="EM53" s="20"/>
      <c r="EN53" s="20"/>
      <c r="EO53" s="20"/>
      <c r="EP53" s="20"/>
      <c r="EQ53" s="20"/>
      <c r="ER53" s="20"/>
      <c r="ES53" s="20"/>
      <c r="ET53" s="20"/>
      <c r="EU53" s="20"/>
      <c r="EV53" s="20"/>
      <c r="EW53" s="20"/>
      <c r="EX53" s="20"/>
      <c r="EY53" s="20"/>
      <c r="EZ53" s="20"/>
      <c r="FA53" s="20"/>
      <c r="FB53" s="20"/>
      <c r="FC53" s="20"/>
      <c r="FD53" s="20"/>
      <c r="FE53" s="20"/>
      <c r="FF53" s="20"/>
      <c r="FG53" s="20"/>
      <c r="FH53" s="20"/>
      <c r="FI53" s="20"/>
      <c r="FJ53" s="20"/>
      <c r="FK53" s="20"/>
      <c r="FL53" s="20"/>
      <c r="FM53" s="20"/>
      <c r="FN53" s="20"/>
      <c r="FO53" s="20"/>
      <c r="FP53" s="20"/>
      <c r="FQ53" s="20"/>
      <c r="FR53" s="20"/>
      <c r="FS53" s="20"/>
      <c r="FT53" s="20"/>
      <c r="FU53" s="20"/>
      <c r="FV53" s="20"/>
      <c r="FW53" s="20"/>
      <c r="FX53" s="20"/>
      <c r="FY53" s="20"/>
      <c r="FZ53" s="20"/>
      <c r="GA53" s="20"/>
      <c r="GB53" s="20"/>
      <c r="GC53" s="20"/>
      <c r="GD53" s="20"/>
      <c r="GE53" s="20"/>
      <c r="GF53" s="20"/>
      <c r="GG53" s="20"/>
      <c r="GH53" s="20"/>
      <c r="GI53" s="20"/>
      <c r="GJ53" s="20"/>
      <c r="GK53" s="20"/>
      <c r="GL53" s="20"/>
      <c r="GM53" s="20"/>
      <c r="GN53" s="20"/>
      <c r="GO53" s="20"/>
      <c r="GP53" s="20"/>
      <c r="GQ53" s="20"/>
      <c r="GR53" s="20"/>
      <c r="GS53" s="20"/>
      <c r="GT53" s="20"/>
      <c r="GU53" s="20"/>
      <c r="GV53" s="20"/>
      <c r="GW53" s="20"/>
      <c r="GX53" s="20"/>
      <c r="GY53" s="20"/>
      <c r="GZ53" s="20"/>
      <c r="HA53" s="20"/>
      <c r="HB53" s="20"/>
      <c r="HC53" s="20"/>
      <c r="HD53" s="20"/>
      <c r="HE53" s="20"/>
      <c r="HF53" s="20"/>
      <c r="HG53" s="20"/>
      <c r="HH53" s="20"/>
      <c r="HI53" s="20"/>
    </row>
    <row r="54" spans="1:217" ht="15.75" customHeight="1" x14ac:dyDescent="0.15">
      <c r="A54" s="24">
        <v>42437</v>
      </c>
      <c r="B54" s="25" t="s">
        <v>219</v>
      </c>
      <c r="C54" s="16">
        <v>48</v>
      </c>
      <c r="D54" s="25">
        <v>21.295798999999999</v>
      </c>
      <c r="E54" s="25">
        <v>-158.10369900000001</v>
      </c>
      <c r="F54" s="25" t="s">
        <v>269</v>
      </c>
      <c r="G54" s="26">
        <v>0.4201388888888889</v>
      </c>
      <c r="H54" s="26">
        <v>0.47222222222222221</v>
      </c>
      <c r="I54" s="25">
        <v>7</v>
      </c>
      <c r="J54" s="25">
        <v>20</v>
      </c>
      <c r="K54" s="25" t="s">
        <v>198</v>
      </c>
      <c r="L54" s="25">
        <v>8</v>
      </c>
      <c r="M54" s="25">
        <v>44</v>
      </c>
      <c r="N54" s="25" t="s">
        <v>270</v>
      </c>
      <c r="O54" s="25"/>
      <c r="P54" s="25"/>
      <c r="Q54" s="25"/>
      <c r="R54" s="25">
        <v>61</v>
      </c>
      <c r="S54" s="25"/>
      <c r="T54" s="25"/>
      <c r="U54" s="25"/>
      <c r="V54" s="25"/>
      <c r="W54" s="25">
        <v>1</v>
      </c>
      <c r="X54" s="25"/>
      <c r="Y54" s="25"/>
      <c r="Z54" s="25"/>
      <c r="AA54" s="25"/>
      <c r="AB54" s="25"/>
      <c r="AC54" s="25">
        <v>2</v>
      </c>
      <c r="AD54" s="25"/>
      <c r="AE54" s="25"/>
      <c r="AF54" s="25"/>
      <c r="AG54" s="25"/>
      <c r="AH54" s="25"/>
      <c r="AI54" s="25"/>
      <c r="AJ54" s="25"/>
      <c r="AK54" s="25"/>
      <c r="AL54" s="25"/>
      <c r="AM54" s="25">
        <v>27</v>
      </c>
      <c r="AN54" s="25"/>
      <c r="AO54" s="25"/>
      <c r="AP54" s="25"/>
      <c r="AQ54" s="25"/>
      <c r="AR54" s="25"/>
      <c r="AS54" s="25"/>
      <c r="AT54" s="25"/>
      <c r="AU54" s="25"/>
      <c r="AV54" s="25"/>
      <c r="AW54" s="25"/>
      <c r="AX54" s="25"/>
      <c r="AY54" s="25"/>
      <c r="AZ54" s="25"/>
      <c r="BA54" s="25"/>
      <c r="BB54" s="25"/>
      <c r="BC54" s="25"/>
      <c r="BD54" s="25"/>
      <c r="BE54" s="25">
        <v>17</v>
      </c>
      <c r="BF54" s="25"/>
      <c r="BG54" s="25"/>
      <c r="BH54" s="25"/>
      <c r="BI54" s="25"/>
      <c r="BJ54" s="25"/>
      <c r="BK54" s="25">
        <v>79</v>
      </c>
      <c r="BL54" s="25"/>
      <c r="BM54" s="25">
        <v>12</v>
      </c>
      <c r="BN54" s="25"/>
      <c r="BO54" s="25"/>
      <c r="BP54" s="25"/>
      <c r="BQ54" s="25"/>
      <c r="BR54" s="25"/>
      <c r="BS54" s="25"/>
      <c r="BT54" s="25"/>
      <c r="BU54" s="25"/>
      <c r="BV54" s="25">
        <v>2</v>
      </c>
      <c r="BW54" s="25"/>
      <c r="BX54" s="25"/>
      <c r="BY54" s="25"/>
      <c r="BZ54" s="25">
        <v>17</v>
      </c>
      <c r="CA54" s="25"/>
      <c r="CB54" s="25"/>
      <c r="CC54" s="25"/>
      <c r="CD54" s="25"/>
      <c r="CE54" s="25"/>
      <c r="CF54" s="25"/>
      <c r="CG54" s="25"/>
      <c r="CH54" s="25"/>
      <c r="CI54" s="25"/>
      <c r="CJ54" s="25"/>
      <c r="CK54" s="25"/>
      <c r="CL54" s="25"/>
      <c r="CM54" s="25"/>
      <c r="CN54" s="25"/>
      <c r="CO54" s="25">
        <v>2</v>
      </c>
      <c r="CP54" s="25"/>
      <c r="CQ54" s="25"/>
      <c r="CR54" s="25"/>
      <c r="CS54" s="25"/>
      <c r="CT54" s="25"/>
      <c r="CU54" s="25"/>
      <c r="CV54" s="25"/>
      <c r="CW54" s="25"/>
      <c r="CX54" s="25"/>
      <c r="CY54" s="25"/>
      <c r="CZ54" s="25"/>
      <c r="DA54" s="25"/>
      <c r="DB54" s="25"/>
      <c r="DC54" s="25"/>
      <c r="DD54" s="25"/>
      <c r="DE54" s="25"/>
      <c r="DF54" s="25"/>
      <c r="DG54" s="25">
        <v>2</v>
      </c>
      <c r="DH54" s="25"/>
      <c r="DI54" s="25"/>
      <c r="DJ54" s="25"/>
      <c r="DK54" s="25"/>
      <c r="DL54" s="25"/>
      <c r="DM54" s="25">
        <v>25</v>
      </c>
      <c r="DN54" s="25"/>
      <c r="DO54" s="25"/>
      <c r="DP54" s="25"/>
      <c r="DQ54" s="25"/>
      <c r="DR54" s="25"/>
      <c r="DS54" s="25"/>
      <c r="DT54" s="25"/>
      <c r="DU54" s="25"/>
      <c r="DV54" s="25"/>
      <c r="DW54" s="25"/>
      <c r="DX54" s="25"/>
      <c r="DY54" s="25"/>
      <c r="DZ54" s="25">
        <v>2</v>
      </c>
      <c r="EA54" s="25"/>
      <c r="EB54" s="25"/>
      <c r="EC54" s="25"/>
      <c r="ED54" s="25"/>
      <c r="EE54" s="25"/>
      <c r="EF54" s="25"/>
      <c r="EG54" s="25"/>
      <c r="EH54" s="25"/>
      <c r="EI54" s="25"/>
      <c r="EJ54" s="25">
        <v>380</v>
      </c>
      <c r="EK54" s="25"/>
      <c r="EL54" s="25"/>
      <c r="EM54" s="25"/>
      <c r="EN54" s="25"/>
      <c r="EO54" s="25"/>
      <c r="EP54" s="25"/>
      <c r="EQ54" s="25"/>
      <c r="ER54" s="25"/>
      <c r="ES54" s="25"/>
      <c r="ET54" s="25"/>
      <c r="EU54" s="25"/>
      <c r="EV54" s="25"/>
      <c r="EW54" s="25"/>
      <c r="EX54" s="25"/>
      <c r="EY54" s="25"/>
      <c r="EZ54" s="25"/>
      <c r="FA54" s="25"/>
      <c r="FB54" s="25">
        <v>60</v>
      </c>
      <c r="FC54" s="25"/>
      <c r="FD54" s="25"/>
      <c r="FE54" s="25"/>
      <c r="FF54" s="25">
        <v>3</v>
      </c>
      <c r="FG54" s="25"/>
      <c r="FH54" s="25"/>
      <c r="FI54" s="25"/>
      <c r="FJ54" s="25"/>
      <c r="FK54" s="25"/>
      <c r="FL54" s="25"/>
      <c r="FM54" s="25"/>
      <c r="FN54" s="25"/>
      <c r="FO54" s="25"/>
      <c r="FP54" s="25"/>
      <c r="FQ54" s="25"/>
      <c r="FR54" s="25">
        <v>12</v>
      </c>
      <c r="FS54" s="25">
        <v>52</v>
      </c>
      <c r="FT54" s="25">
        <v>4</v>
      </c>
      <c r="FU54" s="25"/>
      <c r="FV54" s="25"/>
      <c r="FW54" s="25"/>
      <c r="FX54" s="25"/>
      <c r="FY54" s="25"/>
      <c r="FZ54" s="25"/>
      <c r="GA54" s="25"/>
      <c r="GB54" s="25"/>
      <c r="GC54" s="25"/>
      <c r="GD54" s="25"/>
      <c r="GE54" s="25"/>
      <c r="GF54" s="25"/>
      <c r="GG54" s="25"/>
      <c r="GH54" s="25">
        <f t="shared" ref="GH54:GH62" si="7">COUNT(R54:GG54)</f>
        <v>19</v>
      </c>
      <c r="GI54" s="25">
        <f t="shared" ref="GI54:GI62" si="8">COUNTIF(R54:GG54,"&gt;=2")</f>
        <v>18</v>
      </c>
      <c r="GJ54" s="25">
        <f t="shared" ref="GJ54:GJ62" si="9">COUNTIF(R54:GG54,"&gt;=5")</f>
        <v>11</v>
      </c>
      <c r="GK54" s="25">
        <f t="shared" ref="GK54:GK62" si="10">SUM(R54:GG54)</f>
        <v>760</v>
      </c>
      <c r="GL54" s="25">
        <f t="shared" ref="GL54:GL62" si="11">25*P54</f>
        <v>0</v>
      </c>
      <c r="GM54" s="25">
        <f t="shared" ref="GM54:GM62" si="12">GL54-GK54</f>
        <v>-760</v>
      </c>
      <c r="GN54" s="25"/>
      <c r="GO54" s="25"/>
      <c r="GP54" s="25"/>
      <c r="GQ54" s="25"/>
      <c r="GR54" s="25"/>
      <c r="GS54" s="25"/>
      <c r="GT54" s="25"/>
      <c r="GU54" s="25"/>
      <c r="GV54" s="25"/>
      <c r="GW54" s="25"/>
      <c r="GX54" s="25"/>
      <c r="GY54" s="25"/>
      <c r="GZ54" s="25"/>
      <c r="HA54" s="25"/>
      <c r="HB54" s="25"/>
      <c r="HC54" s="25"/>
      <c r="HD54" s="25"/>
      <c r="HE54" s="25"/>
      <c r="HF54" s="25"/>
      <c r="HG54" s="25"/>
      <c r="HH54" s="25"/>
      <c r="HI54" s="25"/>
    </row>
    <row r="55" spans="1:217" ht="15.75" customHeight="1" x14ac:dyDescent="0.15">
      <c r="A55" s="13">
        <v>42439</v>
      </c>
      <c r="B55" s="3" t="s">
        <v>216</v>
      </c>
      <c r="C55" s="16">
        <f t="shared" ref="C55:C150" si="13">C54+1</f>
        <v>49</v>
      </c>
      <c r="D55" s="3">
        <v>21.3002</v>
      </c>
      <c r="E55" s="3">
        <v>-157.882599</v>
      </c>
      <c r="F55" s="3" t="s">
        <v>272</v>
      </c>
      <c r="G55" s="14">
        <v>0.43194444444444446</v>
      </c>
      <c r="H55" s="14">
        <v>0.47986111111111113</v>
      </c>
      <c r="I55" s="3">
        <v>7</v>
      </c>
      <c r="J55" s="3">
        <v>21</v>
      </c>
      <c r="K55" s="3" t="s">
        <v>198</v>
      </c>
      <c r="L55" s="3">
        <v>6</v>
      </c>
      <c r="M55" s="3">
        <v>36</v>
      </c>
      <c r="N55" s="3" t="s">
        <v>273</v>
      </c>
      <c r="P55" s="3">
        <v>36</v>
      </c>
      <c r="AJ55" s="3"/>
      <c r="AK55" s="3">
        <v>4</v>
      </c>
      <c r="AL55" s="3">
        <v>4</v>
      </c>
      <c r="AM55" s="3">
        <v>21</v>
      </c>
      <c r="BE55" s="3">
        <v>2</v>
      </c>
      <c r="BM55" s="3">
        <v>1</v>
      </c>
      <c r="BN55" s="3">
        <v>2</v>
      </c>
      <c r="BQ55" s="3">
        <v>11</v>
      </c>
      <c r="BV55" s="3">
        <v>2</v>
      </c>
      <c r="CD55" s="3">
        <v>2</v>
      </c>
      <c r="CK55" s="3">
        <v>6</v>
      </c>
      <c r="CQ55" s="3">
        <v>1</v>
      </c>
      <c r="DG55" s="3">
        <v>2</v>
      </c>
      <c r="DI55" s="3">
        <v>1</v>
      </c>
      <c r="DQ55" s="3">
        <v>2</v>
      </c>
      <c r="EJ55" s="3">
        <v>14</v>
      </c>
      <c r="EU55" s="3">
        <v>3</v>
      </c>
      <c r="FB55" s="3">
        <v>6</v>
      </c>
      <c r="FF55" s="3">
        <v>1</v>
      </c>
      <c r="FJ55" s="3"/>
      <c r="FK55" s="3">
        <v>1</v>
      </c>
      <c r="FL55" s="3">
        <v>1</v>
      </c>
      <c r="FS55" s="3">
        <v>406</v>
      </c>
      <c r="GH55" s="3">
        <f t="shared" si="7"/>
        <v>21</v>
      </c>
      <c r="GI55" s="3">
        <f t="shared" si="8"/>
        <v>15</v>
      </c>
      <c r="GJ55" s="3">
        <f t="shared" si="9"/>
        <v>6</v>
      </c>
      <c r="GK55" s="3">
        <f t="shared" si="10"/>
        <v>493</v>
      </c>
      <c r="GL55" s="3">
        <f t="shared" si="11"/>
        <v>900</v>
      </c>
      <c r="GM55" s="3">
        <f t="shared" si="12"/>
        <v>407</v>
      </c>
    </row>
    <row r="56" spans="1:217" ht="15.75" customHeight="1" x14ac:dyDescent="0.15">
      <c r="A56" s="13">
        <v>42439</v>
      </c>
      <c r="B56" s="3" t="s">
        <v>266</v>
      </c>
      <c r="C56" s="16">
        <f t="shared" si="13"/>
        <v>50</v>
      </c>
      <c r="D56" s="3">
        <v>22.060683999999998</v>
      </c>
      <c r="E56" s="3">
        <v>-159.318512</v>
      </c>
      <c r="F56" s="3" t="s">
        <v>274</v>
      </c>
      <c r="G56" s="14">
        <v>0.375</v>
      </c>
      <c r="H56" s="14">
        <v>0.54166666666666663</v>
      </c>
      <c r="I56" s="3">
        <v>4</v>
      </c>
      <c r="J56" s="3">
        <v>11</v>
      </c>
      <c r="K56" s="3" t="s">
        <v>198</v>
      </c>
      <c r="L56" s="3">
        <v>10</v>
      </c>
      <c r="M56" s="3">
        <v>23</v>
      </c>
      <c r="N56" s="3" t="s">
        <v>275</v>
      </c>
      <c r="P56" s="3">
        <v>23</v>
      </c>
      <c r="R56" s="3">
        <v>2</v>
      </c>
      <c r="AC56" s="3">
        <v>3</v>
      </c>
      <c r="AL56" s="3">
        <v>3</v>
      </c>
      <c r="AM56" s="3">
        <v>8</v>
      </c>
      <c r="AN56" s="3">
        <v>25</v>
      </c>
      <c r="AU56" s="3">
        <v>1</v>
      </c>
      <c r="BE56" s="3">
        <v>3</v>
      </c>
      <c r="BH56" s="3">
        <v>4</v>
      </c>
      <c r="BK56" s="3">
        <v>1</v>
      </c>
      <c r="BM56" s="3">
        <v>3</v>
      </c>
      <c r="BV56" s="3">
        <v>17</v>
      </c>
      <c r="CS56" s="3">
        <v>2</v>
      </c>
      <c r="DG56" s="3">
        <v>12</v>
      </c>
      <c r="DM56" s="3">
        <v>93</v>
      </c>
      <c r="DU56" s="3"/>
      <c r="DV56" s="3">
        <v>1</v>
      </c>
      <c r="EJ56" s="3">
        <v>46</v>
      </c>
      <c r="EX56" s="3">
        <v>1</v>
      </c>
      <c r="FB56" s="3">
        <v>3</v>
      </c>
      <c r="FO56" s="3"/>
      <c r="FP56" s="3">
        <v>1</v>
      </c>
      <c r="FR56" s="3">
        <v>21</v>
      </c>
      <c r="FS56" s="3">
        <v>114</v>
      </c>
      <c r="GH56" s="3">
        <f t="shared" si="7"/>
        <v>21</v>
      </c>
      <c r="GI56" s="3">
        <f t="shared" si="8"/>
        <v>16</v>
      </c>
      <c r="GJ56" s="3">
        <f t="shared" si="9"/>
        <v>8</v>
      </c>
      <c r="GK56" s="3">
        <f t="shared" si="10"/>
        <v>364</v>
      </c>
      <c r="GL56" s="3">
        <f t="shared" si="11"/>
        <v>575</v>
      </c>
      <c r="GM56" s="3">
        <f t="shared" si="12"/>
        <v>211</v>
      </c>
    </row>
    <row r="57" spans="1:217" ht="15.75" customHeight="1" x14ac:dyDescent="0.15">
      <c r="A57" s="13">
        <v>42440</v>
      </c>
      <c r="B57" s="3" t="s">
        <v>246</v>
      </c>
      <c r="C57" s="16">
        <f t="shared" si="13"/>
        <v>51</v>
      </c>
      <c r="D57" s="3">
        <v>21.2882</v>
      </c>
      <c r="E57" s="3">
        <v>-157.66799900000001</v>
      </c>
      <c r="F57" s="3" t="s">
        <v>274</v>
      </c>
      <c r="G57" s="14">
        <v>0.42708333333333331</v>
      </c>
      <c r="H57" s="14">
        <v>0.47916666666666669</v>
      </c>
      <c r="I57" s="3">
        <v>5</v>
      </c>
      <c r="J57" s="3">
        <v>13</v>
      </c>
      <c r="K57" s="3" t="s">
        <v>198</v>
      </c>
      <c r="L57" s="3">
        <v>5</v>
      </c>
      <c r="M57" s="3">
        <v>18</v>
      </c>
      <c r="N57" s="3" t="s">
        <v>276</v>
      </c>
      <c r="P57" s="3">
        <v>18</v>
      </c>
      <c r="AB57" s="3">
        <v>18</v>
      </c>
      <c r="BB57" s="3">
        <v>18</v>
      </c>
      <c r="BM57" s="3">
        <v>32</v>
      </c>
      <c r="BZ57" s="3">
        <v>3</v>
      </c>
      <c r="DM57" s="3">
        <v>15</v>
      </c>
      <c r="EJ57" s="3">
        <v>4</v>
      </c>
      <c r="FR57" s="3">
        <v>1</v>
      </c>
      <c r="FS57" s="3">
        <v>132</v>
      </c>
      <c r="FV57" s="3"/>
      <c r="FW57" s="3">
        <v>33</v>
      </c>
      <c r="GH57" s="3">
        <f t="shared" si="7"/>
        <v>9</v>
      </c>
      <c r="GI57" s="3">
        <f t="shared" si="8"/>
        <v>8</v>
      </c>
      <c r="GJ57" s="3">
        <f t="shared" si="9"/>
        <v>6</v>
      </c>
      <c r="GK57" s="3">
        <f t="shared" si="10"/>
        <v>256</v>
      </c>
      <c r="GL57" s="3">
        <f t="shared" si="11"/>
        <v>450</v>
      </c>
      <c r="GM57" s="3">
        <f t="shared" si="12"/>
        <v>194</v>
      </c>
    </row>
    <row r="58" spans="1:217" ht="15.75" customHeight="1" x14ac:dyDescent="0.15">
      <c r="A58" s="13">
        <v>42443</v>
      </c>
      <c r="B58" s="3" t="s">
        <v>230</v>
      </c>
      <c r="C58" s="16">
        <f t="shared" si="13"/>
        <v>52</v>
      </c>
      <c r="D58" s="3">
        <v>20.753699999999998</v>
      </c>
      <c r="E58" s="3">
        <v>-156.46090699999999</v>
      </c>
      <c r="F58" s="3" t="s">
        <v>197</v>
      </c>
      <c r="G58" s="14">
        <v>0.55208333333333337</v>
      </c>
      <c r="H58" s="14">
        <v>0.625</v>
      </c>
      <c r="I58" s="3">
        <v>3</v>
      </c>
      <c r="J58" s="3">
        <v>15</v>
      </c>
      <c r="K58" s="3" t="s">
        <v>277</v>
      </c>
      <c r="L58" s="3">
        <v>10</v>
      </c>
      <c r="M58" s="3">
        <v>30</v>
      </c>
      <c r="P58" s="3">
        <v>30</v>
      </c>
      <c r="R58" s="3">
        <v>56</v>
      </c>
      <c r="AM58" s="3">
        <v>4</v>
      </c>
      <c r="BM58" s="3">
        <v>49</v>
      </c>
      <c r="BN58" s="3">
        <v>242</v>
      </c>
      <c r="CO58" s="3">
        <v>1</v>
      </c>
      <c r="DM58" s="3">
        <v>4</v>
      </c>
      <c r="EX58" s="3">
        <v>64</v>
      </c>
      <c r="FO58" s="3"/>
      <c r="FP58" s="3">
        <v>2</v>
      </c>
      <c r="FQ58" s="3">
        <v>1</v>
      </c>
      <c r="FS58" s="3">
        <v>132</v>
      </c>
      <c r="FT58" s="3">
        <v>2</v>
      </c>
      <c r="GH58" s="3">
        <f t="shared" si="7"/>
        <v>11</v>
      </c>
      <c r="GI58" s="3">
        <f t="shared" si="8"/>
        <v>9</v>
      </c>
      <c r="GJ58" s="3">
        <f t="shared" si="9"/>
        <v>5</v>
      </c>
      <c r="GK58" s="3">
        <f t="shared" si="10"/>
        <v>557</v>
      </c>
      <c r="GL58" s="3">
        <f t="shared" si="11"/>
        <v>750</v>
      </c>
      <c r="GM58" s="3">
        <f t="shared" si="12"/>
        <v>193</v>
      </c>
    </row>
    <row r="59" spans="1:217" ht="13" x14ac:dyDescent="0.15">
      <c r="A59" s="13">
        <v>42464</v>
      </c>
      <c r="B59" s="3" t="s">
        <v>244</v>
      </c>
      <c r="C59" s="16">
        <f t="shared" si="13"/>
        <v>53</v>
      </c>
      <c r="D59" s="3">
        <v>21.310611999999999</v>
      </c>
      <c r="E59" s="3">
        <v>-158.00441000000001</v>
      </c>
      <c r="F59" s="3" t="s">
        <v>278</v>
      </c>
      <c r="G59" s="14">
        <v>0.375</v>
      </c>
      <c r="H59" s="14">
        <v>0.45833333333333331</v>
      </c>
      <c r="I59" s="3">
        <v>5</v>
      </c>
      <c r="J59" s="3">
        <v>12</v>
      </c>
      <c r="K59" s="3" t="s">
        <v>198</v>
      </c>
      <c r="L59" s="3">
        <v>6</v>
      </c>
      <c r="M59" s="3">
        <v>26</v>
      </c>
      <c r="N59" s="3" t="s">
        <v>279</v>
      </c>
      <c r="P59" s="3">
        <v>26</v>
      </c>
      <c r="R59" s="3">
        <v>61</v>
      </c>
      <c r="T59" s="3">
        <v>1</v>
      </c>
      <c r="BM59" s="3">
        <v>1</v>
      </c>
      <c r="BV59" s="3">
        <v>14</v>
      </c>
      <c r="BZ59" s="3">
        <v>8</v>
      </c>
      <c r="CG59" s="3"/>
      <c r="CH59" s="3">
        <v>1</v>
      </c>
      <c r="CS59" s="3">
        <v>1</v>
      </c>
      <c r="DG59" s="3">
        <v>23</v>
      </c>
      <c r="DM59" s="3">
        <v>35</v>
      </c>
      <c r="DU59" s="3"/>
      <c r="DV59" s="3">
        <v>7</v>
      </c>
      <c r="EJ59" s="3">
        <v>307</v>
      </c>
      <c r="FB59" s="3">
        <v>9</v>
      </c>
      <c r="FS59" s="3">
        <v>1</v>
      </c>
      <c r="GH59" s="3">
        <f t="shared" si="7"/>
        <v>13</v>
      </c>
      <c r="GI59" s="3">
        <f t="shared" si="8"/>
        <v>8</v>
      </c>
      <c r="GJ59" s="3">
        <f t="shared" si="9"/>
        <v>8</v>
      </c>
      <c r="GK59" s="3">
        <f t="shared" si="10"/>
        <v>469</v>
      </c>
      <c r="GL59" s="3">
        <f t="shared" si="11"/>
        <v>650</v>
      </c>
      <c r="GM59" s="3">
        <f t="shared" si="12"/>
        <v>181</v>
      </c>
    </row>
    <row r="60" spans="1:217" ht="13" x14ac:dyDescent="0.15">
      <c r="A60" s="24">
        <v>42465</v>
      </c>
      <c r="B60" s="25" t="s">
        <v>280</v>
      </c>
      <c r="C60" s="16">
        <f t="shared" si="13"/>
        <v>54</v>
      </c>
      <c r="D60" s="25">
        <v>19.638598999999999</v>
      </c>
      <c r="E60" s="25">
        <v>-156.00250199999999</v>
      </c>
      <c r="F60" s="25" t="s">
        <v>274</v>
      </c>
      <c r="G60" s="26">
        <v>0.43055555555555558</v>
      </c>
      <c r="H60" s="26">
        <v>0.47916666666666669</v>
      </c>
      <c r="I60" s="25">
        <v>8</v>
      </c>
      <c r="J60" s="25">
        <v>26</v>
      </c>
      <c r="K60" s="25" t="s">
        <v>217</v>
      </c>
      <c r="L60" s="25">
        <v>12</v>
      </c>
      <c r="M60" s="25">
        <v>81</v>
      </c>
      <c r="N60" s="25" t="s">
        <v>281</v>
      </c>
      <c r="O60" s="25"/>
      <c r="P60" s="25"/>
      <c r="Q60" s="25"/>
      <c r="R60" s="25">
        <v>17</v>
      </c>
      <c r="S60" s="25">
        <v>2</v>
      </c>
      <c r="T60" s="25"/>
      <c r="U60" s="25"/>
      <c r="V60" s="25"/>
      <c r="W60" s="25"/>
      <c r="X60" s="25"/>
      <c r="Y60" s="25"/>
      <c r="Z60" s="25"/>
      <c r="AA60" s="25"/>
      <c r="AB60" s="25"/>
      <c r="AC60" s="25">
        <v>36</v>
      </c>
      <c r="AD60" s="25"/>
      <c r="AE60" s="25"/>
      <c r="AF60" s="25"/>
      <c r="AG60" s="25"/>
      <c r="AH60" s="25"/>
      <c r="AI60" s="25"/>
      <c r="AJ60" s="25"/>
      <c r="AK60" s="25"/>
      <c r="AL60" s="25">
        <v>2</v>
      </c>
      <c r="AM60" s="25"/>
      <c r="AN60" s="25"/>
      <c r="AO60" s="25"/>
      <c r="AP60" s="25"/>
      <c r="AQ60" s="25"/>
      <c r="AR60" s="25"/>
      <c r="AS60" s="25"/>
      <c r="AT60" s="25"/>
      <c r="AU60" s="25"/>
      <c r="AV60" s="25"/>
      <c r="AW60" s="25"/>
      <c r="AX60" s="25"/>
      <c r="AY60" s="25"/>
      <c r="AZ60" s="25"/>
      <c r="BA60" s="25"/>
      <c r="BB60" s="25"/>
      <c r="BC60" s="25"/>
      <c r="BD60" s="25"/>
      <c r="BE60" s="25">
        <v>1</v>
      </c>
      <c r="BF60" s="25"/>
      <c r="BG60" s="25"/>
      <c r="BH60" s="25"/>
      <c r="BI60" s="25"/>
      <c r="BJ60" s="25"/>
      <c r="BK60" s="25">
        <v>31</v>
      </c>
      <c r="BL60" s="25"/>
      <c r="BM60" s="25">
        <v>51</v>
      </c>
      <c r="BN60" s="25"/>
      <c r="BO60" s="25"/>
      <c r="BP60" s="25"/>
      <c r="BQ60" s="25"/>
      <c r="BR60" s="25"/>
      <c r="BS60" s="25"/>
      <c r="BT60" s="25"/>
      <c r="BU60" s="25"/>
      <c r="BV60" s="25"/>
      <c r="BW60" s="25"/>
      <c r="BX60" s="25"/>
      <c r="BY60" s="25"/>
      <c r="BZ60" s="25"/>
      <c r="CA60" s="25"/>
      <c r="CB60" s="25"/>
      <c r="CC60" s="25">
        <v>25</v>
      </c>
      <c r="CD60" s="25">
        <v>10</v>
      </c>
      <c r="CE60" s="25"/>
      <c r="CF60" s="25"/>
      <c r="CG60" s="25"/>
      <c r="CH60" s="25"/>
      <c r="CI60" s="25"/>
      <c r="CJ60" s="25"/>
      <c r="CK60" s="25"/>
      <c r="CL60" s="25"/>
      <c r="CM60" s="25"/>
      <c r="CN60" s="25"/>
      <c r="CO60" s="25"/>
      <c r="CP60" s="25"/>
      <c r="CQ60" s="25"/>
      <c r="CR60" s="25"/>
      <c r="CS60" s="25"/>
      <c r="CT60" s="25"/>
      <c r="CU60" s="25"/>
      <c r="CV60" s="25">
        <v>1</v>
      </c>
      <c r="CW60" s="25"/>
      <c r="CX60" s="25"/>
      <c r="CY60" s="25"/>
      <c r="CZ60" s="25"/>
      <c r="DA60" s="25"/>
      <c r="DB60" s="25"/>
      <c r="DC60" s="25"/>
      <c r="DD60" s="25"/>
      <c r="DE60" s="25"/>
      <c r="DF60" s="25"/>
      <c r="DG60" s="25"/>
      <c r="DH60" s="25">
        <v>4</v>
      </c>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5"/>
      <c r="EN60" s="25"/>
      <c r="EO60" s="25"/>
      <c r="EP60" s="25"/>
      <c r="EQ60" s="25"/>
      <c r="ER60" s="25"/>
      <c r="ES60" s="25"/>
      <c r="ET60" s="25"/>
      <c r="EU60" s="25"/>
      <c r="EV60" s="25"/>
      <c r="EW60" s="25"/>
      <c r="EX60" s="25"/>
      <c r="EY60" s="25"/>
      <c r="EZ60" s="25"/>
      <c r="FA60" s="25"/>
      <c r="FB60" s="25"/>
      <c r="FC60" s="25"/>
      <c r="FD60" s="25"/>
      <c r="FE60" s="25"/>
      <c r="FF60" s="25">
        <v>3</v>
      </c>
      <c r="FG60" s="25"/>
      <c r="FH60" s="25"/>
      <c r="FI60" s="25"/>
      <c r="FJ60" s="25"/>
      <c r="FK60" s="25"/>
      <c r="FL60" s="25"/>
      <c r="FM60" s="25"/>
      <c r="FN60" s="25"/>
      <c r="FO60" s="25"/>
      <c r="FP60" s="25">
        <v>5</v>
      </c>
      <c r="FQ60" s="25">
        <v>19</v>
      </c>
      <c r="FR60" s="25">
        <v>3</v>
      </c>
      <c r="FS60" s="25">
        <v>840</v>
      </c>
      <c r="FT60" s="25">
        <v>3</v>
      </c>
      <c r="FU60" s="25"/>
      <c r="FV60" s="25"/>
      <c r="FW60" s="25"/>
      <c r="FX60" s="25"/>
      <c r="FY60" s="25"/>
      <c r="FZ60" s="25"/>
      <c r="GA60" s="25"/>
      <c r="GB60" s="25"/>
      <c r="GC60" s="25"/>
      <c r="GD60" s="25"/>
      <c r="GE60" s="25"/>
      <c r="GF60" s="25"/>
      <c r="GG60" s="25"/>
      <c r="GH60" s="25">
        <f t="shared" si="7"/>
        <v>17</v>
      </c>
      <c r="GI60" s="25">
        <f t="shared" si="8"/>
        <v>15</v>
      </c>
      <c r="GJ60" s="25">
        <f t="shared" si="9"/>
        <v>9</v>
      </c>
      <c r="GK60" s="25">
        <f t="shared" si="10"/>
        <v>1053</v>
      </c>
      <c r="GL60" s="25">
        <f t="shared" si="11"/>
        <v>0</v>
      </c>
      <c r="GM60" s="25">
        <f t="shared" si="12"/>
        <v>-1053</v>
      </c>
      <c r="GN60" s="25"/>
      <c r="GO60" s="25"/>
      <c r="GP60" s="25"/>
      <c r="GQ60" s="25"/>
      <c r="GR60" s="25"/>
      <c r="GS60" s="25"/>
      <c r="GT60" s="25"/>
      <c r="GU60" s="25"/>
      <c r="GV60" s="25"/>
      <c r="GW60" s="25"/>
      <c r="GX60" s="25"/>
      <c r="GY60" s="25"/>
      <c r="GZ60" s="25"/>
      <c r="HA60" s="25"/>
      <c r="HB60" s="25"/>
      <c r="HC60" s="25"/>
      <c r="HD60" s="25"/>
      <c r="HE60" s="25"/>
      <c r="HF60" s="25"/>
      <c r="HG60" s="25"/>
      <c r="HH60" s="25"/>
      <c r="HI60" s="25"/>
    </row>
    <row r="61" spans="1:217" ht="13" x14ac:dyDescent="0.15">
      <c r="A61" s="13">
        <v>42465</v>
      </c>
      <c r="B61" s="3" t="s">
        <v>244</v>
      </c>
      <c r="C61" s="16">
        <f t="shared" si="13"/>
        <v>55</v>
      </c>
      <c r="D61" s="3">
        <v>21.310611999999999</v>
      </c>
      <c r="E61" s="3">
        <v>-158.00441000000001</v>
      </c>
      <c r="F61" s="3" t="s">
        <v>274</v>
      </c>
      <c r="G61" s="14">
        <v>0.35416666666666669</v>
      </c>
      <c r="H61" s="14">
        <v>0.41875000000000001</v>
      </c>
      <c r="I61" s="3">
        <v>7</v>
      </c>
      <c r="J61" s="3">
        <v>20</v>
      </c>
      <c r="K61" s="3" t="s">
        <v>198</v>
      </c>
      <c r="L61" s="3">
        <v>10</v>
      </c>
      <c r="M61" s="3">
        <v>51</v>
      </c>
      <c r="N61" s="3" t="s">
        <v>283</v>
      </c>
      <c r="P61" s="3">
        <v>51</v>
      </c>
      <c r="R61" s="3">
        <v>331</v>
      </c>
      <c r="T61" s="3">
        <v>2</v>
      </c>
      <c r="W61" s="3">
        <v>1</v>
      </c>
      <c r="AI61" s="3">
        <v>3</v>
      </c>
      <c r="BE61" s="3">
        <v>101</v>
      </c>
      <c r="BM61" s="3">
        <v>54</v>
      </c>
      <c r="BV61" s="3">
        <v>22</v>
      </c>
      <c r="BZ61" s="3">
        <v>10</v>
      </c>
      <c r="CC61" s="3">
        <v>1</v>
      </c>
      <c r="CG61" s="3"/>
      <c r="CH61" s="3">
        <v>1</v>
      </c>
      <c r="CO61" s="3">
        <v>16</v>
      </c>
      <c r="CS61" s="3">
        <v>1</v>
      </c>
      <c r="DG61" s="3">
        <v>3</v>
      </c>
      <c r="DM61" s="3">
        <v>66</v>
      </c>
      <c r="DO61" s="3">
        <v>1</v>
      </c>
      <c r="DS61" s="3">
        <v>7</v>
      </c>
      <c r="EC61" s="3">
        <v>5</v>
      </c>
      <c r="EJ61" s="3">
        <v>133</v>
      </c>
      <c r="EK61" s="3">
        <v>1</v>
      </c>
      <c r="FB61" s="3">
        <v>16</v>
      </c>
      <c r="FH61" s="3">
        <v>4</v>
      </c>
      <c r="FS61" s="3">
        <v>160</v>
      </c>
      <c r="GH61" s="3">
        <f t="shared" si="7"/>
        <v>22</v>
      </c>
      <c r="GI61" s="3">
        <f t="shared" si="8"/>
        <v>16</v>
      </c>
      <c r="GJ61" s="3">
        <f t="shared" si="9"/>
        <v>12</v>
      </c>
      <c r="GK61" s="3">
        <f t="shared" si="10"/>
        <v>939</v>
      </c>
      <c r="GL61" s="3">
        <f t="shared" si="11"/>
        <v>1275</v>
      </c>
      <c r="GM61" s="3">
        <f t="shared" si="12"/>
        <v>336</v>
      </c>
    </row>
    <row r="62" spans="1:217" ht="13" x14ac:dyDescent="0.15">
      <c r="A62" s="13">
        <v>42465</v>
      </c>
      <c r="B62" s="3" t="s">
        <v>244</v>
      </c>
      <c r="C62" s="16">
        <f t="shared" si="13"/>
        <v>56</v>
      </c>
      <c r="D62" s="3">
        <v>21.310611999999999</v>
      </c>
      <c r="E62" s="3">
        <v>-158.00441000000001</v>
      </c>
      <c r="F62" s="3" t="s">
        <v>278</v>
      </c>
      <c r="G62" s="14">
        <v>0.375</v>
      </c>
      <c r="H62" s="14">
        <v>0.45833333333333331</v>
      </c>
      <c r="I62" s="3">
        <v>5</v>
      </c>
      <c r="J62" s="3">
        <v>12</v>
      </c>
      <c r="K62" s="3" t="s">
        <v>198</v>
      </c>
      <c r="L62" s="3">
        <v>6</v>
      </c>
      <c r="M62" s="3">
        <v>29</v>
      </c>
      <c r="N62" s="3" t="s">
        <v>284</v>
      </c>
      <c r="P62" s="3">
        <v>29</v>
      </c>
      <c r="R62" s="3">
        <v>49</v>
      </c>
      <c r="W62" s="3">
        <v>5</v>
      </c>
      <c r="AB62" s="3">
        <v>3</v>
      </c>
      <c r="AC62" s="3">
        <v>5</v>
      </c>
      <c r="AE62" s="3">
        <v>1</v>
      </c>
      <c r="AI62" s="3">
        <v>7</v>
      </c>
      <c r="BE62" s="3">
        <v>13</v>
      </c>
      <c r="BM62" s="3">
        <v>12</v>
      </c>
      <c r="BV62" s="3">
        <v>60</v>
      </c>
      <c r="BZ62" s="3">
        <v>7</v>
      </c>
      <c r="CG62" s="3"/>
      <c r="CH62" s="3">
        <v>4</v>
      </c>
      <c r="CS62" s="3">
        <v>1</v>
      </c>
      <c r="DG62" s="3">
        <v>10</v>
      </c>
      <c r="DM62" s="3">
        <v>22</v>
      </c>
      <c r="EC62" s="3">
        <v>2</v>
      </c>
      <c r="EJ62" s="3">
        <v>299</v>
      </c>
      <c r="EK62" s="3">
        <v>13</v>
      </c>
      <c r="FB62" s="3">
        <v>5</v>
      </c>
      <c r="FS62" s="3">
        <v>48</v>
      </c>
      <c r="FZ62" s="3">
        <v>10</v>
      </c>
      <c r="GH62" s="3">
        <f t="shared" si="7"/>
        <v>20</v>
      </c>
      <c r="GI62" s="3">
        <f t="shared" si="8"/>
        <v>18</v>
      </c>
      <c r="GJ62" s="3">
        <f t="shared" si="9"/>
        <v>15</v>
      </c>
      <c r="GK62" s="3">
        <f t="shared" si="10"/>
        <v>576</v>
      </c>
      <c r="GL62" s="3">
        <f t="shared" si="11"/>
        <v>725</v>
      </c>
      <c r="GM62" s="3">
        <f t="shared" si="12"/>
        <v>149</v>
      </c>
    </row>
    <row r="63" spans="1:217" ht="13" x14ac:dyDescent="0.15">
      <c r="A63" s="27">
        <v>42465</v>
      </c>
      <c r="B63" s="28" t="s">
        <v>312</v>
      </c>
      <c r="C63" s="16">
        <f t="shared" si="13"/>
        <v>57</v>
      </c>
      <c r="D63" s="28">
        <v>19.851700000000001</v>
      </c>
      <c r="E63" s="28">
        <v>-155.93190000000001</v>
      </c>
      <c r="F63" s="28" t="s">
        <v>313</v>
      </c>
      <c r="G63" s="29">
        <v>0.40625</v>
      </c>
      <c r="H63" s="29">
        <v>0.49305555555555558</v>
      </c>
      <c r="I63" s="28">
        <v>3</v>
      </c>
      <c r="J63" s="28">
        <v>11</v>
      </c>
      <c r="K63" s="28" t="s">
        <v>314</v>
      </c>
      <c r="L63" s="28">
        <v>10</v>
      </c>
      <c r="M63" s="28">
        <v>25</v>
      </c>
      <c r="N63" s="28" t="s">
        <v>315</v>
      </c>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v>15</v>
      </c>
      <c r="BN63" s="28"/>
      <c r="BO63" s="28"/>
      <c r="BP63" s="28"/>
      <c r="BQ63" s="28"/>
      <c r="BR63" s="28"/>
      <c r="BS63" s="28"/>
      <c r="BT63" s="28"/>
      <c r="BU63" s="28"/>
      <c r="BV63" s="28"/>
      <c r="BW63" s="28"/>
      <c r="BX63" s="28"/>
      <c r="BY63" s="28"/>
      <c r="BZ63" s="28"/>
      <c r="CA63" s="28"/>
      <c r="CB63" s="28"/>
      <c r="CC63" s="28">
        <v>2</v>
      </c>
      <c r="CD63" s="28">
        <v>2</v>
      </c>
      <c r="CE63" s="28"/>
      <c r="CF63" s="28"/>
      <c r="CG63" s="28"/>
      <c r="CH63" s="28"/>
      <c r="CI63" s="28"/>
      <c r="CJ63" s="28"/>
      <c r="CK63" s="28"/>
      <c r="CL63" s="28"/>
      <c r="CM63" s="28"/>
      <c r="CN63" s="28"/>
      <c r="CO63" s="28"/>
      <c r="CP63" s="28"/>
      <c r="CQ63" s="28"/>
      <c r="CR63" s="28"/>
      <c r="CS63" s="28"/>
      <c r="CT63" s="28"/>
      <c r="CU63" s="28"/>
      <c r="CV63" s="28"/>
      <c r="CW63" s="28">
        <v>1</v>
      </c>
      <c r="CX63" s="28"/>
      <c r="CY63" s="28"/>
      <c r="CZ63" s="28"/>
      <c r="DA63" s="28"/>
      <c r="DB63" s="28"/>
      <c r="DC63" s="28"/>
      <c r="DD63" s="28"/>
      <c r="DE63" s="28"/>
      <c r="DF63" s="28"/>
      <c r="DG63" s="28"/>
      <c r="DH63" s="28"/>
      <c r="DI63" s="28"/>
      <c r="DJ63" s="28"/>
      <c r="DK63" s="28"/>
      <c r="DL63" s="28"/>
      <c r="DM63" s="28"/>
      <c r="DN63" s="28"/>
      <c r="DO63" s="28"/>
      <c r="DP63" s="28"/>
      <c r="DQ63" s="28"/>
      <c r="DR63" s="28"/>
      <c r="DS63" s="28"/>
      <c r="DT63" s="28"/>
      <c r="DU63" s="28"/>
      <c r="DV63" s="28"/>
      <c r="DW63" s="28"/>
      <c r="DX63" s="28"/>
      <c r="DY63" s="28"/>
      <c r="DZ63" s="28"/>
      <c r="EA63" s="28"/>
      <c r="EB63" s="28"/>
      <c r="EC63" s="28"/>
      <c r="ED63" s="28">
        <v>2</v>
      </c>
      <c r="EE63" s="28"/>
      <c r="EF63" s="28"/>
      <c r="EG63" s="28"/>
      <c r="EH63" s="28"/>
      <c r="EI63" s="28"/>
      <c r="EJ63" s="28"/>
      <c r="EK63" s="28"/>
      <c r="EL63" s="28"/>
      <c r="EM63" s="28"/>
      <c r="EN63" s="28"/>
      <c r="EO63" s="28"/>
      <c r="EP63" s="28"/>
      <c r="EQ63" s="28"/>
      <c r="ER63" s="28"/>
      <c r="ES63" s="28"/>
      <c r="ET63" s="28"/>
      <c r="EU63" s="28"/>
      <c r="EV63" s="28"/>
      <c r="EW63" s="28"/>
      <c r="EX63" s="28"/>
      <c r="EY63" s="28"/>
      <c r="EZ63" s="28"/>
      <c r="FA63" s="28"/>
      <c r="FB63" s="28"/>
      <c r="FC63" s="28"/>
      <c r="FD63" s="28"/>
      <c r="FE63" s="28"/>
      <c r="FF63" s="28"/>
      <c r="FG63" s="28"/>
      <c r="FH63" s="28"/>
      <c r="FI63" s="28"/>
      <c r="FJ63" s="28"/>
      <c r="FK63" s="28"/>
      <c r="FL63" s="28"/>
      <c r="FM63" s="28"/>
      <c r="FN63" s="28"/>
      <c r="FO63" s="28"/>
      <c r="FP63" s="28"/>
      <c r="FQ63" s="28"/>
      <c r="FR63" s="28">
        <v>9</v>
      </c>
      <c r="FS63" s="28">
        <v>491</v>
      </c>
      <c r="FT63" s="28">
        <v>4</v>
      </c>
      <c r="FU63" s="28"/>
      <c r="FV63" s="28"/>
      <c r="FW63" s="28"/>
      <c r="FX63" s="28"/>
      <c r="FY63" s="28"/>
      <c r="FZ63" s="28"/>
      <c r="GA63" s="28"/>
      <c r="GB63" s="28"/>
      <c r="GC63" s="28"/>
      <c r="GD63" s="28"/>
      <c r="GE63" s="28"/>
      <c r="GF63" s="28"/>
      <c r="GG63" s="28"/>
      <c r="GH63" s="28"/>
      <c r="GI63" s="28"/>
      <c r="GJ63" s="28"/>
      <c r="GK63" s="28"/>
      <c r="GL63" s="28"/>
      <c r="GM63" s="28"/>
      <c r="GN63" s="28"/>
      <c r="GO63" s="28"/>
      <c r="GP63" s="28"/>
      <c r="GQ63" s="28"/>
      <c r="GR63" s="28"/>
      <c r="GS63" s="28"/>
      <c r="GT63" s="28"/>
      <c r="GU63" s="28"/>
      <c r="GV63" s="28"/>
      <c r="GW63" s="28"/>
      <c r="GX63" s="28"/>
      <c r="GY63" s="28"/>
      <c r="GZ63" s="28"/>
      <c r="HA63" s="28"/>
      <c r="HB63" s="28"/>
      <c r="HC63" s="28"/>
      <c r="HD63" s="28"/>
      <c r="HE63" s="28"/>
      <c r="HF63" s="28"/>
      <c r="HG63" s="28"/>
      <c r="HH63" s="28"/>
      <c r="HI63" s="28"/>
    </row>
    <row r="64" spans="1:217" ht="13" x14ac:dyDescent="0.15">
      <c r="A64" s="13">
        <v>42467</v>
      </c>
      <c r="B64" s="3" t="s">
        <v>201</v>
      </c>
      <c r="C64" s="16">
        <f t="shared" si="13"/>
        <v>58</v>
      </c>
      <c r="D64" s="3">
        <v>21.25544</v>
      </c>
      <c r="E64" s="3">
        <v>-157.810303</v>
      </c>
      <c r="F64" s="3" t="s">
        <v>274</v>
      </c>
      <c r="G64" s="14">
        <v>0.38194444444444442</v>
      </c>
      <c r="H64" s="14">
        <v>0.46875</v>
      </c>
      <c r="I64" s="3">
        <v>7</v>
      </c>
      <c r="J64" s="3">
        <v>10</v>
      </c>
      <c r="K64" s="3" t="s">
        <v>217</v>
      </c>
      <c r="L64" s="3">
        <v>6</v>
      </c>
      <c r="M64" s="3">
        <v>41</v>
      </c>
      <c r="N64" s="3" t="s">
        <v>285</v>
      </c>
      <c r="P64" s="3">
        <v>41</v>
      </c>
      <c r="R64" s="3">
        <v>6</v>
      </c>
      <c r="AB64" s="3">
        <v>2</v>
      </c>
      <c r="AC64" s="3">
        <v>1</v>
      </c>
      <c r="AM64" s="3">
        <v>21</v>
      </c>
      <c r="BB64" s="3">
        <v>5</v>
      </c>
      <c r="BD64" s="3">
        <v>1</v>
      </c>
      <c r="BE64" s="3">
        <v>2</v>
      </c>
      <c r="BM64" s="3">
        <v>44</v>
      </c>
      <c r="BN64" s="3">
        <v>1</v>
      </c>
      <c r="BQ64" s="3">
        <v>46</v>
      </c>
      <c r="BV64" s="3">
        <v>2</v>
      </c>
      <c r="BW64" s="3">
        <v>4</v>
      </c>
      <c r="BZ64" s="3">
        <v>48</v>
      </c>
      <c r="CN64" s="3">
        <v>1</v>
      </c>
      <c r="DL64" s="3">
        <v>102</v>
      </c>
      <c r="DO64" s="3">
        <v>1</v>
      </c>
      <c r="DS64" s="3">
        <v>12</v>
      </c>
      <c r="DU64" s="3"/>
      <c r="DV64" s="3">
        <v>5</v>
      </c>
      <c r="DZ64" s="3">
        <v>1</v>
      </c>
      <c r="EC64" s="3">
        <v>2</v>
      </c>
      <c r="EJ64" s="3">
        <v>259</v>
      </c>
      <c r="EZ64" s="3">
        <v>4</v>
      </c>
      <c r="FB64" s="3">
        <v>6</v>
      </c>
      <c r="FC64" s="3">
        <v>2</v>
      </c>
      <c r="FF64" s="3">
        <v>11</v>
      </c>
      <c r="FI64" s="3">
        <v>11</v>
      </c>
      <c r="FR64" s="3">
        <v>24</v>
      </c>
      <c r="FS64" s="3">
        <v>129</v>
      </c>
      <c r="FX64" s="3"/>
      <c r="FY64" s="3">
        <v>3</v>
      </c>
      <c r="GF64" s="3">
        <v>4</v>
      </c>
      <c r="GH64" s="3">
        <f t="shared" ref="GH64:GH67" si="14">COUNT(R64:GG64)</f>
        <v>30</v>
      </c>
      <c r="GI64" s="3">
        <f t="shared" ref="GI64:GI67" si="15">COUNTIF(R64:GG64,"&gt;=2")</f>
        <v>24</v>
      </c>
      <c r="GJ64" s="3">
        <f t="shared" ref="GJ64:GJ67" si="16">COUNTIF(R64:GG64,"&gt;=5")</f>
        <v>15</v>
      </c>
      <c r="GK64" s="3">
        <f t="shared" ref="GK64:GK67" si="17">SUM(R64:GG64)</f>
        <v>760</v>
      </c>
      <c r="GL64" s="3">
        <f t="shared" ref="GL64:GL67" si="18">25*P64</f>
        <v>1025</v>
      </c>
      <c r="GM64" s="3">
        <f t="shared" ref="GM64:GM67" si="19">GL64-GK64</f>
        <v>265</v>
      </c>
    </row>
    <row r="65" spans="1:217" ht="13" x14ac:dyDescent="0.15">
      <c r="A65" s="13">
        <v>42467</v>
      </c>
      <c r="B65" s="3" t="s">
        <v>233</v>
      </c>
      <c r="C65" s="16">
        <f t="shared" si="13"/>
        <v>59</v>
      </c>
      <c r="D65" s="23">
        <v>21.066799</v>
      </c>
      <c r="E65" s="23">
        <v>-156.804993</v>
      </c>
      <c r="F65" s="3" t="s">
        <v>286</v>
      </c>
      <c r="G65" s="14">
        <v>0.375</v>
      </c>
      <c r="H65" s="14">
        <v>0.43888888888888888</v>
      </c>
      <c r="I65" s="3">
        <v>4</v>
      </c>
      <c r="J65" s="3">
        <v>17</v>
      </c>
      <c r="K65" s="3" t="s">
        <v>198</v>
      </c>
      <c r="L65" s="3">
        <v>16</v>
      </c>
      <c r="M65" s="3">
        <v>25</v>
      </c>
      <c r="N65" s="3" t="s">
        <v>287</v>
      </c>
      <c r="O65" s="3" t="s">
        <v>288</v>
      </c>
      <c r="P65" s="3">
        <v>25</v>
      </c>
      <c r="R65" s="3">
        <v>11</v>
      </c>
      <c r="U65" s="3">
        <v>39</v>
      </c>
      <c r="W65" s="3">
        <v>11</v>
      </c>
      <c r="BB65" s="3">
        <v>5</v>
      </c>
      <c r="BL65" s="3">
        <v>1</v>
      </c>
      <c r="BM65" s="3">
        <v>26</v>
      </c>
      <c r="BZ65" s="3">
        <v>16</v>
      </c>
      <c r="CD65" s="3">
        <v>1</v>
      </c>
      <c r="CO65" s="3">
        <v>13</v>
      </c>
      <c r="DG65" s="3">
        <v>40</v>
      </c>
      <c r="EJ65" s="3">
        <v>83</v>
      </c>
      <c r="FB65" s="3">
        <v>109</v>
      </c>
      <c r="FX65" s="3"/>
      <c r="FY65" s="3">
        <v>5</v>
      </c>
      <c r="GH65" s="3">
        <f t="shared" si="14"/>
        <v>13</v>
      </c>
      <c r="GI65" s="3">
        <f t="shared" si="15"/>
        <v>11</v>
      </c>
      <c r="GJ65" s="3">
        <f t="shared" si="16"/>
        <v>11</v>
      </c>
      <c r="GK65" s="3">
        <f t="shared" si="17"/>
        <v>360</v>
      </c>
      <c r="GL65" s="3">
        <f t="shared" si="18"/>
        <v>625</v>
      </c>
      <c r="GM65" s="3">
        <f t="shared" si="19"/>
        <v>265</v>
      </c>
    </row>
    <row r="66" spans="1:217" ht="13" x14ac:dyDescent="0.15">
      <c r="A66" s="13">
        <v>42468</v>
      </c>
      <c r="B66" s="3" t="s">
        <v>247</v>
      </c>
      <c r="C66" s="16">
        <f t="shared" si="13"/>
        <v>60</v>
      </c>
      <c r="D66" s="3">
        <v>19.488199000000002</v>
      </c>
      <c r="E66" s="3">
        <v>-154.81930500000001</v>
      </c>
      <c r="F66" s="3" t="s">
        <v>289</v>
      </c>
      <c r="G66" s="14">
        <v>0.3972222222222222</v>
      </c>
      <c r="H66" s="14">
        <v>0.44791666666666669</v>
      </c>
      <c r="I66" s="3">
        <v>5</v>
      </c>
      <c r="J66" s="3">
        <v>21</v>
      </c>
      <c r="K66" s="3" t="s">
        <v>198</v>
      </c>
      <c r="L66" s="3">
        <v>5</v>
      </c>
      <c r="M66" s="3">
        <v>23</v>
      </c>
      <c r="N66" s="3" t="s">
        <v>290</v>
      </c>
      <c r="P66" s="3">
        <v>23</v>
      </c>
      <c r="AM66" s="3">
        <v>315</v>
      </c>
      <c r="BI66" s="3"/>
      <c r="BJ66" s="3">
        <v>1</v>
      </c>
      <c r="BM66" s="3">
        <v>102</v>
      </c>
      <c r="BN66" s="3">
        <v>3</v>
      </c>
      <c r="BQ66" s="3">
        <v>4</v>
      </c>
      <c r="CC66" s="3">
        <v>1</v>
      </c>
      <c r="DS66" s="3">
        <v>27</v>
      </c>
      <c r="FB66" s="3">
        <v>1</v>
      </c>
      <c r="FS66" s="3">
        <v>109</v>
      </c>
      <c r="GH66" s="3">
        <f t="shared" si="14"/>
        <v>9</v>
      </c>
      <c r="GI66" s="3">
        <f t="shared" si="15"/>
        <v>6</v>
      </c>
      <c r="GJ66" s="3">
        <f t="shared" si="16"/>
        <v>4</v>
      </c>
      <c r="GK66" s="3">
        <f t="shared" si="17"/>
        <v>563</v>
      </c>
      <c r="GL66" s="3">
        <f t="shared" si="18"/>
        <v>575</v>
      </c>
      <c r="GM66" s="3">
        <f t="shared" si="19"/>
        <v>12</v>
      </c>
    </row>
    <row r="67" spans="1:217" ht="13" x14ac:dyDescent="0.15">
      <c r="A67" s="13">
        <v>42468</v>
      </c>
      <c r="B67" s="3" t="s">
        <v>291</v>
      </c>
      <c r="C67" s="16">
        <f t="shared" si="13"/>
        <v>61</v>
      </c>
      <c r="D67" s="3">
        <v>19.734331000000001</v>
      </c>
      <c r="E67" s="3">
        <v>-155.01483200000001</v>
      </c>
      <c r="F67" s="3" t="s">
        <v>274</v>
      </c>
      <c r="G67" s="14">
        <v>0.38194444444444442</v>
      </c>
      <c r="H67" s="14">
        <v>0.45833333333333331</v>
      </c>
      <c r="I67" s="3">
        <v>6</v>
      </c>
      <c r="J67" s="3">
        <v>17</v>
      </c>
      <c r="K67" s="3" t="s">
        <v>198</v>
      </c>
      <c r="L67" s="3">
        <v>5</v>
      </c>
      <c r="M67" s="3">
        <v>19</v>
      </c>
      <c r="N67" s="3" t="s">
        <v>292</v>
      </c>
      <c r="P67" s="3">
        <v>19</v>
      </c>
      <c r="R67" s="3">
        <v>1</v>
      </c>
      <c r="AC67" s="3">
        <v>1</v>
      </c>
      <c r="AG67" s="3">
        <v>4</v>
      </c>
      <c r="AM67" s="3">
        <v>20</v>
      </c>
      <c r="AN67" s="3">
        <v>28</v>
      </c>
      <c r="BB67" s="3">
        <v>83</v>
      </c>
      <c r="BK67" s="3">
        <v>13</v>
      </c>
      <c r="BM67" s="3">
        <v>123</v>
      </c>
      <c r="BN67" s="3">
        <v>1</v>
      </c>
      <c r="CC67" s="3">
        <v>1</v>
      </c>
      <c r="CO67" s="3">
        <v>14</v>
      </c>
      <c r="CQ67" s="3">
        <v>10</v>
      </c>
      <c r="DH67" s="3">
        <v>2</v>
      </c>
      <c r="DW67" s="3">
        <v>2</v>
      </c>
      <c r="FB67" s="3">
        <v>2</v>
      </c>
      <c r="FH67" s="3">
        <v>11</v>
      </c>
      <c r="FQ67" s="3">
        <v>2</v>
      </c>
      <c r="FR67" s="3">
        <v>1</v>
      </c>
      <c r="FS67" s="3">
        <v>65</v>
      </c>
      <c r="GH67" s="3">
        <f t="shared" si="14"/>
        <v>19</v>
      </c>
      <c r="GI67" s="3">
        <f t="shared" si="15"/>
        <v>14</v>
      </c>
      <c r="GJ67" s="3">
        <f t="shared" si="16"/>
        <v>9</v>
      </c>
      <c r="GK67" s="3">
        <f t="shared" si="17"/>
        <v>384</v>
      </c>
      <c r="GL67" s="3">
        <f t="shared" si="18"/>
        <v>475</v>
      </c>
      <c r="GM67" s="3">
        <f t="shared" si="19"/>
        <v>91</v>
      </c>
    </row>
    <row r="68" spans="1:217" ht="13" x14ac:dyDescent="0.15">
      <c r="A68" s="19">
        <v>42468</v>
      </c>
      <c r="B68" s="20" t="s">
        <v>196</v>
      </c>
      <c r="C68" s="16">
        <f t="shared" si="13"/>
        <v>62</v>
      </c>
      <c r="D68" s="20">
        <v>21.559277999999999</v>
      </c>
      <c r="E68" s="20">
        <v>-157.87190200000001</v>
      </c>
      <c r="F68" s="20" t="s">
        <v>325</v>
      </c>
      <c r="G68" s="21">
        <v>0.36458333333333331</v>
      </c>
      <c r="H68" s="21">
        <v>0.40625</v>
      </c>
      <c r="I68" s="20">
        <v>5</v>
      </c>
      <c r="J68" s="20">
        <v>9</v>
      </c>
      <c r="K68" s="20" t="s">
        <v>314</v>
      </c>
      <c r="L68" s="20">
        <v>5</v>
      </c>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c r="DB68" s="20"/>
      <c r="DC68" s="20"/>
      <c r="DD68" s="20"/>
      <c r="DE68" s="20"/>
      <c r="DF68" s="20"/>
      <c r="DG68" s="20"/>
      <c r="DH68" s="20"/>
      <c r="DI68" s="20"/>
      <c r="DJ68" s="20"/>
      <c r="DK68" s="20"/>
      <c r="DL68" s="20"/>
      <c r="DM68" s="20"/>
      <c r="DN68" s="20"/>
      <c r="DO68" s="20"/>
      <c r="DP68" s="20"/>
      <c r="DQ68" s="20"/>
      <c r="DR68" s="20"/>
      <c r="DS68" s="20"/>
      <c r="DT68" s="20"/>
      <c r="DU68" s="20"/>
      <c r="DV68" s="20"/>
      <c r="DW68" s="20"/>
      <c r="DX68" s="20"/>
      <c r="DY68" s="20"/>
      <c r="DZ68" s="20"/>
      <c r="EA68" s="20"/>
      <c r="EB68" s="20"/>
      <c r="EC68" s="20"/>
      <c r="ED68" s="20"/>
      <c r="EE68" s="20"/>
      <c r="EF68" s="20"/>
      <c r="EG68" s="20"/>
      <c r="EH68" s="20"/>
      <c r="EI68" s="20"/>
      <c r="EJ68" s="20"/>
      <c r="EK68" s="20"/>
      <c r="EL68" s="20"/>
      <c r="EM68" s="20"/>
      <c r="EN68" s="20"/>
      <c r="EO68" s="20"/>
      <c r="EP68" s="20"/>
      <c r="EQ68" s="20"/>
      <c r="ER68" s="20"/>
      <c r="ES68" s="20"/>
      <c r="ET68" s="20"/>
      <c r="EU68" s="20"/>
      <c r="EV68" s="20"/>
      <c r="EW68" s="20"/>
      <c r="EX68" s="20"/>
      <c r="EY68" s="20"/>
      <c r="EZ68" s="20"/>
      <c r="FA68" s="20"/>
      <c r="FB68" s="20"/>
      <c r="FC68" s="20"/>
      <c r="FD68" s="20"/>
      <c r="FE68" s="20"/>
      <c r="FF68" s="20"/>
      <c r="FG68" s="20"/>
      <c r="FH68" s="20"/>
      <c r="FI68" s="20"/>
      <c r="FJ68" s="20"/>
      <c r="FK68" s="20"/>
      <c r="FL68" s="20"/>
      <c r="FM68" s="20"/>
      <c r="FN68" s="20"/>
      <c r="FO68" s="20"/>
      <c r="FP68" s="20"/>
      <c r="FQ68" s="20"/>
      <c r="FR68" s="20"/>
      <c r="FS68" s="20"/>
      <c r="FT68" s="20"/>
      <c r="FU68" s="20"/>
      <c r="FV68" s="20"/>
      <c r="FW68" s="20"/>
      <c r="FX68" s="20"/>
      <c r="FY68" s="20"/>
      <c r="FZ68" s="20"/>
      <c r="GA68" s="20"/>
      <c r="GB68" s="20"/>
      <c r="GC68" s="20"/>
      <c r="GD68" s="20"/>
      <c r="GE68" s="20"/>
      <c r="GF68" s="20"/>
      <c r="GG68" s="20"/>
      <c r="GH68" s="20"/>
      <c r="GI68" s="20"/>
      <c r="GJ68" s="20"/>
      <c r="GK68" s="20"/>
      <c r="GL68" s="20"/>
      <c r="GM68" s="20"/>
      <c r="GN68" s="20"/>
      <c r="GO68" s="20"/>
      <c r="GP68" s="20"/>
      <c r="GQ68" s="20"/>
      <c r="GR68" s="20"/>
      <c r="GS68" s="20"/>
      <c r="GT68" s="20"/>
      <c r="GU68" s="20"/>
      <c r="GV68" s="20"/>
      <c r="GW68" s="20"/>
      <c r="GX68" s="20"/>
      <c r="GY68" s="20"/>
      <c r="GZ68" s="20"/>
      <c r="HA68" s="20"/>
      <c r="HB68" s="20"/>
      <c r="HC68" s="20"/>
      <c r="HD68" s="20"/>
      <c r="HE68" s="20"/>
      <c r="HF68" s="20"/>
      <c r="HG68" s="20"/>
      <c r="HH68" s="20"/>
      <c r="HI68" s="20"/>
    </row>
    <row r="69" spans="1:217" ht="13" x14ac:dyDescent="0.15">
      <c r="A69" s="13">
        <v>42469</v>
      </c>
      <c r="B69" s="3" t="s">
        <v>293</v>
      </c>
      <c r="C69" s="16">
        <f t="shared" si="13"/>
        <v>63</v>
      </c>
      <c r="D69" s="3">
        <v>19.738602</v>
      </c>
      <c r="E69" s="3">
        <v>-155.03887900000001</v>
      </c>
      <c r="F69" s="3" t="s">
        <v>197</v>
      </c>
      <c r="G69" s="14">
        <v>0.40763888888888888</v>
      </c>
      <c r="H69" s="14">
        <v>0.46527777777777779</v>
      </c>
      <c r="I69" s="3">
        <v>4</v>
      </c>
      <c r="J69" s="3">
        <v>15</v>
      </c>
      <c r="K69" s="3" t="s">
        <v>277</v>
      </c>
      <c r="L69" s="3">
        <v>10</v>
      </c>
      <c r="M69" s="3">
        <v>20</v>
      </c>
      <c r="N69" s="3" t="s">
        <v>294</v>
      </c>
      <c r="O69" s="3" t="s">
        <v>295</v>
      </c>
      <c r="P69" s="3">
        <v>20</v>
      </c>
      <c r="AB69" s="3">
        <v>1</v>
      </c>
      <c r="AI69" s="3">
        <v>6</v>
      </c>
      <c r="AM69" s="3">
        <v>56</v>
      </c>
      <c r="BK69" s="3">
        <v>38</v>
      </c>
      <c r="BM69" s="3">
        <v>21</v>
      </c>
      <c r="BZ69" s="3">
        <v>1</v>
      </c>
      <c r="CD69" s="3">
        <v>2</v>
      </c>
      <c r="CF69" s="3">
        <v>3</v>
      </c>
      <c r="CN69" s="3">
        <v>1</v>
      </c>
      <c r="CO69" s="3">
        <v>52</v>
      </c>
      <c r="DG69" s="3">
        <v>1</v>
      </c>
      <c r="DM69" s="3">
        <v>1</v>
      </c>
      <c r="DU69" s="3"/>
      <c r="DV69" s="3">
        <v>1</v>
      </c>
      <c r="EJ69" s="3">
        <v>14</v>
      </c>
      <c r="FQ69" s="3">
        <v>2</v>
      </c>
      <c r="FS69" s="3">
        <v>219</v>
      </c>
      <c r="GH69" s="3">
        <f t="shared" ref="GH69:GH75" si="20">COUNT(R69:GG69)</f>
        <v>16</v>
      </c>
      <c r="GI69" s="3">
        <f t="shared" ref="GI69:GI75" si="21">COUNTIF(R69:GG69,"&gt;=2")</f>
        <v>10</v>
      </c>
      <c r="GJ69" s="3">
        <f t="shared" ref="GJ69:GJ75" si="22">COUNTIF(R69:GG69,"&gt;=5")</f>
        <v>7</v>
      </c>
      <c r="GK69" s="3">
        <f t="shared" ref="GK69:GK75" si="23">SUM(R69:GG69)</f>
        <v>419</v>
      </c>
      <c r="GL69" s="3">
        <f t="shared" ref="GL69:GL75" si="24">25*P69</f>
        <v>500</v>
      </c>
      <c r="GM69" s="3">
        <f t="shared" ref="GM69:GM75" si="25">GL69-GK69</f>
        <v>81</v>
      </c>
    </row>
    <row r="70" spans="1:217" ht="13" x14ac:dyDescent="0.15">
      <c r="A70" s="13">
        <v>42470</v>
      </c>
      <c r="B70" s="3" t="s">
        <v>293</v>
      </c>
      <c r="C70" s="16">
        <f t="shared" si="13"/>
        <v>64</v>
      </c>
      <c r="D70" s="3">
        <v>19.738602</v>
      </c>
      <c r="E70" s="3">
        <v>-155.03887900000001</v>
      </c>
      <c r="F70" s="3" t="s">
        <v>197</v>
      </c>
      <c r="G70" s="14">
        <v>0.43402777777777779</v>
      </c>
      <c r="H70" s="14">
        <v>0.52777777777777779</v>
      </c>
      <c r="I70" s="3">
        <v>4</v>
      </c>
      <c r="J70" s="3">
        <v>22</v>
      </c>
      <c r="K70" s="3" t="s">
        <v>198</v>
      </c>
      <c r="L70" s="3">
        <v>11</v>
      </c>
      <c r="M70" s="3">
        <v>35</v>
      </c>
      <c r="N70" s="3" t="s">
        <v>296</v>
      </c>
      <c r="P70" s="3">
        <v>35</v>
      </c>
      <c r="R70" s="3">
        <v>24</v>
      </c>
      <c r="T70" s="3">
        <v>9</v>
      </c>
      <c r="AB70" s="3">
        <v>77</v>
      </c>
      <c r="AD70" s="3">
        <v>6</v>
      </c>
      <c r="AH70" s="3">
        <v>15</v>
      </c>
      <c r="AM70" s="3">
        <v>35</v>
      </c>
      <c r="AZ70" s="3">
        <v>6</v>
      </c>
      <c r="BB70" s="3">
        <v>3</v>
      </c>
      <c r="BG70" s="3">
        <v>1</v>
      </c>
      <c r="BI70" s="3"/>
      <c r="BJ70" s="3">
        <v>1</v>
      </c>
      <c r="BK70" s="3">
        <v>5</v>
      </c>
      <c r="BM70" s="3">
        <v>59</v>
      </c>
      <c r="BN70" s="3">
        <v>16</v>
      </c>
      <c r="BZ70" s="3">
        <v>6</v>
      </c>
      <c r="CB70" s="3">
        <v>3</v>
      </c>
      <c r="CC70" s="3">
        <v>5</v>
      </c>
      <c r="CL70" s="3">
        <v>1</v>
      </c>
      <c r="CO70" s="3">
        <v>98</v>
      </c>
      <c r="DG70" s="3">
        <v>6</v>
      </c>
      <c r="DH70" s="3">
        <v>5</v>
      </c>
      <c r="DM70" s="3">
        <v>3</v>
      </c>
      <c r="DQ70" s="3">
        <v>1</v>
      </c>
      <c r="ED70" s="3">
        <v>2</v>
      </c>
      <c r="EJ70" s="3">
        <v>13</v>
      </c>
      <c r="EX70" s="3">
        <v>5</v>
      </c>
      <c r="FB70" s="3">
        <v>9</v>
      </c>
      <c r="FO70" s="3"/>
      <c r="FP70" s="3">
        <v>2</v>
      </c>
      <c r="FQ70" s="3">
        <v>17</v>
      </c>
      <c r="FS70" s="3">
        <v>161</v>
      </c>
      <c r="FT70" s="3">
        <v>7</v>
      </c>
      <c r="GH70" s="3">
        <f t="shared" si="20"/>
        <v>30</v>
      </c>
      <c r="GI70" s="3">
        <f t="shared" si="21"/>
        <v>26</v>
      </c>
      <c r="GJ70" s="3">
        <f t="shared" si="22"/>
        <v>21</v>
      </c>
      <c r="GK70" s="3">
        <f t="shared" si="23"/>
        <v>601</v>
      </c>
      <c r="GL70" s="3">
        <f t="shared" si="24"/>
        <v>875</v>
      </c>
      <c r="GM70" s="3">
        <f t="shared" si="25"/>
        <v>274</v>
      </c>
    </row>
    <row r="71" spans="1:217" ht="13" x14ac:dyDescent="0.15">
      <c r="A71" s="13">
        <v>42471</v>
      </c>
      <c r="B71" s="3" t="s">
        <v>266</v>
      </c>
      <c r="C71" s="16">
        <f t="shared" si="13"/>
        <v>65</v>
      </c>
      <c r="D71" s="3">
        <v>22.060683999999998</v>
      </c>
      <c r="E71" s="3">
        <v>-159.318512</v>
      </c>
      <c r="F71" s="3" t="s">
        <v>297</v>
      </c>
      <c r="G71" s="14">
        <v>0.48958333333333331</v>
      </c>
      <c r="H71" s="14">
        <v>0.54166666666666663</v>
      </c>
      <c r="I71" s="3">
        <v>5</v>
      </c>
      <c r="J71" s="3">
        <v>12</v>
      </c>
      <c r="K71" s="3" t="s">
        <v>198</v>
      </c>
      <c r="L71" s="3">
        <v>5</v>
      </c>
      <c r="M71" s="3">
        <v>24</v>
      </c>
      <c r="N71" s="3" t="s">
        <v>298</v>
      </c>
      <c r="P71" s="3">
        <v>24</v>
      </c>
      <c r="R71" s="3">
        <v>1</v>
      </c>
      <c r="AM71" s="3">
        <v>14</v>
      </c>
      <c r="BB71" s="3">
        <v>13</v>
      </c>
      <c r="BM71" s="3">
        <v>2</v>
      </c>
      <c r="BN71" s="3">
        <v>289</v>
      </c>
      <c r="BZ71" s="3">
        <v>1</v>
      </c>
      <c r="CV71" s="3">
        <v>3</v>
      </c>
      <c r="DU71" s="3"/>
      <c r="DV71" s="3">
        <v>5</v>
      </c>
      <c r="EJ71" s="3">
        <v>26</v>
      </c>
      <c r="FS71" s="3">
        <v>21</v>
      </c>
      <c r="GH71" s="3">
        <f t="shared" si="20"/>
        <v>10</v>
      </c>
      <c r="GI71" s="3">
        <f t="shared" si="21"/>
        <v>8</v>
      </c>
      <c r="GJ71" s="3">
        <f t="shared" si="22"/>
        <v>6</v>
      </c>
      <c r="GK71" s="3">
        <f t="shared" si="23"/>
        <v>375</v>
      </c>
      <c r="GL71" s="3">
        <f t="shared" si="24"/>
        <v>600</v>
      </c>
      <c r="GM71" s="3">
        <f t="shared" si="25"/>
        <v>225</v>
      </c>
    </row>
    <row r="72" spans="1:217" ht="13" x14ac:dyDescent="0.15">
      <c r="A72" s="13">
        <v>42471</v>
      </c>
      <c r="B72" s="3" t="s">
        <v>216</v>
      </c>
      <c r="C72" s="16">
        <f t="shared" si="13"/>
        <v>66</v>
      </c>
      <c r="D72" s="3">
        <v>21.3002</v>
      </c>
      <c r="E72" s="3">
        <v>-157.882599</v>
      </c>
      <c r="F72" s="3" t="s">
        <v>299</v>
      </c>
      <c r="G72" s="14">
        <v>0.52777777777777779</v>
      </c>
      <c r="H72" s="14">
        <v>0.57291666666666663</v>
      </c>
      <c r="I72" s="3">
        <v>4</v>
      </c>
      <c r="J72" s="3">
        <v>26</v>
      </c>
      <c r="K72" s="3" t="s">
        <v>198</v>
      </c>
      <c r="L72" s="3">
        <v>9</v>
      </c>
      <c r="M72" s="3">
        <v>29</v>
      </c>
      <c r="N72" s="3" t="s">
        <v>300</v>
      </c>
      <c r="P72" s="3">
        <v>29</v>
      </c>
      <c r="AC72" s="3">
        <v>10</v>
      </c>
      <c r="AM72" s="3">
        <v>23</v>
      </c>
      <c r="BM72" s="3">
        <v>15</v>
      </c>
      <c r="BN72" s="3">
        <v>38</v>
      </c>
      <c r="BQ72" s="3">
        <v>12</v>
      </c>
      <c r="BV72" s="3">
        <v>6</v>
      </c>
      <c r="BZ72" s="3">
        <v>1</v>
      </c>
      <c r="CC72" s="3">
        <v>3</v>
      </c>
      <c r="FQ72" s="3">
        <v>15</v>
      </c>
      <c r="FS72" s="3">
        <v>364</v>
      </c>
      <c r="GH72" s="3">
        <f t="shared" si="20"/>
        <v>10</v>
      </c>
      <c r="GI72" s="3">
        <f t="shared" si="21"/>
        <v>9</v>
      </c>
      <c r="GJ72" s="3">
        <f t="shared" si="22"/>
        <v>8</v>
      </c>
      <c r="GK72" s="3">
        <f t="shared" si="23"/>
        <v>487</v>
      </c>
      <c r="GL72" s="3">
        <f t="shared" si="24"/>
        <v>725</v>
      </c>
      <c r="GM72" s="3">
        <f t="shared" si="25"/>
        <v>238</v>
      </c>
    </row>
    <row r="73" spans="1:217" ht="13" x14ac:dyDescent="0.15">
      <c r="A73" s="13">
        <v>42471</v>
      </c>
      <c r="B73" s="3" t="s">
        <v>301</v>
      </c>
      <c r="C73" s="16">
        <f t="shared" si="13"/>
        <v>67</v>
      </c>
      <c r="D73" s="3">
        <v>22.065598999999999</v>
      </c>
      <c r="E73" s="3">
        <v>-159.31770299999999</v>
      </c>
      <c r="F73" s="3" t="s">
        <v>302</v>
      </c>
      <c r="G73" s="14">
        <v>0.48958333333333331</v>
      </c>
      <c r="H73" s="14">
        <v>0.54166666666666663</v>
      </c>
      <c r="I73" s="3">
        <v>5</v>
      </c>
      <c r="J73" s="3">
        <v>5</v>
      </c>
      <c r="K73" s="3" t="s">
        <v>198</v>
      </c>
      <c r="L73" s="3">
        <v>5</v>
      </c>
      <c r="M73" s="3">
        <v>25</v>
      </c>
      <c r="P73" s="3">
        <v>25</v>
      </c>
      <c r="R73" s="3">
        <v>5</v>
      </c>
      <c r="AC73" s="3">
        <v>9</v>
      </c>
      <c r="AG73" s="3">
        <v>20</v>
      </c>
      <c r="AM73" s="3">
        <v>68</v>
      </c>
      <c r="AZ73" s="3">
        <v>1</v>
      </c>
      <c r="BB73" s="3">
        <v>2</v>
      </c>
      <c r="BE73" s="3">
        <v>1</v>
      </c>
      <c r="BK73" s="3">
        <v>2</v>
      </c>
      <c r="BM73" s="3">
        <v>22</v>
      </c>
      <c r="BN73" s="3">
        <v>149</v>
      </c>
      <c r="BO73" s="3">
        <v>1</v>
      </c>
      <c r="BV73" s="3">
        <v>10</v>
      </c>
      <c r="BZ73" s="3">
        <v>12</v>
      </c>
      <c r="DM73" s="3">
        <v>21</v>
      </c>
      <c r="DU73" s="3"/>
      <c r="DV73" s="3">
        <v>15</v>
      </c>
      <c r="EJ73" s="3">
        <v>108</v>
      </c>
      <c r="FB73" s="3">
        <v>11</v>
      </c>
      <c r="FO73" s="3"/>
      <c r="FP73" s="3">
        <v>1</v>
      </c>
      <c r="FR73" s="3">
        <v>8</v>
      </c>
      <c r="FS73" s="3">
        <v>55</v>
      </c>
      <c r="GH73" s="3">
        <f t="shared" si="20"/>
        <v>20</v>
      </c>
      <c r="GI73" s="3">
        <f t="shared" si="21"/>
        <v>16</v>
      </c>
      <c r="GJ73" s="3">
        <f t="shared" si="22"/>
        <v>14</v>
      </c>
      <c r="GK73" s="3">
        <f t="shared" si="23"/>
        <v>521</v>
      </c>
      <c r="GL73" s="3">
        <f t="shared" si="24"/>
        <v>625</v>
      </c>
      <c r="GM73" s="3">
        <f t="shared" si="25"/>
        <v>104</v>
      </c>
    </row>
    <row r="74" spans="1:217" ht="13" x14ac:dyDescent="0.15">
      <c r="A74" s="13">
        <v>42475</v>
      </c>
      <c r="B74" s="3" t="s">
        <v>303</v>
      </c>
      <c r="C74" s="16">
        <f t="shared" si="13"/>
        <v>68</v>
      </c>
      <c r="D74" s="3">
        <v>20.994240000000001</v>
      </c>
      <c r="E74" s="3">
        <v>-156.66825900000001</v>
      </c>
      <c r="F74" s="3" t="s">
        <v>274</v>
      </c>
      <c r="G74" s="14">
        <v>0.33333333333333331</v>
      </c>
      <c r="H74" s="14">
        <v>0.41666666666666669</v>
      </c>
      <c r="I74" s="3">
        <v>4</v>
      </c>
      <c r="J74" s="3">
        <v>22</v>
      </c>
      <c r="K74" s="3" t="s">
        <v>217</v>
      </c>
      <c r="L74" s="3">
        <v>12</v>
      </c>
      <c r="M74" s="3">
        <v>35</v>
      </c>
      <c r="N74" s="3" t="s">
        <v>296</v>
      </c>
      <c r="P74" s="3">
        <v>35</v>
      </c>
      <c r="R74" s="3">
        <v>24</v>
      </c>
      <c r="T74" s="3">
        <v>9</v>
      </c>
      <c r="AB74" s="3">
        <v>77</v>
      </c>
      <c r="AD74" s="3">
        <v>6</v>
      </c>
      <c r="AF74" s="3">
        <v>2</v>
      </c>
      <c r="AM74" s="3">
        <v>35</v>
      </c>
      <c r="AX74" s="3">
        <v>4</v>
      </c>
      <c r="AZ74" s="3">
        <v>2</v>
      </c>
      <c r="BB74" s="3">
        <v>3</v>
      </c>
      <c r="BG74" s="3">
        <v>1</v>
      </c>
      <c r="BI74" s="3">
        <v>1</v>
      </c>
      <c r="BK74" s="3">
        <v>5</v>
      </c>
      <c r="BM74" s="3">
        <v>59</v>
      </c>
      <c r="BN74" s="3">
        <v>16</v>
      </c>
      <c r="BY74" s="3">
        <v>6</v>
      </c>
      <c r="CB74" s="3">
        <v>3</v>
      </c>
      <c r="CC74" s="3">
        <v>5</v>
      </c>
      <c r="CO74" s="3">
        <v>98</v>
      </c>
      <c r="DG74" s="3">
        <v>6</v>
      </c>
      <c r="DH74" s="3">
        <v>3</v>
      </c>
      <c r="DM74" s="3">
        <v>3</v>
      </c>
      <c r="DQ74" s="3">
        <v>1</v>
      </c>
      <c r="EJ74" s="3">
        <v>13</v>
      </c>
      <c r="EN74" s="3">
        <v>1</v>
      </c>
      <c r="EW74" s="3">
        <v>5</v>
      </c>
      <c r="FB74" s="3">
        <v>9</v>
      </c>
      <c r="FC74" s="3">
        <v>1</v>
      </c>
      <c r="FM74" s="3">
        <v>16</v>
      </c>
      <c r="FO74" s="3"/>
      <c r="FP74" s="3">
        <v>2</v>
      </c>
      <c r="FS74" s="3">
        <v>176</v>
      </c>
      <c r="FT74" s="3">
        <v>7</v>
      </c>
      <c r="GH74" s="3">
        <f t="shared" si="20"/>
        <v>31</v>
      </c>
      <c r="GI74" s="3">
        <f t="shared" si="21"/>
        <v>26</v>
      </c>
      <c r="GJ74" s="3">
        <f t="shared" si="22"/>
        <v>18</v>
      </c>
      <c r="GK74" s="3">
        <f t="shared" si="23"/>
        <v>599</v>
      </c>
      <c r="GL74" s="3">
        <f t="shared" si="24"/>
        <v>875</v>
      </c>
      <c r="GM74" s="3">
        <f t="shared" si="25"/>
        <v>276</v>
      </c>
    </row>
    <row r="75" spans="1:217" ht="13" x14ac:dyDescent="0.15">
      <c r="A75" s="13">
        <v>42479</v>
      </c>
      <c r="B75" s="3" t="s">
        <v>201</v>
      </c>
      <c r="C75" s="16">
        <f t="shared" si="13"/>
        <v>69</v>
      </c>
      <c r="D75" s="3">
        <v>21.25544</v>
      </c>
      <c r="E75" s="3">
        <v>-157.810303</v>
      </c>
      <c r="F75" s="3" t="s">
        <v>274</v>
      </c>
      <c r="G75" s="14">
        <v>0.3611111111111111</v>
      </c>
      <c r="H75" s="14">
        <v>0.41666666666666669</v>
      </c>
      <c r="I75" s="3">
        <v>5</v>
      </c>
      <c r="J75" s="3">
        <v>14</v>
      </c>
      <c r="K75" s="3" t="s">
        <v>217</v>
      </c>
      <c r="L75" s="3">
        <v>7</v>
      </c>
      <c r="M75" s="3">
        <v>29</v>
      </c>
      <c r="N75" s="3" t="s">
        <v>304</v>
      </c>
      <c r="P75" s="3">
        <v>29</v>
      </c>
      <c r="R75" s="3">
        <v>1</v>
      </c>
      <c r="X75" s="3">
        <v>1</v>
      </c>
      <c r="AB75" s="3">
        <v>11</v>
      </c>
      <c r="AI75" s="3">
        <v>2</v>
      </c>
      <c r="AO75" s="3"/>
      <c r="AP75" s="3">
        <v>2</v>
      </c>
      <c r="BB75" s="3">
        <v>9</v>
      </c>
      <c r="BL75" s="3">
        <v>1</v>
      </c>
      <c r="BM75" s="3">
        <v>5</v>
      </c>
      <c r="BN75" s="3">
        <v>26</v>
      </c>
      <c r="BQ75" s="3">
        <v>36</v>
      </c>
      <c r="BV75" s="3">
        <v>4</v>
      </c>
      <c r="BZ75" s="3">
        <v>13</v>
      </c>
      <c r="CK75" s="3">
        <v>5</v>
      </c>
      <c r="CS75" s="3">
        <v>1</v>
      </c>
      <c r="DG75" s="3">
        <v>13</v>
      </c>
      <c r="DM75" s="3">
        <v>72</v>
      </c>
      <c r="DP75" s="3">
        <v>9</v>
      </c>
      <c r="DU75" s="3"/>
      <c r="DV75" s="3">
        <v>4</v>
      </c>
      <c r="EC75" s="3">
        <v>1</v>
      </c>
      <c r="EE75" s="3"/>
      <c r="EF75" s="3">
        <v>2</v>
      </c>
      <c r="EJ75" s="3">
        <v>174</v>
      </c>
      <c r="EK75" s="3">
        <v>1</v>
      </c>
      <c r="FB75" s="3">
        <v>21</v>
      </c>
      <c r="FI75" s="3">
        <v>35</v>
      </c>
      <c r="FO75" s="3"/>
      <c r="FP75" s="3">
        <v>1</v>
      </c>
      <c r="FR75" s="3">
        <v>11</v>
      </c>
      <c r="FS75" s="3">
        <v>28</v>
      </c>
      <c r="FU75" s="3">
        <v>1</v>
      </c>
      <c r="GH75" s="3">
        <f t="shared" si="20"/>
        <v>28</v>
      </c>
      <c r="GI75" s="3">
        <f t="shared" si="21"/>
        <v>20</v>
      </c>
      <c r="GJ75" s="3">
        <f t="shared" si="22"/>
        <v>15</v>
      </c>
      <c r="GK75" s="3">
        <f t="shared" si="23"/>
        <v>490</v>
      </c>
      <c r="GL75" s="3">
        <f t="shared" si="24"/>
        <v>725</v>
      </c>
      <c r="GM75" s="3">
        <f t="shared" si="25"/>
        <v>235</v>
      </c>
    </row>
    <row r="76" spans="1:217" ht="13" x14ac:dyDescent="0.15">
      <c r="A76" s="27">
        <v>42479</v>
      </c>
      <c r="B76" s="28" t="s">
        <v>293</v>
      </c>
      <c r="C76" s="16">
        <f t="shared" si="13"/>
        <v>70</v>
      </c>
      <c r="D76" s="28">
        <v>19.738602</v>
      </c>
      <c r="E76" s="28">
        <v>-155.03887900000001</v>
      </c>
      <c r="F76" s="28" t="s">
        <v>274</v>
      </c>
      <c r="G76" s="29">
        <v>0.43055555555555558</v>
      </c>
      <c r="H76" s="29">
        <v>0.46180555555555558</v>
      </c>
      <c r="I76" s="28">
        <v>4</v>
      </c>
      <c r="J76" s="28">
        <v>13</v>
      </c>
      <c r="K76" s="28" t="s">
        <v>314</v>
      </c>
      <c r="L76" s="28">
        <v>12</v>
      </c>
      <c r="M76" s="28">
        <v>26</v>
      </c>
      <c r="N76" s="28" t="s">
        <v>343</v>
      </c>
      <c r="O76" s="28"/>
      <c r="P76" s="28"/>
      <c r="Q76" s="28"/>
      <c r="R76" s="28"/>
      <c r="S76" s="28"/>
      <c r="T76" s="28"/>
      <c r="U76" s="28"/>
      <c r="V76" s="28"/>
      <c r="W76" s="28"/>
      <c r="X76" s="28"/>
      <c r="Y76" s="28"/>
      <c r="Z76" s="28"/>
      <c r="AA76" s="28"/>
      <c r="AB76" s="28"/>
      <c r="AC76" s="28"/>
      <c r="AD76" s="28"/>
      <c r="AE76" s="28"/>
      <c r="AF76" s="28"/>
      <c r="AG76" s="28"/>
      <c r="AH76" s="28">
        <v>9</v>
      </c>
      <c r="AI76" s="28"/>
      <c r="AJ76" s="28"/>
      <c r="AK76" s="28"/>
      <c r="AL76" s="28">
        <v>3</v>
      </c>
      <c r="AM76" s="28"/>
      <c r="AN76" s="28"/>
      <c r="AO76" s="28"/>
      <c r="AP76" s="28"/>
      <c r="AQ76" s="28">
        <v>2</v>
      </c>
      <c r="AR76" s="28"/>
      <c r="AS76" s="28"/>
      <c r="AT76" s="28"/>
      <c r="AU76" s="28"/>
      <c r="AV76" s="28"/>
      <c r="AW76" s="28"/>
      <c r="AX76" s="28"/>
      <c r="AY76" s="28"/>
      <c r="AZ76" s="28"/>
      <c r="BA76" s="28"/>
      <c r="BB76" s="28"/>
      <c r="BC76" s="28"/>
      <c r="BD76" s="28"/>
      <c r="BE76" s="28"/>
      <c r="BF76" s="28"/>
      <c r="BG76" s="28"/>
      <c r="BH76" s="28"/>
      <c r="BI76" s="28"/>
      <c r="BJ76" s="28"/>
      <c r="BK76" s="28"/>
      <c r="BL76" s="28"/>
      <c r="BM76" s="28">
        <v>77</v>
      </c>
      <c r="BN76" s="28"/>
      <c r="BO76" s="28"/>
      <c r="BP76" s="28"/>
      <c r="BQ76" s="28"/>
      <c r="BR76" s="28"/>
      <c r="BS76" s="28"/>
      <c r="BT76" s="28"/>
      <c r="BU76" s="28"/>
      <c r="BV76" s="28"/>
      <c r="BW76" s="28"/>
      <c r="BX76" s="28"/>
      <c r="BY76" s="28"/>
      <c r="BZ76" s="28"/>
      <c r="CA76" s="28"/>
      <c r="CB76" s="28"/>
      <c r="CC76" s="28">
        <v>6</v>
      </c>
      <c r="CD76" s="28">
        <v>1</v>
      </c>
      <c r="CE76" s="28"/>
      <c r="CF76" s="28"/>
      <c r="CG76" s="28"/>
      <c r="CH76" s="28"/>
      <c r="CI76" s="28"/>
      <c r="CJ76" s="28"/>
      <c r="CK76" s="28"/>
      <c r="CL76" s="28"/>
      <c r="CM76" s="28"/>
      <c r="CN76" s="28"/>
      <c r="CO76" s="28">
        <v>40</v>
      </c>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v>13</v>
      </c>
      <c r="EK76" s="28"/>
      <c r="EL76" s="28"/>
      <c r="EM76" s="28"/>
      <c r="EN76" s="28"/>
      <c r="EO76" s="28"/>
      <c r="EP76" s="28"/>
      <c r="EQ76" s="28"/>
      <c r="ER76" s="28"/>
      <c r="ES76" s="28"/>
      <c r="ET76" s="28"/>
      <c r="EU76" s="28"/>
      <c r="EV76" s="28"/>
      <c r="EW76" s="28"/>
      <c r="EX76" s="28">
        <v>3</v>
      </c>
      <c r="EY76" s="28"/>
      <c r="EZ76" s="28"/>
      <c r="FA76" s="28"/>
      <c r="FB76" s="28"/>
      <c r="FC76" s="28"/>
      <c r="FD76" s="28"/>
      <c r="FE76" s="28"/>
      <c r="FF76" s="28"/>
      <c r="FG76" s="28"/>
      <c r="FH76" s="28"/>
      <c r="FI76" s="28"/>
      <c r="FJ76" s="28"/>
      <c r="FK76" s="28"/>
      <c r="FL76" s="28"/>
      <c r="FM76" s="28"/>
      <c r="FN76" s="28"/>
      <c r="FO76" s="28"/>
      <c r="FP76" s="28"/>
      <c r="FQ76" s="28">
        <v>8</v>
      </c>
      <c r="FR76" s="28">
        <v>2</v>
      </c>
      <c r="FS76" s="28">
        <v>95</v>
      </c>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c r="GV76" s="28"/>
      <c r="GW76" s="28"/>
      <c r="GX76" s="28"/>
      <c r="GY76" s="28"/>
      <c r="GZ76" s="28"/>
      <c r="HA76" s="28"/>
      <c r="HB76" s="28"/>
      <c r="HC76" s="28"/>
      <c r="HD76" s="28"/>
      <c r="HE76" s="28"/>
      <c r="HF76" s="28"/>
      <c r="HG76" s="28"/>
      <c r="HH76" s="28"/>
      <c r="HI76" s="28"/>
    </row>
    <row r="77" spans="1:217" ht="13" x14ac:dyDescent="0.15">
      <c r="A77" s="24">
        <v>42481</v>
      </c>
      <c r="B77" s="25" t="s">
        <v>240</v>
      </c>
      <c r="C77" s="16">
        <f t="shared" si="13"/>
        <v>71</v>
      </c>
      <c r="D77" s="25">
        <v>21.105899999999998</v>
      </c>
      <c r="E77" s="25">
        <v>-156.746094</v>
      </c>
      <c r="F77" s="25" t="s">
        <v>286</v>
      </c>
      <c r="G77" s="26">
        <v>0.37361111111111112</v>
      </c>
      <c r="H77" s="26">
        <v>0.40763888888888888</v>
      </c>
      <c r="I77" s="25">
        <v>4</v>
      </c>
      <c r="J77" s="25">
        <v>13</v>
      </c>
      <c r="K77" s="25" t="s">
        <v>198</v>
      </c>
      <c r="L77" s="25">
        <v>12</v>
      </c>
      <c r="M77" s="25">
        <v>34</v>
      </c>
      <c r="N77" s="25" t="s">
        <v>305</v>
      </c>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v>1</v>
      </c>
      <c r="AQ77" s="25"/>
      <c r="AR77" s="25"/>
      <c r="AS77" s="25"/>
      <c r="AT77" s="25"/>
      <c r="AU77" s="25"/>
      <c r="AV77" s="25"/>
      <c r="AW77" s="25"/>
      <c r="AX77" s="25"/>
      <c r="AY77" s="25"/>
      <c r="AZ77" s="25"/>
      <c r="BA77" s="25"/>
      <c r="BB77" s="25"/>
      <c r="BC77" s="25"/>
      <c r="BD77" s="25"/>
      <c r="BE77" s="25">
        <v>7</v>
      </c>
      <c r="BF77" s="25"/>
      <c r="BG77" s="25"/>
      <c r="BH77" s="25">
        <v>1</v>
      </c>
      <c r="BI77" s="25"/>
      <c r="BJ77" s="25"/>
      <c r="BK77" s="25"/>
      <c r="BL77" s="25"/>
      <c r="BM77" s="25">
        <v>41</v>
      </c>
      <c r="BN77" s="25">
        <v>2</v>
      </c>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v>2</v>
      </c>
      <c r="CR77" s="25"/>
      <c r="CS77" s="25"/>
      <c r="CT77" s="25"/>
      <c r="CU77" s="25"/>
      <c r="CV77" s="25"/>
      <c r="CW77" s="25">
        <v>5</v>
      </c>
      <c r="CX77" s="25"/>
      <c r="CY77" s="25"/>
      <c r="CZ77" s="25"/>
      <c r="DA77" s="25"/>
      <c r="DB77" s="25"/>
      <c r="DC77" s="25"/>
      <c r="DD77" s="25"/>
      <c r="DE77" s="25"/>
      <c r="DF77" s="25"/>
      <c r="DG77" s="25">
        <v>1</v>
      </c>
      <c r="DH77" s="25"/>
      <c r="DI77" s="25"/>
      <c r="DJ77" s="25"/>
      <c r="DK77" s="25"/>
      <c r="DL77" s="25"/>
      <c r="DM77" s="25"/>
      <c r="DN77" s="25"/>
      <c r="DO77" s="25"/>
      <c r="DP77" s="25"/>
      <c r="DQ77" s="25"/>
      <c r="DR77" s="25"/>
      <c r="DS77" s="25"/>
      <c r="DT77" s="25"/>
      <c r="DU77" s="25"/>
      <c r="DV77" s="25">
        <v>3</v>
      </c>
      <c r="DW77" s="25"/>
      <c r="DX77" s="25"/>
      <c r="DY77" s="25"/>
      <c r="DZ77" s="25">
        <v>2</v>
      </c>
      <c r="EA77" s="25"/>
      <c r="EB77" s="25"/>
      <c r="EC77" s="25"/>
      <c r="ED77" s="25"/>
      <c r="EE77" s="25">
        <v>1</v>
      </c>
      <c r="EF77" s="25"/>
      <c r="EG77" s="25">
        <v>1</v>
      </c>
      <c r="EH77" s="25"/>
      <c r="EI77" s="25"/>
      <c r="EJ77" s="25">
        <v>13</v>
      </c>
      <c r="EK77" s="25"/>
      <c r="EL77" s="25"/>
      <c r="EM77" s="25"/>
      <c r="EN77" s="25"/>
      <c r="EO77" s="25"/>
      <c r="EP77" s="25"/>
      <c r="EQ77" s="25"/>
      <c r="ER77" s="25"/>
      <c r="ES77" s="25"/>
      <c r="ET77" s="25"/>
      <c r="EU77" s="25"/>
      <c r="EV77" s="25"/>
      <c r="EW77" s="25"/>
      <c r="EX77" s="25">
        <v>2</v>
      </c>
      <c r="EY77" s="25"/>
      <c r="EZ77" s="25"/>
      <c r="FA77" s="25"/>
      <c r="FB77" s="25"/>
      <c r="FC77" s="25">
        <v>2</v>
      </c>
      <c r="FD77" s="25">
        <v>1</v>
      </c>
      <c r="FE77" s="25"/>
      <c r="FF77" s="25">
        <v>21</v>
      </c>
      <c r="FG77" s="25"/>
      <c r="FH77" s="25"/>
      <c r="FI77" s="25"/>
      <c r="FJ77" s="25"/>
      <c r="FK77" s="25"/>
      <c r="FL77" s="25"/>
      <c r="FM77" s="25"/>
      <c r="FN77" s="25"/>
      <c r="FO77" s="25"/>
      <c r="FP77" s="25"/>
      <c r="FQ77" s="25"/>
      <c r="FR77" s="25"/>
      <c r="FS77" s="25">
        <v>460</v>
      </c>
      <c r="FT77" s="25"/>
      <c r="FU77" s="25"/>
      <c r="FV77" s="25"/>
      <c r="FW77" s="25"/>
      <c r="FX77" s="25"/>
      <c r="FY77" s="25"/>
      <c r="FZ77" s="25"/>
      <c r="GA77" s="25"/>
      <c r="GB77" s="25"/>
      <c r="GC77" s="25"/>
      <c r="GD77" s="25"/>
      <c r="GE77" s="25"/>
      <c r="GF77" s="25"/>
      <c r="GG77" s="25"/>
      <c r="GH77" s="25">
        <f>COUNT(R77:GG77)</f>
        <v>18</v>
      </c>
      <c r="GI77" s="25">
        <f>COUNTIF(R77:GG77,"&gt;=2")</f>
        <v>12</v>
      </c>
      <c r="GJ77" s="25">
        <f>COUNTIF(R77:GG77,"&gt;=5")</f>
        <v>6</v>
      </c>
      <c r="GK77" s="25">
        <f>SUM(R77:GG77)</f>
        <v>566</v>
      </c>
      <c r="GL77" s="25">
        <f>25*P77</f>
        <v>0</v>
      </c>
      <c r="GM77" s="25">
        <f>GL77-GK77</f>
        <v>-566</v>
      </c>
      <c r="GN77" s="25"/>
      <c r="GO77" s="25"/>
      <c r="GP77" s="25"/>
      <c r="GQ77" s="25"/>
      <c r="GR77" s="25"/>
      <c r="GS77" s="25"/>
      <c r="GT77" s="25"/>
      <c r="GU77" s="25"/>
      <c r="GV77" s="25"/>
      <c r="GW77" s="25"/>
      <c r="GX77" s="25"/>
      <c r="GY77" s="25"/>
      <c r="GZ77" s="25"/>
      <c r="HA77" s="25"/>
      <c r="HB77" s="25"/>
      <c r="HC77" s="25"/>
      <c r="HD77" s="25"/>
      <c r="HE77" s="25"/>
      <c r="HF77" s="25"/>
      <c r="HG77" s="25"/>
      <c r="HH77" s="25"/>
      <c r="HI77" s="25"/>
    </row>
    <row r="78" spans="1:217" ht="13" x14ac:dyDescent="0.15">
      <c r="A78" s="27">
        <v>42482</v>
      </c>
      <c r="B78" s="28" t="s">
        <v>352</v>
      </c>
      <c r="C78" s="16">
        <f t="shared" si="13"/>
        <v>72</v>
      </c>
      <c r="D78" s="28">
        <v>21.7057</v>
      </c>
      <c r="E78" s="28">
        <v>-157.99569700000001</v>
      </c>
      <c r="F78" s="28" t="s">
        <v>353</v>
      </c>
      <c r="G78" s="29">
        <v>0.42708333333333331</v>
      </c>
      <c r="H78" s="29">
        <v>0.47916666666666669</v>
      </c>
      <c r="I78" s="28">
        <v>5</v>
      </c>
      <c r="J78" s="28">
        <v>17</v>
      </c>
      <c r="K78" s="28" t="s">
        <v>198</v>
      </c>
      <c r="L78" s="28">
        <v>8</v>
      </c>
      <c r="M78" s="28">
        <v>27</v>
      </c>
      <c r="N78" s="28" t="s">
        <v>354</v>
      </c>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v>1</v>
      </c>
      <c r="BN78" s="28">
        <v>328</v>
      </c>
      <c r="BO78" s="28"/>
      <c r="BP78" s="28"/>
      <c r="BQ78" s="28"/>
      <c r="BR78" s="28"/>
      <c r="BS78" s="28"/>
      <c r="BT78" s="28"/>
      <c r="BU78" s="28"/>
      <c r="BV78" s="28"/>
      <c r="BW78" s="28"/>
      <c r="BX78" s="28"/>
      <c r="BY78" s="28"/>
      <c r="BZ78" s="28"/>
      <c r="CA78" s="28"/>
      <c r="CB78" s="28">
        <v>4</v>
      </c>
      <c r="CC78" s="28">
        <v>7</v>
      </c>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c r="DP78" s="28">
        <v>19</v>
      </c>
      <c r="DQ78" s="28"/>
      <c r="DR78" s="28"/>
      <c r="DS78" s="28"/>
      <c r="DT78" s="28"/>
      <c r="DU78" s="28"/>
      <c r="DV78" s="28">
        <v>5</v>
      </c>
      <c r="DW78" s="28"/>
      <c r="DX78" s="28"/>
      <c r="DY78" s="28"/>
      <c r="DZ78" s="28"/>
      <c r="EA78" s="28"/>
      <c r="EB78" s="28"/>
      <c r="EC78" s="28"/>
      <c r="ED78" s="28">
        <v>2</v>
      </c>
      <c r="EE78" s="28"/>
      <c r="EF78" s="28">
        <v>3</v>
      </c>
      <c r="EG78" s="28"/>
      <c r="EH78" s="28"/>
      <c r="EI78" s="28"/>
      <c r="EJ78" s="28"/>
      <c r="EK78" s="28"/>
      <c r="EL78" s="28"/>
      <c r="EM78" s="28"/>
      <c r="EN78" s="28">
        <v>6</v>
      </c>
      <c r="EO78" s="28"/>
      <c r="EP78" s="28"/>
      <c r="EQ78" s="28"/>
      <c r="ER78" s="28"/>
      <c r="ES78" s="28"/>
      <c r="ET78" s="28"/>
      <c r="EU78" s="28"/>
      <c r="EV78" s="28"/>
      <c r="EW78" s="28"/>
      <c r="EX78" s="28"/>
      <c r="EY78" s="28"/>
      <c r="EZ78" s="28"/>
      <c r="FA78" s="28"/>
      <c r="FB78" s="28"/>
      <c r="FC78" s="28">
        <v>1</v>
      </c>
      <c r="FD78" s="28"/>
      <c r="FE78" s="28"/>
      <c r="FF78" s="28"/>
      <c r="FG78" s="28"/>
      <c r="FH78" s="28"/>
      <c r="FI78" s="28"/>
      <c r="FJ78" s="28"/>
      <c r="FK78" s="28">
        <v>13</v>
      </c>
      <c r="FL78" s="28"/>
      <c r="FM78" s="28"/>
      <c r="FN78" s="28"/>
      <c r="FO78" s="28"/>
      <c r="FP78" s="28"/>
      <c r="FQ78" s="28"/>
      <c r="FR78" s="28"/>
      <c r="FS78" s="28">
        <v>15</v>
      </c>
      <c r="FT78" s="28"/>
      <c r="FU78" s="28"/>
      <c r="FV78" s="28"/>
      <c r="FW78" s="28"/>
      <c r="FX78" s="28"/>
      <c r="FY78" s="28"/>
      <c r="FZ78" s="28"/>
      <c r="GA78" s="28"/>
      <c r="GB78" s="28"/>
      <c r="GC78" s="28"/>
      <c r="GD78" s="28"/>
      <c r="GE78" s="28"/>
      <c r="GF78" s="28"/>
      <c r="GG78" s="28"/>
      <c r="GH78" s="28"/>
      <c r="GI78" s="28"/>
      <c r="GJ78" s="28"/>
      <c r="GK78" s="28"/>
      <c r="GL78" s="28"/>
      <c r="GM78" s="28"/>
      <c r="GN78" s="28"/>
      <c r="GO78" s="28"/>
      <c r="GP78" s="28"/>
      <c r="GQ78" s="28"/>
      <c r="GR78" s="28"/>
      <c r="GS78" s="28"/>
      <c r="GT78" s="28"/>
      <c r="GU78" s="28"/>
      <c r="GV78" s="28"/>
      <c r="GW78" s="28"/>
      <c r="GX78" s="28"/>
      <c r="GY78" s="28"/>
      <c r="GZ78" s="28"/>
      <c r="HA78" s="28"/>
      <c r="HB78" s="28"/>
      <c r="HC78" s="28"/>
      <c r="HD78" s="28"/>
      <c r="HE78" s="28"/>
      <c r="HF78" s="28"/>
      <c r="HG78" s="28"/>
      <c r="HH78" s="28"/>
      <c r="HI78" s="28"/>
    </row>
    <row r="79" spans="1:217" ht="13" x14ac:dyDescent="0.15">
      <c r="A79" s="27">
        <v>42482</v>
      </c>
      <c r="B79" s="28" t="s">
        <v>359</v>
      </c>
      <c r="C79" s="16">
        <f t="shared" si="13"/>
        <v>73</v>
      </c>
      <c r="D79" s="28">
        <v>21.196847999999999</v>
      </c>
      <c r="E79" s="28">
        <v>-157.14347799999999</v>
      </c>
      <c r="F79" s="28" t="s">
        <v>286</v>
      </c>
      <c r="G79" s="29">
        <v>0.35972222222222222</v>
      </c>
      <c r="H79" s="29">
        <v>0.39583333333333331</v>
      </c>
      <c r="I79" s="28">
        <v>4</v>
      </c>
      <c r="J79" s="28">
        <v>13</v>
      </c>
      <c r="K79" s="28" t="s">
        <v>314</v>
      </c>
      <c r="L79" s="28">
        <v>14</v>
      </c>
      <c r="M79" s="28">
        <v>36</v>
      </c>
      <c r="N79" s="28" t="s">
        <v>362</v>
      </c>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v>2</v>
      </c>
      <c r="CW79" s="28"/>
      <c r="CX79" s="28"/>
      <c r="CY79" s="28"/>
      <c r="CZ79" s="28"/>
      <c r="DA79" s="28"/>
      <c r="DB79" s="28"/>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c r="EJ79" s="28">
        <v>10</v>
      </c>
      <c r="EK79" s="28"/>
      <c r="EL79" s="28"/>
      <c r="EM79" s="28"/>
      <c r="EN79" s="28"/>
      <c r="EO79" s="28"/>
      <c r="EP79" s="28"/>
      <c r="EQ79" s="28"/>
      <c r="ER79" s="28"/>
      <c r="ES79" s="28"/>
      <c r="ET79" s="28"/>
      <c r="EU79" s="28"/>
      <c r="EV79" s="28"/>
      <c r="EW79" s="28"/>
      <c r="EX79" s="28"/>
      <c r="EY79" s="28"/>
      <c r="EZ79" s="28"/>
      <c r="FA79" s="28"/>
      <c r="FB79" s="28"/>
      <c r="FC79" s="28"/>
      <c r="FD79" s="28"/>
      <c r="FE79" s="28"/>
      <c r="FF79" s="28"/>
      <c r="FG79" s="28"/>
      <c r="FH79" s="28"/>
      <c r="FI79" s="28"/>
      <c r="FJ79" s="28"/>
      <c r="FK79" s="28"/>
      <c r="FL79" s="28">
        <v>1</v>
      </c>
      <c r="FM79" s="28"/>
      <c r="FN79" s="28"/>
      <c r="FO79" s="28"/>
      <c r="FP79" s="28"/>
      <c r="FQ79" s="28"/>
      <c r="FR79" s="28"/>
      <c r="FS79" s="28">
        <v>667</v>
      </c>
      <c r="FT79" s="28"/>
      <c r="FU79" s="28"/>
      <c r="FV79" s="28"/>
      <c r="FW79" s="28"/>
      <c r="FX79" s="28"/>
      <c r="FY79" s="28"/>
      <c r="FZ79" s="28"/>
      <c r="GA79" s="28"/>
      <c r="GB79" s="28"/>
      <c r="GC79" s="28"/>
      <c r="GD79" s="28"/>
      <c r="GE79" s="28"/>
      <c r="GF79" s="28"/>
      <c r="GG79" s="28"/>
      <c r="GH79" s="28"/>
      <c r="GI79" s="28"/>
      <c r="GJ79" s="28"/>
      <c r="GK79" s="28"/>
      <c r="GL79" s="28"/>
      <c r="GM79" s="28"/>
      <c r="GN79" s="28"/>
      <c r="GO79" s="28"/>
      <c r="GP79" s="28"/>
      <c r="GQ79" s="28"/>
      <c r="GR79" s="28"/>
      <c r="GS79" s="28"/>
      <c r="GT79" s="28"/>
      <c r="GU79" s="28"/>
      <c r="GV79" s="28"/>
      <c r="GW79" s="28"/>
      <c r="GX79" s="28"/>
      <c r="GY79" s="28"/>
      <c r="GZ79" s="28"/>
      <c r="HA79" s="28"/>
      <c r="HB79" s="28"/>
      <c r="HC79" s="28"/>
      <c r="HD79" s="28"/>
      <c r="HE79" s="28"/>
      <c r="HF79" s="28"/>
      <c r="HG79" s="28"/>
      <c r="HH79" s="28"/>
      <c r="HI79" s="28"/>
    </row>
    <row r="80" spans="1:217" ht="13" x14ac:dyDescent="0.15">
      <c r="A80" s="27">
        <v>42487</v>
      </c>
      <c r="B80" s="28" t="s">
        <v>366</v>
      </c>
      <c r="C80" s="16">
        <f t="shared" si="13"/>
        <v>74</v>
      </c>
      <c r="D80" s="28">
        <v>19.715052</v>
      </c>
      <c r="E80" s="28">
        <v>-156.04913300000001</v>
      </c>
      <c r="F80" s="28" t="s">
        <v>367</v>
      </c>
      <c r="G80" s="29">
        <v>0.44444444444444442</v>
      </c>
      <c r="H80" s="29">
        <v>0.46805555555555556</v>
      </c>
      <c r="I80" s="28">
        <v>4</v>
      </c>
      <c r="J80" s="28">
        <v>40</v>
      </c>
      <c r="K80" s="28" t="s">
        <v>198</v>
      </c>
      <c r="L80" s="28">
        <v>11</v>
      </c>
      <c r="M80" s="28">
        <v>38</v>
      </c>
      <c r="N80" s="28" t="s">
        <v>368</v>
      </c>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v>8</v>
      </c>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c r="ET80" s="28"/>
      <c r="EU80" s="28"/>
      <c r="EV80" s="28"/>
      <c r="EW80" s="28"/>
      <c r="EX80" s="28"/>
      <c r="EY80" s="28"/>
      <c r="EZ80" s="28"/>
      <c r="FA80" s="28"/>
      <c r="FB80" s="28"/>
      <c r="FC80" s="28"/>
      <c r="FD80" s="28"/>
      <c r="FE80" s="28"/>
      <c r="FF80" s="28"/>
      <c r="FG80" s="28"/>
      <c r="FH80" s="28"/>
      <c r="FI80" s="28"/>
      <c r="FJ80" s="28"/>
      <c r="FK80" s="28"/>
      <c r="FL80" s="28"/>
      <c r="FM80" s="28"/>
      <c r="FN80" s="28"/>
      <c r="FO80" s="28">
        <v>1</v>
      </c>
      <c r="FP80" s="28"/>
      <c r="FQ80" s="28"/>
      <c r="FR80" s="28"/>
      <c r="FS80" s="28">
        <v>789</v>
      </c>
      <c r="FT80" s="28"/>
      <c r="FU80" s="28"/>
      <c r="FV80" s="28"/>
      <c r="FW80" s="28"/>
      <c r="FX80" s="28"/>
      <c r="FY80" s="28"/>
      <c r="FZ80" s="28"/>
      <c r="GA80" s="28"/>
      <c r="GB80" s="28"/>
      <c r="GC80" s="28"/>
      <c r="GD80" s="28"/>
      <c r="GE80" s="28"/>
      <c r="GF80" s="28"/>
      <c r="GG80" s="28"/>
      <c r="GH80" s="28"/>
      <c r="GI80" s="28"/>
      <c r="GJ80" s="28"/>
      <c r="GK80" s="28"/>
      <c r="GL80" s="28"/>
      <c r="GM80" s="28"/>
      <c r="GN80" s="28"/>
      <c r="GO80" s="28"/>
      <c r="GP80" s="28"/>
      <c r="GQ80" s="28"/>
      <c r="GR80" s="28"/>
      <c r="GS80" s="28"/>
      <c r="GT80" s="28"/>
      <c r="GU80" s="28"/>
      <c r="GV80" s="28"/>
      <c r="GW80" s="28"/>
      <c r="GX80" s="28"/>
      <c r="GY80" s="28"/>
      <c r="GZ80" s="28"/>
      <c r="HA80" s="28"/>
      <c r="HB80" s="28"/>
      <c r="HC80" s="28"/>
      <c r="HD80" s="28"/>
      <c r="HE80" s="28"/>
      <c r="HF80" s="28"/>
      <c r="HG80" s="28"/>
      <c r="HH80" s="28"/>
      <c r="HI80" s="28"/>
    </row>
    <row r="81" spans="1:217" ht="13" x14ac:dyDescent="0.15">
      <c r="A81" s="13">
        <v>42488</v>
      </c>
      <c r="B81" s="3" t="s">
        <v>230</v>
      </c>
      <c r="C81" s="16">
        <f t="shared" si="13"/>
        <v>75</v>
      </c>
      <c r="D81" s="3">
        <v>20.753699999999998</v>
      </c>
      <c r="E81" s="3">
        <v>-156.46090699999999</v>
      </c>
      <c r="F81" s="3" t="s">
        <v>274</v>
      </c>
      <c r="G81" s="14">
        <v>0.41111111111111109</v>
      </c>
      <c r="H81" s="14">
        <v>0.51527777777777772</v>
      </c>
      <c r="I81" s="3">
        <v>4</v>
      </c>
      <c r="J81" s="3">
        <v>14</v>
      </c>
      <c r="K81" s="3" t="s">
        <v>277</v>
      </c>
      <c r="L81" s="3">
        <v>10</v>
      </c>
      <c r="M81" s="3">
        <v>39</v>
      </c>
      <c r="N81" s="3" t="s">
        <v>306</v>
      </c>
      <c r="P81" s="3">
        <v>39</v>
      </c>
      <c r="BK81" s="3">
        <v>31</v>
      </c>
      <c r="BM81" s="3">
        <v>397</v>
      </c>
      <c r="BQ81" s="3">
        <v>5</v>
      </c>
      <c r="ED81" s="3">
        <v>15</v>
      </c>
      <c r="FS81" s="3">
        <v>22</v>
      </c>
      <c r="GH81" s="3">
        <f t="shared" ref="GH81:GH82" si="26">COUNT(R81:GG81)</f>
        <v>5</v>
      </c>
      <c r="GI81" s="3">
        <f t="shared" ref="GI81:GI82" si="27">COUNTIF(R81:GG81,"&gt;=2")</f>
        <v>5</v>
      </c>
      <c r="GJ81" s="3">
        <f t="shared" ref="GJ81:GJ82" si="28">COUNTIF(R81:GG81,"&gt;=5")</f>
        <v>5</v>
      </c>
      <c r="GK81" s="3">
        <f t="shared" ref="GK81:GK82" si="29">SUM(R81:GG81)</f>
        <v>470</v>
      </c>
      <c r="GL81" s="3">
        <f t="shared" ref="GL81:GL82" si="30">25*P81</f>
        <v>975</v>
      </c>
      <c r="GM81" s="3">
        <f t="shared" ref="GM81:GM82" si="31">GL81-GK81</f>
        <v>505</v>
      </c>
    </row>
    <row r="82" spans="1:217" ht="13" x14ac:dyDescent="0.15">
      <c r="A82" s="13">
        <v>42495</v>
      </c>
      <c r="B82" s="3" t="s">
        <v>307</v>
      </c>
      <c r="C82" s="16">
        <f t="shared" si="13"/>
        <v>76</v>
      </c>
      <c r="D82" s="3">
        <v>19.736111000000001</v>
      </c>
      <c r="E82" s="3">
        <v>-155.03083799999999</v>
      </c>
      <c r="F82" s="3" t="s">
        <v>308</v>
      </c>
      <c r="G82" s="14">
        <v>0.36180555555555555</v>
      </c>
      <c r="H82" s="14">
        <v>0.41666666666666669</v>
      </c>
      <c r="I82" s="3">
        <v>8</v>
      </c>
      <c r="J82" s="3">
        <v>11</v>
      </c>
      <c r="K82" s="3" t="s">
        <v>198</v>
      </c>
      <c r="L82" s="3">
        <v>11</v>
      </c>
      <c r="M82" s="3">
        <v>64</v>
      </c>
      <c r="N82" s="3" t="s">
        <v>309</v>
      </c>
      <c r="P82" s="3">
        <v>64</v>
      </c>
      <c r="R82" s="3">
        <v>42</v>
      </c>
      <c r="T82" s="3">
        <v>38</v>
      </c>
      <c r="AD82" s="3">
        <v>5</v>
      </c>
      <c r="BE82" s="3">
        <v>2</v>
      </c>
      <c r="BK82" s="3">
        <v>15</v>
      </c>
      <c r="BM82" s="3">
        <v>162</v>
      </c>
      <c r="BV82" s="3">
        <v>3</v>
      </c>
      <c r="CB82" s="3">
        <v>12</v>
      </c>
      <c r="CO82" s="3">
        <v>55</v>
      </c>
      <c r="ED82" s="3">
        <v>3</v>
      </c>
      <c r="EJ82" s="3">
        <v>27</v>
      </c>
      <c r="EX82" s="3">
        <v>1</v>
      </c>
      <c r="FL82" s="3">
        <v>71</v>
      </c>
      <c r="FQ82" s="3">
        <v>1</v>
      </c>
      <c r="FR82" s="3">
        <v>2</v>
      </c>
      <c r="FS82" s="3">
        <v>382</v>
      </c>
      <c r="FT82" s="3">
        <v>1</v>
      </c>
      <c r="GH82" s="3">
        <f t="shared" si="26"/>
        <v>17</v>
      </c>
      <c r="GI82" s="3">
        <f t="shared" si="27"/>
        <v>14</v>
      </c>
      <c r="GJ82" s="3">
        <f t="shared" si="28"/>
        <v>10</v>
      </c>
      <c r="GK82" s="3">
        <f t="shared" si="29"/>
        <v>822</v>
      </c>
      <c r="GL82" s="3">
        <f t="shared" si="30"/>
        <v>1600</v>
      </c>
      <c r="GM82" s="3">
        <f t="shared" si="31"/>
        <v>778</v>
      </c>
    </row>
    <row r="83" spans="1:217" ht="13" x14ac:dyDescent="0.15">
      <c r="A83" s="27">
        <v>42508</v>
      </c>
      <c r="B83" s="28" t="s">
        <v>377</v>
      </c>
      <c r="C83" s="16">
        <f t="shared" si="13"/>
        <v>77</v>
      </c>
      <c r="D83" s="28">
        <v>20.704999999999998</v>
      </c>
      <c r="E83" s="28">
        <v>-156.446945</v>
      </c>
      <c r="F83" s="28" t="s">
        <v>378</v>
      </c>
      <c r="G83" s="29">
        <v>0.37222222222222223</v>
      </c>
      <c r="H83" s="29">
        <v>0.41666666666666669</v>
      </c>
      <c r="I83" s="28">
        <v>9</v>
      </c>
      <c r="J83" s="28">
        <v>13</v>
      </c>
      <c r="K83" s="28" t="s">
        <v>217</v>
      </c>
      <c r="L83" s="28">
        <v>9</v>
      </c>
      <c r="M83" s="28">
        <v>8</v>
      </c>
      <c r="N83" s="28" t="s">
        <v>379</v>
      </c>
      <c r="O83" s="28"/>
      <c r="P83" s="28"/>
      <c r="Q83" s="28"/>
      <c r="R83" s="28">
        <v>1</v>
      </c>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v>13</v>
      </c>
      <c r="BC83" s="28"/>
      <c r="BD83" s="28"/>
      <c r="BE83" s="28"/>
      <c r="BF83" s="28"/>
      <c r="BG83" s="28"/>
      <c r="BH83" s="28"/>
      <c r="BI83" s="28"/>
      <c r="BJ83" s="28"/>
      <c r="BK83" s="28">
        <v>2</v>
      </c>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v>5</v>
      </c>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c r="ET83" s="28"/>
      <c r="EU83" s="28"/>
      <c r="EV83" s="28"/>
      <c r="EW83" s="28"/>
      <c r="EX83" s="28">
        <v>1</v>
      </c>
      <c r="EY83" s="28"/>
      <c r="EZ83" s="28"/>
      <c r="FA83" s="28"/>
      <c r="FB83" s="28"/>
      <c r="FC83" s="28"/>
      <c r="FD83" s="28"/>
      <c r="FE83" s="28"/>
      <c r="FF83" s="28"/>
      <c r="FG83" s="28"/>
      <c r="FH83" s="28"/>
      <c r="FI83" s="28"/>
      <c r="FJ83" s="28"/>
      <c r="FK83" s="28"/>
      <c r="FL83" s="28"/>
      <c r="FM83" s="28"/>
      <c r="FN83" s="28"/>
      <c r="FO83" s="28"/>
      <c r="FP83" s="28"/>
      <c r="FQ83" s="28"/>
      <c r="FR83" s="28"/>
      <c r="FS83" s="28"/>
      <c r="FT83" s="28"/>
      <c r="FU83" s="28">
        <v>21</v>
      </c>
      <c r="FV83" s="28"/>
      <c r="FW83" s="28"/>
      <c r="FX83" s="28"/>
      <c r="FY83" s="28"/>
      <c r="FZ83" s="28"/>
      <c r="GA83" s="28"/>
      <c r="GB83" s="28"/>
      <c r="GC83" s="28"/>
      <c r="GD83" s="28"/>
      <c r="GE83" s="28"/>
      <c r="GF83" s="28"/>
      <c r="GG83" s="28"/>
      <c r="GH83" s="28"/>
      <c r="GI83" s="28"/>
      <c r="GJ83" s="28"/>
      <c r="GK83" s="28"/>
      <c r="GL83" s="28"/>
      <c r="GM83" s="28"/>
      <c r="GN83" s="28"/>
      <c r="GO83" s="28"/>
      <c r="GP83" s="28"/>
      <c r="GQ83" s="28"/>
      <c r="GR83" s="28"/>
      <c r="GS83" s="28"/>
      <c r="GT83" s="28"/>
      <c r="GU83" s="28"/>
      <c r="GV83" s="28"/>
      <c r="GW83" s="28"/>
      <c r="GX83" s="28"/>
      <c r="GY83" s="28"/>
      <c r="GZ83" s="28"/>
      <c r="HA83" s="28"/>
      <c r="HB83" s="28"/>
      <c r="HC83" s="28"/>
      <c r="HD83" s="28"/>
      <c r="HE83" s="28"/>
      <c r="HF83" s="28"/>
      <c r="HG83" s="28"/>
      <c r="HH83" s="28"/>
      <c r="HI83" s="28"/>
    </row>
    <row r="84" spans="1:217" ht="13" x14ac:dyDescent="0.15">
      <c r="A84" s="13">
        <v>42510</v>
      </c>
      <c r="B84" s="3" t="s">
        <v>310</v>
      </c>
      <c r="C84" s="16">
        <f t="shared" si="13"/>
        <v>78</v>
      </c>
      <c r="D84" s="3">
        <v>19.457222000000002</v>
      </c>
      <c r="E84" s="3">
        <v>-155.925003</v>
      </c>
      <c r="F84" s="3" t="s">
        <v>197</v>
      </c>
      <c r="G84" s="14">
        <v>0.31944444444444442</v>
      </c>
      <c r="H84" s="14">
        <v>0.38541666666666669</v>
      </c>
      <c r="I84" s="3">
        <v>4</v>
      </c>
      <c r="J84" s="3">
        <v>30</v>
      </c>
      <c r="K84" s="3" t="s">
        <v>198</v>
      </c>
      <c r="L84" s="3">
        <v>14</v>
      </c>
      <c r="M84" s="3">
        <v>41</v>
      </c>
      <c r="N84" s="3" t="s">
        <v>311</v>
      </c>
      <c r="P84" s="3">
        <v>41</v>
      </c>
      <c r="AB84" s="3">
        <v>55</v>
      </c>
      <c r="AM84" s="3">
        <v>102</v>
      </c>
      <c r="BB84" s="3">
        <v>4</v>
      </c>
      <c r="BG84" s="3">
        <v>4</v>
      </c>
      <c r="BM84" s="3">
        <v>60</v>
      </c>
      <c r="CB84" s="3">
        <v>2</v>
      </c>
      <c r="CG84" s="3"/>
      <c r="CH84" s="3">
        <v>1</v>
      </c>
      <c r="DM84" s="3">
        <v>4</v>
      </c>
      <c r="DU84" s="3"/>
      <c r="DV84" s="3">
        <v>36</v>
      </c>
      <c r="EJ84" s="3">
        <v>13</v>
      </c>
      <c r="FB84" s="3">
        <v>37</v>
      </c>
      <c r="FC84" s="3">
        <v>1</v>
      </c>
      <c r="FF84" s="3">
        <v>70</v>
      </c>
      <c r="FQ84" s="3">
        <v>13</v>
      </c>
      <c r="FR84" s="3">
        <v>109</v>
      </c>
      <c r="FS84" s="3">
        <v>265</v>
      </c>
      <c r="GH84" s="3">
        <f t="shared" ref="GH84:GH96" si="32">COUNT(R84:GG84)</f>
        <v>16</v>
      </c>
      <c r="GI84" s="3">
        <f t="shared" ref="GI84:GI96" si="33">COUNTIF(R84:GG84,"&gt;=2")</f>
        <v>14</v>
      </c>
      <c r="GJ84" s="3">
        <f t="shared" ref="GJ84:GJ96" si="34">COUNTIF(R84:GG84,"&gt;=5")</f>
        <v>10</v>
      </c>
      <c r="GK84" s="3">
        <f t="shared" ref="GK84:GK96" si="35">SUM(R84:GG84)</f>
        <v>776</v>
      </c>
      <c r="GL84" s="3">
        <f t="shared" ref="GL84:GL96" si="36">25*P84</f>
        <v>1025</v>
      </c>
      <c r="GM84" s="3">
        <f t="shared" ref="GM84:GM96" si="37">GL84-GK84</f>
        <v>249</v>
      </c>
    </row>
    <row r="85" spans="1:217" ht="13" x14ac:dyDescent="0.15">
      <c r="A85" s="13">
        <v>42761</v>
      </c>
      <c r="B85" s="3" t="s">
        <v>233</v>
      </c>
      <c r="C85" s="16">
        <f t="shared" si="13"/>
        <v>79</v>
      </c>
      <c r="D85" s="23">
        <v>21.066799</v>
      </c>
      <c r="E85" s="23">
        <v>-156.804993</v>
      </c>
      <c r="F85" s="3" t="s">
        <v>286</v>
      </c>
      <c r="G85" s="14">
        <v>0.41666666666666669</v>
      </c>
      <c r="H85" s="14">
        <v>0.47222222222222221</v>
      </c>
      <c r="I85" s="3">
        <v>4</v>
      </c>
      <c r="J85" s="3">
        <v>20</v>
      </c>
      <c r="K85" s="3" t="s">
        <v>217</v>
      </c>
      <c r="L85" s="3">
        <v>10</v>
      </c>
      <c r="M85" s="3">
        <v>20</v>
      </c>
      <c r="N85" s="3" t="s">
        <v>316</v>
      </c>
      <c r="O85" s="3" t="s">
        <v>317</v>
      </c>
      <c r="P85" s="3">
        <v>20</v>
      </c>
      <c r="R85" s="3">
        <v>20</v>
      </c>
      <c r="Y85" s="3"/>
      <c r="Z85" s="3">
        <v>57</v>
      </c>
      <c r="CO85" s="3">
        <v>20</v>
      </c>
      <c r="DM85" s="3">
        <v>35</v>
      </c>
      <c r="DR85" s="3"/>
      <c r="DS85" s="3">
        <v>7</v>
      </c>
      <c r="FS85" s="3">
        <v>219</v>
      </c>
      <c r="FZ85" s="3">
        <v>24</v>
      </c>
      <c r="GH85" s="3">
        <f t="shared" si="32"/>
        <v>7</v>
      </c>
      <c r="GI85" s="3">
        <f t="shared" si="33"/>
        <v>7</v>
      </c>
      <c r="GJ85" s="3">
        <f t="shared" si="34"/>
        <v>7</v>
      </c>
      <c r="GK85" s="3">
        <f t="shared" si="35"/>
        <v>382</v>
      </c>
      <c r="GL85" s="3">
        <f t="shared" si="36"/>
        <v>500</v>
      </c>
      <c r="GM85" s="3">
        <f t="shared" si="37"/>
        <v>118</v>
      </c>
    </row>
    <row r="86" spans="1:217" ht="13" x14ac:dyDescent="0.15">
      <c r="A86" s="13">
        <v>42778</v>
      </c>
      <c r="B86" s="3" t="s">
        <v>201</v>
      </c>
      <c r="C86" s="16">
        <f t="shared" si="13"/>
        <v>80</v>
      </c>
      <c r="D86" s="3">
        <v>21.25544</v>
      </c>
      <c r="E86" s="3">
        <v>-157.810303</v>
      </c>
      <c r="F86" s="3" t="s">
        <v>197</v>
      </c>
      <c r="G86" s="14">
        <v>0.44791666666666669</v>
      </c>
      <c r="H86" s="14">
        <v>0.48958333333333331</v>
      </c>
      <c r="I86" s="3">
        <v>9</v>
      </c>
      <c r="J86" s="3">
        <v>12</v>
      </c>
      <c r="K86" s="3" t="s">
        <v>318</v>
      </c>
      <c r="L86" s="3">
        <v>7</v>
      </c>
      <c r="M86" s="3">
        <v>47</v>
      </c>
      <c r="N86" s="3" t="s">
        <v>319</v>
      </c>
      <c r="P86" s="3">
        <v>47</v>
      </c>
      <c r="R86" s="3">
        <v>2</v>
      </c>
      <c r="AA86" s="3"/>
      <c r="AB86" s="3">
        <v>4</v>
      </c>
      <c r="AC86" s="3">
        <v>1</v>
      </c>
      <c r="AI86" s="3">
        <v>14</v>
      </c>
      <c r="AZ86" s="3">
        <v>1</v>
      </c>
      <c r="BA86" s="3"/>
      <c r="BB86" s="3">
        <v>22</v>
      </c>
      <c r="BM86" s="3">
        <v>31</v>
      </c>
      <c r="BN86" s="3">
        <v>18</v>
      </c>
      <c r="BQ86" s="3">
        <v>23</v>
      </c>
      <c r="BV86" s="3">
        <v>11</v>
      </c>
      <c r="BZ86" s="3">
        <v>19</v>
      </c>
      <c r="CG86" s="3"/>
      <c r="CH86" s="3">
        <v>7</v>
      </c>
      <c r="CJ86" s="3"/>
      <c r="CK86" s="3">
        <v>1</v>
      </c>
      <c r="CO86" s="3">
        <v>3</v>
      </c>
      <c r="CS86" s="3">
        <v>9</v>
      </c>
      <c r="DF86" s="3"/>
      <c r="DG86" s="3">
        <v>1</v>
      </c>
      <c r="DJ86" s="3">
        <v>21</v>
      </c>
      <c r="DL86" s="3">
        <v>24</v>
      </c>
      <c r="DM86" s="3">
        <v>33</v>
      </c>
      <c r="DN86" s="3">
        <v>2</v>
      </c>
      <c r="DO86" s="3">
        <v>1</v>
      </c>
      <c r="DR86" s="3"/>
      <c r="DS86" s="3">
        <v>41</v>
      </c>
      <c r="DT86" s="3"/>
      <c r="DU86" s="3"/>
      <c r="DV86" s="3">
        <v>36</v>
      </c>
      <c r="DZ86" s="3">
        <v>1</v>
      </c>
      <c r="EC86" s="3">
        <v>2</v>
      </c>
      <c r="EE86" s="3"/>
      <c r="EF86" s="3">
        <v>1</v>
      </c>
      <c r="EJ86" s="3">
        <v>137</v>
      </c>
      <c r="EY86" s="3"/>
      <c r="EZ86" s="3">
        <v>15</v>
      </c>
      <c r="FA86" s="3">
        <v>5</v>
      </c>
      <c r="FB86" s="3">
        <v>22</v>
      </c>
      <c r="FC86" s="3">
        <v>4</v>
      </c>
      <c r="FI86" s="3">
        <v>2</v>
      </c>
      <c r="FM86" s="3">
        <v>4</v>
      </c>
      <c r="FR86" s="3">
        <v>46</v>
      </c>
      <c r="FS86" s="3">
        <v>328</v>
      </c>
      <c r="GE86" s="3"/>
      <c r="GF86" s="3">
        <v>2</v>
      </c>
      <c r="GH86" s="3">
        <f t="shared" si="32"/>
        <v>36</v>
      </c>
      <c r="GI86" s="3">
        <f t="shared" si="33"/>
        <v>29</v>
      </c>
      <c r="GJ86" s="3">
        <f t="shared" si="34"/>
        <v>20</v>
      </c>
      <c r="GK86" s="3">
        <f t="shared" si="35"/>
        <v>894</v>
      </c>
      <c r="GL86" s="3">
        <f t="shared" si="36"/>
        <v>1175</v>
      </c>
      <c r="GM86" s="3">
        <f t="shared" si="37"/>
        <v>281</v>
      </c>
    </row>
    <row r="87" spans="1:217" ht="13" x14ac:dyDescent="0.15">
      <c r="A87" s="13">
        <v>42788</v>
      </c>
      <c r="B87" s="3" t="s">
        <v>320</v>
      </c>
      <c r="C87" s="16">
        <f t="shared" si="13"/>
        <v>81</v>
      </c>
      <c r="D87" s="3">
        <v>22.005989</v>
      </c>
      <c r="E87" s="3">
        <v>-159.33564799999999</v>
      </c>
      <c r="F87" s="3" t="s">
        <v>321</v>
      </c>
      <c r="G87" s="14">
        <v>0.38194444444444442</v>
      </c>
      <c r="H87" s="14">
        <v>0.48125000000000001</v>
      </c>
      <c r="I87" s="3">
        <v>2</v>
      </c>
      <c r="J87" s="3">
        <v>8</v>
      </c>
      <c r="K87" s="3" t="s">
        <v>318</v>
      </c>
      <c r="L87" s="3">
        <v>7</v>
      </c>
      <c r="M87" s="3">
        <v>12</v>
      </c>
      <c r="N87" s="3" t="s">
        <v>322</v>
      </c>
      <c r="P87" s="3">
        <v>12</v>
      </c>
      <c r="R87" s="3">
        <v>35</v>
      </c>
      <c r="AM87" s="3">
        <v>40</v>
      </c>
      <c r="BA87" s="3"/>
      <c r="BB87" s="3">
        <v>2</v>
      </c>
      <c r="BW87" s="3">
        <v>23</v>
      </c>
      <c r="DL87" s="3">
        <v>14</v>
      </c>
      <c r="DT87" s="3"/>
      <c r="DU87" s="3"/>
      <c r="DV87" s="3">
        <v>42</v>
      </c>
      <c r="EJ87" s="3">
        <v>9</v>
      </c>
      <c r="EY87" s="3"/>
      <c r="EZ87" s="3">
        <v>8</v>
      </c>
      <c r="FD87" s="3"/>
      <c r="FE87" s="3">
        <v>1</v>
      </c>
      <c r="FS87" s="3">
        <v>27</v>
      </c>
      <c r="FU87" s="3">
        <v>1</v>
      </c>
      <c r="GA87" s="3">
        <v>1</v>
      </c>
      <c r="GH87" s="3">
        <f t="shared" si="32"/>
        <v>12</v>
      </c>
      <c r="GI87" s="3">
        <f t="shared" si="33"/>
        <v>9</v>
      </c>
      <c r="GJ87" s="3">
        <f t="shared" si="34"/>
        <v>8</v>
      </c>
      <c r="GK87" s="3">
        <f t="shared" si="35"/>
        <v>203</v>
      </c>
      <c r="GL87" s="3">
        <f t="shared" si="36"/>
        <v>300</v>
      </c>
      <c r="GM87" s="3">
        <f t="shared" si="37"/>
        <v>97</v>
      </c>
    </row>
    <row r="88" spans="1:217" ht="13" x14ac:dyDescent="0.15">
      <c r="A88" s="13">
        <v>42791</v>
      </c>
      <c r="B88" s="3" t="s">
        <v>244</v>
      </c>
      <c r="C88" s="16">
        <f t="shared" si="13"/>
        <v>82</v>
      </c>
      <c r="D88" s="3">
        <v>21.310611999999999</v>
      </c>
      <c r="E88" s="3">
        <v>-158.00441000000001</v>
      </c>
      <c r="F88" s="3" t="s">
        <v>197</v>
      </c>
      <c r="G88" s="14">
        <v>0.41319444444444442</v>
      </c>
      <c r="H88" s="14">
        <v>0.47916666666666669</v>
      </c>
      <c r="I88" s="3">
        <v>9</v>
      </c>
      <c r="J88" s="3">
        <v>14</v>
      </c>
      <c r="K88" s="3" t="s">
        <v>318</v>
      </c>
      <c r="L88" s="3">
        <v>8</v>
      </c>
      <c r="M88" s="3">
        <v>54</v>
      </c>
      <c r="N88" s="3" t="s">
        <v>323</v>
      </c>
      <c r="P88" s="3">
        <v>54</v>
      </c>
      <c r="R88" s="3">
        <v>147</v>
      </c>
      <c r="T88" s="3">
        <v>3</v>
      </c>
      <c r="U88" s="3"/>
      <c r="V88" s="3">
        <v>1</v>
      </c>
      <c r="AA88" s="3"/>
      <c r="AB88" s="3">
        <v>2</v>
      </c>
      <c r="AE88" s="3">
        <v>19</v>
      </c>
      <c r="AI88" s="3">
        <v>7</v>
      </c>
      <c r="AR88" s="3">
        <v>6</v>
      </c>
      <c r="AS88" s="3">
        <v>3</v>
      </c>
      <c r="BA88" s="3"/>
      <c r="BB88" s="3">
        <v>9</v>
      </c>
      <c r="BC88" s="3">
        <v>4</v>
      </c>
      <c r="BE88" s="3">
        <v>25</v>
      </c>
      <c r="BK88" s="3">
        <v>1</v>
      </c>
      <c r="BM88" s="3">
        <v>62</v>
      </c>
      <c r="BN88" s="3">
        <v>10</v>
      </c>
      <c r="BQ88" s="3">
        <v>6</v>
      </c>
      <c r="BU88" s="3">
        <v>8</v>
      </c>
      <c r="BV88" s="3">
        <v>31</v>
      </c>
      <c r="BY88" s="3">
        <v>2</v>
      </c>
      <c r="BZ88" s="3">
        <v>32</v>
      </c>
      <c r="CG88" s="3"/>
      <c r="CH88" s="3">
        <v>4</v>
      </c>
      <c r="CS88" s="3">
        <v>6</v>
      </c>
      <c r="DF88" s="3"/>
      <c r="DG88" s="3">
        <v>65</v>
      </c>
      <c r="DJ88" s="3">
        <v>11</v>
      </c>
      <c r="DM88" s="3">
        <v>40</v>
      </c>
      <c r="DO88" s="3">
        <v>7</v>
      </c>
      <c r="DQ88" s="3">
        <v>2</v>
      </c>
      <c r="DT88" s="3"/>
      <c r="DU88" s="3"/>
      <c r="DV88" s="3">
        <v>30</v>
      </c>
      <c r="EC88" s="3">
        <v>1</v>
      </c>
      <c r="EJ88" s="3">
        <v>293</v>
      </c>
      <c r="EO88" s="3">
        <v>4</v>
      </c>
      <c r="EY88" s="3">
        <v>1</v>
      </c>
      <c r="FB88" s="3">
        <v>5</v>
      </c>
      <c r="FQ88" s="3">
        <v>1</v>
      </c>
      <c r="FS88" s="3">
        <v>288</v>
      </c>
      <c r="FT88" s="3">
        <v>1</v>
      </c>
      <c r="GE88" s="3"/>
      <c r="GF88" s="3">
        <v>8</v>
      </c>
      <c r="GH88" s="3">
        <f t="shared" si="32"/>
        <v>36</v>
      </c>
      <c r="GI88" s="3">
        <f t="shared" si="33"/>
        <v>30</v>
      </c>
      <c r="GJ88" s="3">
        <f t="shared" si="34"/>
        <v>22</v>
      </c>
      <c r="GK88" s="3">
        <f t="shared" si="35"/>
        <v>1145</v>
      </c>
      <c r="GL88" s="3">
        <f t="shared" si="36"/>
        <v>1350</v>
      </c>
      <c r="GM88" s="3">
        <f t="shared" si="37"/>
        <v>205</v>
      </c>
    </row>
    <row r="89" spans="1:217" ht="13" x14ac:dyDescent="0.15">
      <c r="A89" s="13">
        <v>42798</v>
      </c>
      <c r="B89" s="3" t="s">
        <v>230</v>
      </c>
      <c r="C89" s="16">
        <f t="shared" si="13"/>
        <v>83</v>
      </c>
      <c r="D89" s="3">
        <v>20.753699999999998</v>
      </c>
      <c r="E89" s="3">
        <v>-156.46090699999999</v>
      </c>
      <c r="F89" s="3" t="s">
        <v>197</v>
      </c>
      <c r="G89" s="14">
        <v>0.59027777777777779</v>
      </c>
      <c r="H89" s="14">
        <v>0.67708333333333337</v>
      </c>
      <c r="I89" s="3">
        <v>3</v>
      </c>
      <c r="J89" s="3">
        <v>21</v>
      </c>
      <c r="K89" s="3" t="s">
        <v>318</v>
      </c>
      <c r="L89" s="3">
        <v>16</v>
      </c>
      <c r="M89" s="3">
        <v>43</v>
      </c>
      <c r="N89" s="3" t="s">
        <v>324</v>
      </c>
      <c r="P89" s="3">
        <v>43</v>
      </c>
      <c r="R89" s="3">
        <v>192</v>
      </c>
      <c r="AM89" s="3">
        <v>21</v>
      </c>
      <c r="BM89" s="3">
        <v>299</v>
      </c>
      <c r="CJ89" s="3">
        <v>6</v>
      </c>
      <c r="DF89" s="3"/>
      <c r="DG89" s="3">
        <v>13</v>
      </c>
      <c r="DP89" s="3">
        <v>1</v>
      </c>
      <c r="DT89" s="3"/>
      <c r="DU89" s="3"/>
      <c r="DV89" s="3">
        <v>2</v>
      </c>
      <c r="ED89" s="3">
        <v>1</v>
      </c>
      <c r="EG89" s="3">
        <v>1</v>
      </c>
      <c r="EX89" s="3">
        <v>60</v>
      </c>
      <c r="FQ89" s="3">
        <v>1</v>
      </c>
      <c r="FS89" s="3">
        <v>58</v>
      </c>
      <c r="FT89" s="3">
        <v>6</v>
      </c>
      <c r="GD89" s="3">
        <v>1</v>
      </c>
      <c r="GE89" s="3"/>
      <c r="GF89" s="3">
        <v>1</v>
      </c>
      <c r="GH89" s="3">
        <f t="shared" si="32"/>
        <v>15</v>
      </c>
      <c r="GI89" s="3">
        <f t="shared" si="33"/>
        <v>9</v>
      </c>
      <c r="GJ89" s="3">
        <f t="shared" si="34"/>
        <v>8</v>
      </c>
      <c r="GK89" s="3">
        <f t="shared" si="35"/>
        <v>663</v>
      </c>
      <c r="GL89" s="3">
        <f t="shared" si="36"/>
        <v>1075</v>
      </c>
      <c r="GM89" s="3">
        <f t="shared" si="37"/>
        <v>412</v>
      </c>
    </row>
    <row r="90" spans="1:217" ht="13" x14ac:dyDescent="0.15">
      <c r="A90" s="24">
        <v>42802</v>
      </c>
      <c r="B90" s="25" t="s">
        <v>244</v>
      </c>
      <c r="C90" s="16">
        <f t="shared" si="13"/>
        <v>84</v>
      </c>
      <c r="D90" s="25">
        <v>21.310611999999999</v>
      </c>
      <c r="E90" s="25">
        <v>-158.00441000000001</v>
      </c>
      <c r="F90" s="25" t="s">
        <v>278</v>
      </c>
      <c r="G90" s="26">
        <v>0.38541666666666669</v>
      </c>
      <c r="H90" s="26">
        <v>0.46875</v>
      </c>
      <c r="I90" s="25">
        <v>6</v>
      </c>
      <c r="J90" s="25">
        <v>10</v>
      </c>
      <c r="K90" s="25" t="s">
        <v>198</v>
      </c>
      <c r="L90" s="25">
        <v>5</v>
      </c>
      <c r="M90" s="25">
        <v>30</v>
      </c>
      <c r="N90" s="25"/>
      <c r="O90" s="25"/>
      <c r="P90" s="25"/>
      <c r="Q90" s="25"/>
      <c r="R90" s="25">
        <v>2</v>
      </c>
      <c r="S90" s="25"/>
      <c r="T90" s="25"/>
      <c r="U90" s="25"/>
      <c r="V90" s="25"/>
      <c r="W90" s="25"/>
      <c r="X90" s="25"/>
      <c r="Y90" s="25"/>
      <c r="Z90" s="25"/>
      <c r="AA90" s="25"/>
      <c r="AB90" s="25">
        <v>1</v>
      </c>
      <c r="AC90" s="25"/>
      <c r="AD90" s="25"/>
      <c r="AE90" s="25">
        <v>6</v>
      </c>
      <c r="AF90" s="25"/>
      <c r="AG90" s="25"/>
      <c r="AH90" s="25"/>
      <c r="AI90" s="25">
        <v>6</v>
      </c>
      <c r="AJ90" s="25"/>
      <c r="AK90" s="25"/>
      <c r="AL90" s="25"/>
      <c r="AM90" s="25">
        <v>2</v>
      </c>
      <c r="AN90" s="25"/>
      <c r="AO90" s="25"/>
      <c r="AP90" s="25"/>
      <c r="AQ90" s="25"/>
      <c r="AR90" s="25"/>
      <c r="AS90" s="25"/>
      <c r="AT90" s="25"/>
      <c r="AU90" s="25"/>
      <c r="AV90" s="25"/>
      <c r="AW90" s="25"/>
      <c r="AX90" s="25"/>
      <c r="AY90" s="25"/>
      <c r="AZ90" s="25"/>
      <c r="BA90" s="25"/>
      <c r="BB90" s="25">
        <v>2</v>
      </c>
      <c r="BC90" s="25"/>
      <c r="BD90" s="25"/>
      <c r="BE90" s="25">
        <v>4</v>
      </c>
      <c r="BF90" s="25"/>
      <c r="BG90" s="25"/>
      <c r="BH90" s="25"/>
      <c r="BI90" s="25"/>
      <c r="BJ90" s="25"/>
      <c r="BK90" s="25">
        <v>1</v>
      </c>
      <c r="BL90" s="25"/>
      <c r="BM90" s="25">
        <v>77</v>
      </c>
      <c r="BN90" s="25"/>
      <c r="BO90" s="25"/>
      <c r="BP90" s="25"/>
      <c r="BQ90" s="25"/>
      <c r="BR90" s="25"/>
      <c r="BS90" s="25"/>
      <c r="BT90" s="25"/>
      <c r="BU90" s="25"/>
      <c r="BV90" s="25"/>
      <c r="BW90" s="25"/>
      <c r="BX90" s="25"/>
      <c r="BY90" s="25"/>
      <c r="BZ90" s="25">
        <v>12</v>
      </c>
      <c r="CA90" s="25"/>
      <c r="CB90" s="25"/>
      <c r="CC90" s="25"/>
      <c r="CD90" s="25"/>
      <c r="CE90" s="25"/>
      <c r="CF90" s="25"/>
      <c r="CG90" s="25"/>
      <c r="CH90" s="25"/>
      <c r="CI90" s="25"/>
      <c r="CJ90" s="25"/>
      <c r="CK90" s="25"/>
      <c r="CL90" s="25"/>
      <c r="CM90" s="25"/>
      <c r="CN90" s="25"/>
      <c r="CO90" s="25"/>
      <c r="CP90" s="25"/>
      <c r="CQ90" s="25"/>
      <c r="CR90" s="25"/>
      <c r="CS90" s="25">
        <v>1</v>
      </c>
      <c r="CT90" s="25"/>
      <c r="CU90" s="25"/>
      <c r="CV90" s="25">
        <v>1</v>
      </c>
      <c r="CW90" s="25"/>
      <c r="CX90" s="25"/>
      <c r="CY90" s="25"/>
      <c r="CZ90" s="25"/>
      <c r="DA90" s="25"/>
      <c r="DB90" s="25"/>
      <c r="DC90" s="25"/>
      <c r="DD90" s="25"/>
      <c r="DE90" s="25"/>
      <c r="DF90" s="25"/>
      <c r="DG90" s="25">
        <v>2</v>
      </c>
      <c r="DH90" s="25"/>
      <c r="DI90" s="25"/>
      <c r="DJ90" s="25"/>
      <c r="DK90" s="25"/>
      <c r="DL90" s="25"/>
      <c r="DM90" s="25">
        <v>34</v>
      </c>
      <c r="DN90" s="25"/>
      <c r="DO90" s="25">
        <v>1</v>
      </c>
      <c r="DP90" s="25"/>
      <c r="DQ90" s="25"/>
      <c r="DR90" s="25"/>
      <c r="DS90" s="25">
        <v>13</v>
      </c>
      <c r="DT90" s="25"/>
      <c r="DU90" s="25"/>
      <c r="DV90" s="25"/>
      <c r="DW90" s="25"/>
      <c r="DX90" s="25"/>
      <c r="DY90" s="25"/>
      <c r="DZ90" s="25"/>
      <c r="EA90" s="25"/>
      <c r="EB90" s="25"/>
      <c r="EC90" s="25"/>
      <c r="ED90" s="25"/>
      <c r="EE90" s="25"/>
      <c r="EF90" s="25"/>
      <c r="EG90" s="25"/>
      <c r="EH90" s="25"/>
      <c r="EI90" s="25"/>
      <c r="EJ90" s="25">
        <v>176</v>
      </c>
      <c r="EK90" s="25"/>
      <c r="EL90" s="25"/>
      <c r="EM90" s="25"/>
      <c r="EN90" s="25"/>
      <c r="EO90" s="25"/>
      <c r="EP90" s="25"/>
      <c r="EQ90" s="25"/>
      <c r="ER90" s="25"/>
      <c r="ES90" s="25"/>
      <c r="ET90" s="25"/>
      <c r="EU90" s="25"/>
      <c r="EV90" s="25"/>
      <c r="EW90" s="25"/>
      <c r="EX90" s="25"/>
      <c r="EY90" s="25"/>
      <c r="EZ90" s="25"/>
      <c r="FA90" s="25"/>
      <c r="FB90" s="25">
        <v>16</v>
      </c>
      <c r="FC90" s="25"/>
      <c r="FD90" s="25"/>
      <c r="FE90" s="25"/>
      <c r="FF90" s="25"/>
      <c r="FG90" s="25"/>
      <c r="FH90" s="25"/>
      <c r="FI90" s="25"/>
      <c r="FJ90" s="25"/>
      <c r="FK90" s="25"/>
      <c r="FL90" s="25"/>
      <c r="FM90" s="25"/>
      <c r="FN90" s="25"/>
      <c r="FO90" s="25"/>
      <c r="FP90" s="25"/>
      <c r="FQ90" s="25"/>
      <c r="FR90" s="25"/>
      <c r="FS90" s="25">
        <v>51</v>
      </c>
      <c r="FT90" s="25"/>
      <c r="FU90" s="25"/>
      <c r="FV90" s="25"/>
      <c r="FW90" s="25">
        <v>72</v>
      </c>
      <c r="FX90" s="25"/>
      <c r="FY90" s="25"/>
      <c r="FZ90" s="25"/>
      <c r="GA90" s="25"/>
      <c r="GB90" s="25"/>
      <c r="GC90" s="25"/>
      <c r="GD90" s="25"/>
      <c r="GE90" s="25"/>
      <c r="GF90" s="25"/>
      <c r="GG90" s="25"/>
      <c r="GH90" s="25">
        <f t="shared" si="32"/>
        <v>20</v>
      </c>
      <c r="GI90" s="25">
        <f t="shared" si="33"/>
        <v>15</v>
      </c>
      <c r="GJ90" s="25">
        <f t="shared" si="34"/>
        <v>10</v>
      </c>
      <c r="GK90" s="25">
        <f t="shared" si="35"/>
        <v>480</v>
      </c>
      <c r="GL90" s="25">
        <f t="shared" si="36"/>
        <v>0</v>
      </c>
      <c r="GM90" s="25">
        <f t="shared" si="37"/>
        <v>-480</v>
      </c>
      <c r="GN90" s="25"/>
      <c r="GO90" s="25"/>
      <c r="GP90" s="25"/>
      <c r="GQ90" s="25"/>
      <c r="GR90" s="25"/>
      <c r="GS90" s="25"/>
      <c r="GT90" s="25"/>
      <c r="GU90" s="25"/>
      <c r="GV90" s="25"/>
      <c r="GW90" s="25"/>
      <c r="GX90" s="25"/>
      <c r="GY90" s="25"/>
      <c r="GZ90" s="25"/>
      <c r="HA90" s="25"/>
      <c r="HB90" s="25"/>
      <c r="HC90" s="25"/>
      <c r="HD90" s="25"/>
      <c r="HE90" s="25"/>
      <c r="HF90" s="25"/>
      <c r="HG90" s="25"/>
      <c r="HH90" s="25"/>
      <c r="HI90" s="25"/>
    </row>
    <row r="91" spans="1:217" ht="13" x14ac:dyDescent="0.15">
      <c r="A91" s="24">
        <v>42803</v>
      </c>
      <c r="B91" s="25" t="s">
        <v>244</v>
      </c>
      <c r="C91" s="16">
        <f t="shared" si="13"/>
        <v>85</v>
      </c>
      <c r="D91" s="25">
        <v>21.310611999999999</v>
      </c>
      <c r="E91" s="25">
        <v>-158.00441000000001</v>
      </c>
      <c r="F91" s="25" t="s">
        <v>326</v>
      </c>
      <c r="G91" s="26">
        <v>0.39583333333333331</v>
      </c>
      <c r="H91" s="26">
        <v>0.47916666666666669</v>
      </c>
      <c r="I91" s="25">
        <v>7</v>
      </c>
      <c r="J91" s="25">
        <v>14</v>
      </c>
      <c r="K91" s="25" t="s">
        <v>318</v>
      </c>
      <c r="L91" s="25">
        <v>5</v>
      </c>
      <c r="M91" s="25">
        <v>26</v>
      </c>
      <c r="N91" s="25" t="s">
        <v>327</v>
      </c>
      <c r="O91" s="25"/>
      <c r="P91" s="25"/>
      <c r="Q91" s="25"/>
      <c r="R91" s="25">
        <v>15</v>
      </c>
      <c r="S91" s="25"/>
      <c r="T91" s="25"/>
      <c r="U91" s="25"/>
      <c r="V91" s="25"/>
      <c r="W91" s="25"/>
      <c r="X91" s="25">
        <v>21</v>
      </c>
      <c r="Y91" s="25"/>
      <c r="Z91" s="25"/>
      <c r="AA91" s="25"/>
      <c r="AB91" s="25">
        <v>2</v>
      </c>
      <c r="AC91" s="25">
        <v>6</v>
      </c>
      <c r="AD91" s="25"/>
      <c r="AE91" s="25">
        <v>2</v>
      </c>
      <c r="AF91" s="25"/>
      <c r="AG91" s="25"/>
      <c r="AH91" s="25"/>
      <c r="AI91" s="25">
        <v>20</v>
      </c>
      <c r="AJ91" s="25"/>
      <c r="AK91" s="25"/>
      <c r="AL91" s="25"/>
      <c r="AM91" s="25"/>
      <c r="AN91" s="25"/>
      <c r="AO91" s="25"/>
      <c r="AP91" s="25"/>
      <c r="AQ91" s="25"/>
      <c r="AR91" s="25"/>
      <c r="AS91" s="25"/>
      <c r="AT91" s="25"/>
      <c r="AU91" s="25"/>
      <c r="AV91" s="25"/>
      <c r="AW91" s="25"/>
      <c r="AX91" s="25"/>
      <c r="AY91" s="25"/>
      <c r="AZ91" s="25"/>
      <c r="BA91" s="25"/>
      <c r="BB91" s="25"/>
      <c r="BC91" s="25"/>
      <c r="BD91" s="25"/>
      <c r="BE91" s="25">
        <v>11</v>
      </c>
      <c r="BF91" s="25"/>
      <c r="BG91" s="25"/>
      <c r="BH91" s="25"/>
      <c r="BI91" s="25"/>
      <c r="BJ91" s="25"/>
      <c r="BK91" s="25"/>
      <c r="BL91" s="25"/>
      <c r="BM91" s="25"/>
      <c r="BN91" s="25">
        <v>16</v>
      </c>
      <c r="BO91" s="25"/>
      <c r="BP91" s="25"/>
      <c r="BQ91" s="25"/>
      <c r="BR91" s="25"/>
      <c r="BS91" s="25"/>
      <c r="BT91" s="25"/>
      <c r="BU91" s="25"/>
      <c r="BV91" s="25">
        <v>14</v>
      </c>
      <c r="BW91" s="25"/>
      <c r="BX91" s="25"/>
      <c r="BY91" s="25"/>
      <c r="BZ91" s="25">
        <v>9</v>
      </c>
      <c r="CA91" s="25"/>
      <c r="CB91" s="25"/>
      <c r="CC91" s="25"/>
      <c r="CD91" s="25"/>
      <c r="CE91" s="25"/>
      <c r="CF91" s="25"/>
      <c r="CG91" s="25"/>
      <c r="CH91" s="25">
        <v>2</v>
      </c>
      <c r="CI91" s="25"/>
      <c r="CJ91" s="25"/>
      <c r="CK91" s="25"/>
      <c r="CL91" s="25"/>
      <c r="CM91" s="25"/>
      <c r="CN91" s="25"/>
      <c r="CO91" s="25"/>
      <c r="CP91" s="25"/>
      <c r="CQ91" s="25"/>
      <c r="CR91" s="25"/>
      <c r="CS91" s="25">
        <v>8</v>
      </c>
      <c r="CT91" s="25"/>
      <c r="CU91" s="25"/>
      <c r="CV91" s="25"/>
      <c r="CW91" s="25"/>
      <c r="CX91" s="25"/>
      <c r="CY91" s="25"/>
      <c r="CZ91" s="25"/>
      <c r="DA91" s="25"/>
      <c r="DB91" s="25"/>
      <c r="DC91" s="25"/>
      <c r="DD91" s="25"/>
      <c r="DE91" s="25"/>
      <c r="DF91" s="25"/>
      <c r="DG91" s="25">
        <v>2</v>
      </c>
      <c r="DH91" s="25"/>
      <c r="DI91" s="25"/>
      <c r="DJ91" s="25">
        <v>33</v>
      </c>
      <c r="DK91" s="25"/>
      <c r="DL91" s="25"/>
      <c r="DM91" s="25">
        <v>3</v>
      </c>
      <c r="DN91" s="25"/>
      <c r="DO91" s="25">
        <v>5</v>
      </c>
      <c r="DP91" s="25"/>
      <c r="DQ91" s="25"/>
      <c r="DR91" s="25"/>
      <c r="DS91" s="25"/>
      <c r="DT91" s="25"/>
      <c r="DU91" s="25"/>
      <c r="DV91" s="25">
        <v>18</v>
      </c>
      <c r="DW91" s="25"/>
      <c r="DX91" s="25"/>
      <c r="DY91" s="25"/>
      <c r="DZ91" s="25"/>
      <c r="EA91" s="25"/>
      <c r="EB91" s="25"/>
      <c r="EC91" s="25">
        <v>3</v>
      </c>
      <c r="ED91" s="25"/>
      <c r="EE91" s="25"/>
      <c r="EF91" s="25">
        <v>2</v>
      </c>
      <c r="EG91" s="25"/>
      <c r="EH91" s="25"/>
      <c r="EI91" s="25"/>
      <c r="EJ91" s="25">
        <v>107</v>
      </c>
      <c r="EK91" s="25"/>
      <c r="EL91" s="25"/>
      <c r="EM91" s="25"/>
      <c r="EN91" s="25"/>
      <c r="EO91" s="25"/>
      <c r="EP91" s="25"/>
      <c r="EQ91" s="25"/>
      <c r="ER91" s="25"/>
      <c r="ES91" s="25"/>
      <c r="ET91" s="25"/>
      <c r="EU91" s="25"/>
      <c r="EV91" s="25"/>
      <c r="EW91" s="25">
        <v>1</v>
      </c>
      <c r="EX91" s="25"/>
      <c r="EY91" s="25"/>
      <c r="EZ91" s="25"/>
      <c r="FA91" s="25"/>
      <c r="FB91" s="25"/>
      <c r="FC91" s="25"/>
      <c r="FD91" s="25"/>
      <c r="FE91" s="25"/>
      <c r="FF91" s="25"/>
      <c r="FG91" s="25"/>
      <c r="FH91" s="25"/>
      <c r="FI91" s="25">
        <v>1</v>
      </c>
      <c r="FJ91" s="25"/>
      <c r="FK91" s="25"/>
      <c r="FL91" s="25"/>
      <c r="FM91" s="25"/>
      <c r="FN91" s="25"/>
      <c r="FO91" s="25"/>
      <c r="FP91" s="25"/>
      <c r="FQ91" s="25"/>
      <c r="FR91" s="25">
        <v>3</v>
      </c>
      <c r="FS91" s="25">
        <v>71</v>
      </c>
      <c r="FT91" s="25"/>
      <c r="FU91" s="25"/>
      <c r="FV91" s="25"/>
      <c r="FW91" s="25"/>
      <c r="FX91" s="25"/>
      <c r="FY91" s="25"/>
      <c r="FZ91" s="25"/>
      <c r="GA91" s="25"/>
      <c r="GB91" s="25"/>
      <c r="GC91" s="25">
        <v>4</v>
      </c>
      <c r="GD91" s="25">
        <v>13</v>
      </c>
      <c r="GE91" s="25"/>
      <c r="GF91" s="25"/>
      <c r="GG91" s="25"/>
      <c r="GH91" s="25">
        <f t="shared" si="32"/>
        <v>26</v>
      </c>
      <c r="GI91" s="25">
        <f t="shared" si="33"/>
        <v>24</v>
      </c>
      <c r="GJ91" s="25">
        <f t="shared" si="34"/>
        <v>15</v>
      </c>
      <c r="GK91" s="25">
        <f t="shared" si="35"/>
        <v>392</v>
      </c>
      <c r="GL91" s="25">
        <f t="shared" si="36"/>
        <v>0</v>
      </c>
      <c r="GM91" s="25">
        <f t="shared" si="37"/>
        <v>-392</v>
      </c>
      <c r="GN91" s="25"/>
      <c r="GO91" s="25"/>
      <c r="GP91" s="25"/>
      <c r="GQ91" s="25"/>
      <c r="GR91" s="25"/>
      <c r="GS91" s="25"/>
      <c r="GT91" s="25"/>
      <c r="GU91" s="25"/>
      <c r="GV91" s="25"/>
      <c r="GW91" s="25"/>
      <c r="GX91" s="25"/>
      <c r="GY91" s="25"/>
      <c r="GZ91" s="25"/>
      <c r="HA91" s="25"/>
      <c r="HB91" s="25"/>
      <c r="HC91" s="25"/>
      <c r="HD91" s="25"/>
      <c r="HE91" s="25"/>
      <c r="HF91" s="25"/>
      <c r="HG91" s="25"/>
      <c r="HH91" s="25"/>
      <c r="HI91" s="25"/>
    </row>
    <row r="92" spans="1:217" ht="13" x14ac:dyDescent="0.15">
      <c r="A92" s="24">
        <v>42804</v>
      </c>
      <c r="B92" s="25" t="s">
        <v>329</v>
      </c>
      <c r="C92" s="16">
        <f t="shared" si="13"/>
        <v>86</v>
      </c>
      <c r="D92" s="25">
        <v>21.140799999999999</v>
      </c>
      <c r="E92" s="25">
        <v>-157.29011499999999</v>
      </c>
      <c r="F92" s="25" t="s">
        <v>330</v>
      </c>
      <c r="G92" s="26">
        <v>0.4375</v>
      </c>
      <c r="H92" s="26">
        <v>0.46736111111111112</v>
      </c>
      <c r="I92" s="25">
        <v>6</v>
      </c>
      <c r="J92" s="25">
        <v>10</v>
      </c>
      <c r="K92" s="25" t="s">
        <v>318</v>
      </c>
      <c r="L92" s="25">
        <v>5</v>
      </c>
      <c r="M92" s="25">
        <v>27</v>
      </c>
      <c r="N92" s="25" t="s">
        <v>331</v>
      </c>
      <c r="O92" s="25"/>
      <c r="P92" s="25"/>
      <c r="Q92" s="25"/>
      <c r="R92" s="25"/>
      <c r="S92" s="25"/>
      <c r="T92" s="25"/>
      <c r="U92" s="25"/>
      <c r="V92" s="25"/>
      <c r="W92" s="25"/>
      <c r="X92" s="25"/>
      <c r="Y92" s="25"/>
      <c r="Z92" s="25"/>
      <c r="AA92" s="25"/>
      <c r="AB92" s="25"/>
      <c r="AC92" s="25">
        <v>2</v>
      </c>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v>16</v>
      </c>
      <c r="BN92" s="25"/>
      <c r="BO92" s="25"/>
      <c r="BP92" s="25"/>
      <c r="BQ92" s="25"/>
      <c r="BR92" s="25"/>
      <c r="BS92" s="25"/>
      <c r="BT92" s="25"/>
      <c r="BU92" s="25"/>
      <c r="BV92" s="25"/>
      <c r="BW92" s="25"/>
      <c r="BX92" s="25"/>
      <c r="BY92" s="25"/>
      <c r="BZ92" s="25"/>
      <c r="CA92" s="25"/>
      <c r="CB92" s="25"/>
      <c r="CC92" s="25"/>
      <c r="CD92" s="25"/>
      <c r="CE92" s="25"/>
      <c r="CF92" s="25"/>
      <c r="CG92" s="25"/>
      <c r="CH92" s="25">
        <v>4</v>
      </c>
      <c r="CI92" s="25"/>
      <c r="CJ92" s="25"/>
      <c r="CK92" s="25"/>
      <c r="CL92" s="25"/>
      <c r="CM92" s="25"/>
      <c r="CN92" s="25"/>
      <c r="CO92" s="25"/>
      <c r="CP92" s="25"/>
      <c r="CQ92" s="25"/>
      <c r="CR92" s="25"/>
      <c r="CS92" s="25">
        <v>48</v>
      </c>
      <c r="CT92" s="25"/>
      <c r="CU92" s="25"/>
      <c r="CV92" s="25"/>
      <c r="CW92" s="25"/>
      <c r="CX92" s="25"/>
      <c r="CY92" s="25"/>
      <c r="CZ92" s="25"/>
      <c r="DA92" s="25"/>
      <c r="DB92" s="25"/>
      <c r="DC92" s="25"/>
      <c r="DD92" s="25"/>
      <c r="DE92" s="25"/>
      <c r="DF92" s="25"/>
      <c r="DG92" s="25"/>
      <c r="DH92" s="25"/>
      <c r="DI92" s="25"/>
      <c r="DJ92" s="25"/>
      <c r="DK92" s="25"/>
      <c r="DL92" s="25"/>
      <c r="DM92" s="25"/>
      <c r="DN92" s="25"/>
      <c r="DO92" s="25">
        <v>8</v>
      </c>
      <c r="DP92" s="25"/>
      <c r="DQ92" s="25"/>
      <c r="DR92" s="25"/>
      <c r="DS92" s="25"/>
      <c r="DT92" s="25"/>
      <c r="DU92" s="25"/>
      <c r="DV92" s="25"/>
      <c r="DW92" s="25"/>
      <c r="DX92" s="25"/>
      <c r="DY92" s="25"/>
      <c r="DZ92" s="25"/>
      <c r="EA92" s="25"/>
      <c r="EB92" s="25"/>
      <c r="EC92" s="25"/>
      <c r="ED92" s="25"/>
      <c r="EE92" s="25"/>
      <c r="EF92" s="25"/>
      <c r="EG92" s="25"/>
      <c r="EH92" s="25"/>
      <c r="EI92" s="25"/>
      <c r="EJ92" s="25">
        <v>40</v>
      </c>
      <c r="EK92" s="25"/>
      <c r="EL92" s="25"/>
      <c r="EM92" s="25"/>
      <c r="EN92" s="25"/>
      <c r="EO92" s="25"/>
      <c r="EP92" s="25"/>
      <c r="EQ92" s="25"/>
      <c r="ER92" s="25"/>
      <c r="ES92" s="25"/>
      <c r="ET92" s="25"/>
      <c r="EU92" s="25"/>
      <c r="EV92" s="25"/>
      <c r="EW92" s="25"/>
      <c r="EX92" s="25"/>
      <c r="EY92" s="25"/>
      <c r="EZ92" s="25"/>
      <c r="FA92" s="25"/>
      <c r="FB92" s="25">
        <v>4</v>
      </c>
      <c r="FC92" s="25"/>
      <c r="FD92" s="25"/>
      <c r="FE92" s="25"/>
      <c r="FF92" s="25"/>
      <c r="FG92" s="25"/>
      <c r="FH92" s="25"/>
      <c r="FI92" s="25"/>
      <c r="FJ92" s="25"/>
      <c r="FK92" s="25"/>
      <c r="FL92" s="25"/>
      <c r="FM92" s="25"/>
      <c r="FN92" s="25"/>
      <c r="FO92" s="25"/>
      <c r="FP92" s="25"/>
      <c r="FQ92" s="25"/>
      <c r="FR92" s="25"/>
      <c r="FS92" s="25">
        <v>53</v>
      </c>
      <c r="FT92" s="25"/>
      <c r="FU92" s="25">
        <v>9</v>
      </c>
      <c r="FV92" s="25"/>
      <c r="FW92" s="25"/>
      <c r="FX92" s="25"/>
      <c r="FY92" s="25"/>
      <c r="FZ92" s="25"/>
      <c r="GA92" s="25"/>
      <c r="GB92" s="25"/>
      <c r="GC92" s="25"/>
      <c r="GD92" s="25"/>
      <c r="GE92" s="25"/>
      <c r="GF92" s="25"/>
      <c r="GG92" s="25"/>
      <c r="GH92" s="25">
        <f t="shared" si="32"/>
        <v>9</v>
      </c>
      <c r="GI92" s="25">
        <f t="shared" si="33"/>
        <v>9</v>
      </c>
      <c r="GJ92" s="25">
        <f t="shared" si="34"/>
        <v>6</v>
      </c>
      <c r="GK92" s="25">
        <f t="shared" si="35"/>
        <v>184</v>
      </c>
      <c r="GL92" s="25">
        <f t="shared" si="36"/>
        <v>0</v>
      </c>
      <c r="GM92" s="25">
        <f t="shared" si="37"/>
        <v>-184</v>
      </c>
      <c r="GN92" s="25"/>
      <c r="GO92" s="25"/>
      <c r="GP92" s="25"/>
      <c r="GQ92" s="25"/>
      <c r="GR92" s="25"/>
      <c r="GS92" s="25"/>
      <c r="GT92" s="25"/>
      <c r="GU92" s="25"/>
      <c r="GV92" s="25"/>
      <c r="GW92" s="25"/>
      <c r="GX92" s="25"/>
      <c r="GY92" s="25"/>
      <c r="GZ92" s="25"/>
      <c r="HA92" s="25"/>
      <c r="HB92" s="25"/>
      <c r="HC92" s="25"/>
      <c r="HD92" s="25"/>
      <c r="HE92" s="25"/>
      <c r="HF92" s="25"/>
      <c r="HG92" s="25"/>
      <c r="HH92" s="25"/>
      <c r="HI92" s="25"/>
    </row>
    <row r="93" spans="1:217" ht="13" x14ac:dyDescent="0.15">
      <c r="A93" s="13">
        <v>42804</v>
      </c>
      <c r="B93" s="3" t="s">
        <v>201</v>
      </c>
      <c r="C93" s="16">
        <f t="shared" si="13"/>
        <v>87</v>
      </c>
      <c r="D93" s="3">
        <v>21.25544</v>
      </c>
      <c r="E93" s="3">
        <v>-157.810303</v>
      </c>
      <c r="F93" s="3" t="s">
        <v>325</v>
      </c>
      <c r="G93" s="14">
        <v>0.41666666666666669</v>
      </c>
      <c r="H93" s="14">
        <v>0.45833333333333331</v>
      </c>
      <c r="I93" s="3">
        <v>6</v>
      </c>
      <c r="J93" s="3">
        <v>5</v>
      </c>
      <c r="K93" s="3" t="s">
        <v>318</v>
      </c>
      <c r="L93" s="3">
        <v>5</v>
      </c>
      <c r="M93" s="3">
        <v>24</v>
      </c>
      <c r="N93" s="3" t="s">
        <v>332</v>
      </c>
      <c r="O93" s="3" t="s">
        <v>288</v>
      </c>
      <c r="P93" s="3">
        <v>24</v>
      </c>
      <c r="BY93" s="3">
        <v>5</v>
      </c>
      <c r="BZ93" s="3">
        <v>7</v>
      </c>
      <c r="CS93" s="3">
        <v>4</v>
      </c>
      <c r="DB93" s="3"/>
      <c r="DC93" s="3">
        <v>2</v>
      </c>
      <c r="DJ93" s="3">
        <v>5</v>
      </c>
      <c r="DL93" s="3">
        <v>17</v>
      </c>
      <c r="DM93" s="3">
        <v>1</v>
      </c>
      <c r="DR93" s="3"/>
      <c r="DS93" s="3">
        <v>2</v>
      </c>
      <c r="EJ93" s="3">
        <v>273</v>
      </c>
      <c r="FB93" s="3">
        <v>3</v>
      </c>
      <c r="FI93" s="3">
        <v>3</v>
      </c>
      <c r="FR93" s="3">
        <v>63</v>
      </c>
      <c r="FS93" s="3">
        <v>119</v>
      </c>
      <c r="GH93" s="3">
        <f t="shared" si="32"/>
        <v>13</v>
      </c>
      <c r="GI93" s="3">
        <f t="shared" si="33"/>
        <v>12</v>
      </c>
      <c r="GJ93" s="3">
        <f t="shared" si="34"/>
        <v>7</v>
      </c>
      <c r="GK93" s="3">
        <f t="shared" si="35"/>
        <v>504</v>
      </c>
      <c r="GL93" s="3">
        <f t="shared" si="36"/>
        <v>600</v>
      </c>
      <c r="GM93" s="3">
        <f t="shared" si="37"/>
        <v>96</v>
      </c>
    </row>
    <row r="94" spans="1:217" ht="13" x14ac:dyDescent="0.15">
      <c r="A94" s="24">
        <v>42804</v>
      </c>
      <c r="B94" s="25" t="s">
        <v>219</v>
      </c>
      <c r="C94" s="16">
        <f t="shared" si="13"/>
        <v>88</v>
      </c>
      <c r="D94" s="25">
        <v>21.295798999999999</v>
      </c>
      <c r="E94" s="25">
        <v>-158.10369900000001</v>
      </c>
      <c r="F94" s="25" t="s">
        <v>333</v>
      </c>
      <c r="G94" s="26">
        <v>0.38541666666666669</v>
      </c>
      <c r="H94" s="26">
        <v>0.44791666666666669</v>
      </c>
      <c r="I94" s="25">
        <v>7</v>
      </c>
      <c r="J94" s="25">
        <v>10</v>
      </c>
      <c r="K94" s="25" t="s">
        <v>318</v>
      </c>
      <c r="L94" s="25">
        <v>5</v>
      </c>
      <c r="M94" s="25">
        <v>31</v>
      </c>
      <c r="N94" s="25" t="s">
        <v>334</v>
      </c>
      <c r="O94" s="25"/>
      <c r="P94" s="25"/>
      <c r="Q94" s="25"/>
      <c r="R94" s="25">
        <v>32</v>
      </c>
      <c r="S94" s="25">
        <v>1</v>
      </c>
      <c r="T94" s="25"/>
      <c r="U94" s="25"/>
      <c r="V94" s="25"/>
      <c r="W94" s="25"/>
      <c r="X94" s="25"/>
      <c r="Y94" s="25"/>
      <c r="Z94" s="25"/>
      <c r="AA94" s="25"/>
      <c r="AB94" s="25">
        <v>3</v>
      </c>
      <c r="AC94" s="25">
        <v>2</v>
      </c>
      <c r="AD94" s="25">
        <v>1</v>
      </c>
      <c r="AE94" s="25">
        <v>2</v>
      </c>
      <c r="AF94" s="25"/>
      <c r="AG94" s="25"/>
      <c r="AH94" s="25"/>
      <c r="AI94" s="25">
        <v>1</v>
      </c>
      <c r="AJ94" s="25"/>
      <c r="AK94" s="25"/>
      <c r="AL94" s="25"/>
      <c r="AM94" s="25"/>
      <c r="AN94" s="25"/>
      <c r="AO94" s="25"/>
      <c r="AP94" s="25"/>
      <c r="AQ94" s="25"/>
      <c r="AR94" s="25"/>
      <c r="AS94" s="25"/>
      <c r="AT94" s="25">
        <v>1</v>
      </c>
      <c r="AU94" s="25"/>
      <c r="AV94" s="25"/>
      <c r="AW94" s="25"/>
      <c r="AX94" s="25"/>
      <c r="AY94" s="25"/>
      <c r="AZ94" s="25"/>
      <c r="BA94" s="25"/>
      <c r="BB94" s="25"/>
      <c r="BC94" s="25">
        <v>1</v>
      </c>
      <c r="BD94" s="25">
        <v>1</v>
      </c>
      <c r="BE94" s="25">
        <v>16</v>
      </c>
      <c r="BF94" s="25"/>
      <c r="BG94" s="25"/>
      <c r="BH94" s="25">
        <v>1</v>
      </c>
      <c r="BI94" s="25"/>
      <c r="BJ94" s="25"/>
      <c r="BK94" s="25"/>
      <c r="BL94" s="25"/>
      <c r="BM94" s="25">
        <v>10</v>
      </c>
      <c r="BN94" s="25">
        <v>12</v>
      </c>
      <c r="BO94" s="25"/>
      <c r="BP94" s="25"/>
      <c r="BQ94" s="25">
        <v>30</v>
      </c>
      <c r="BR94" s="25"/>
      <c r="BS94" s="25"/>
      <c r="BT94" s="25"/>
      <c r="BU94" s="25"/>
      <c r="BV94" s="25">
        <v>22</v>
      </c>
      <c r="BW94" s="25"/>
      <c r="BX94" s="25"/>
      <c r="BY94" s="25"/>
      <c r="BZ94" s="25">
        <v>34</v>
      </c>
      <c r="CA94" s="25"/>
      <c r="CB94" s="25"/>
      <c r="CC94" s="25">
        <v>4</v>
      </c>
      <c r="CD94" s="25"/>
      <c r="CE94" s="25"/>
      <c r="CF94" s="25"/>
      <c r="CG94" s="25"/>
      <c r="CH94" s="25"/>
      <c r="CI94" s="25"/>
      <c r="CJ94" s="25"/>
      <c r="CK94" s="25"/>
      <c r="CL94" s="25"/>
      <c r="CM94" s="25"/>
      <c r="CN94" s="25"/>
      <c r="CO94" s="25"/>
      <c r="CP94" s="25"/>
      <c r="CQ94" s="25"/>
      <c r="CR94" s="25"/>
      <c r="CS94" s="25">
        <v>27</v>
      </c>
      <c r="CT94" s="25"/>
      <c r="CU94" s="25"/>
      <c r="CV94" s="25"/>
      <c r="CW94" s="25"/>
      <c r="CX94" s="25"/>
      <c r="CY94" s="25"/>
      <c r="CZ94" s="25"/>
      <c r="DA94" s="25"/>
      <c r="DB94" s="25"/>
      <c r="DC94" s="25"/>
      <c r="DD94" s="25">
        <v>4</v>
      </c>
      <c r="DE94" s="25"/>
      <c r="DF94" s="25"/>
      <c r="DG94" s="25">
        <v>7</v>
      </c>
      <c r="DH94" s="25"/>
      <c r="DI94" s="25"/>
      <c r="DJ94" s="25"/>
      <c r="DK94" s="25"/>
      <c r="DL94" s="25"/>
      <c r="DM94" s="25">
        <v>23</v>
      </c>
      <c r="DN94" s="25"/>
      <c r="DO94" s="25"/>
      <c r="DP94" s="25"/>
      <c r="DQ94" s="25"/>
      <c r="DR94" s="25"/>
      <c r="DS94" s="25">
        <v>22</v>
      </c>
      <c r="DT94" s="25"/>
      <c r="DU94" s="25"/>
      <c r="DV94" s="25"/>
      <c r="DW94" s="25"/>
      <c r="DX94" s="25"/>
      <c r="DY94" s="25"/>
      <c r="DZ94" s="25">
        <v>1</v>
      </c>
      <c r="EA94" s="25"/>
      <c r="EB94" s="25"/>
      <c r="EC94" s="25">
        <v>7</v>
      </c>
      <c r="ED94" s="25"/>
      <c r="EE94" s="25"/>
      <c r="EF94" s="25"/>
      <c r="EG94" s="25"/>
      <c r="EH94" s="25"/>
      <c r="EI94" s="25"/>
      <c r="EJ94" s="25">
        <v>181</v>
      </c>
      <c r="EK94" s="25">
        <v>3</v>
      </c>
      <c r="EL94" s="25"/>
      <c r="EM94" s="25"/>
      <c r="EN94" s="25"/>
      <c r="EO94" s="25"/>
      <c r="EP94" s="25"/>
      <c r="EQ94" s="25"/>
      <c r="ER94" s="25"/>
      <c r="ES94" s="25"/>
      <c r="ET94" s="25"/>
      <c r="EU94" s="25"/>
      <c r="EV94" s="25"/>
      <c r="EW94" s="25"/>
      <c r="EX94" s="25"/>
      <c r="EY94" s="25"/>
      <c r="EZ94" s="25"/>
      <c r="FA94" s="25"/>
      <c r="FB94" s="25">
        <v>54</v>
      </c>
      <c r="FC94" s="25"/>
      <c r="FD94" s="25"/>
      <c r="FE94" s="25"/>
      <c r="FF94" s="25">
        <v>9</v>
      </c>
      <c r="FG94" s="25"/>
      <c r="FH94" s="25"/>
      <c r="FI94" s="25">
        <v>9</v>
      </c>
      <c r="FJ94" s="25"/>
      <c r="FK94" s="25"/>
      <c r="FL94" s="25"/>
      <c r="FM94" s="25"/>
      <c r="FN94" s="25"/>
      <c r="FO94" s="25"/>
      <c r="FP94" s="25"/>
      <c r="FQ94" s="25"/>
      <c r="FR94" s="25">
        <v>18</v>
      </c>
      <c r="FS94" s="25">
        <v>42</v>
      </c>
      <c r="FT94" s="25"/>
      <c r="FU94" s="25"/>
      <c r="FV94" s="25"/>
      <c r="FW94" s="25"/>
      <c r="FX94" s="25"/>
      <c r="FY94" s="25"/>
      <c r="FZ94" s="25"/>
      <c r="GA94" s="25"/>
      <c r="GB94" s="25"/>
      <c r="GC94" s="25"/>
      <c r="GD94" s="25"/>
      <c r="GE94" s="25"/>
      <c r="GF94" s="25"/>
      <c r="GG94" s="25"/>
      <c r="GH94" s="25">
        <f t="shared" si="32"/>
        <v>32</v>
      </c>
      <c r="GI94" s="25">
        <f t="shared" si="33"/>
        <v>24</v>
      </c>
      <c r="GJ94" s="25">
        <f t="shared" si="34"/>
        <v>18</v>
      </c>
      <c r="GK94" s="25">
        <f t="shared" si="35"/>
        <v>581</v>
      </c>
      <c r="GL94" s="25">
        <f t="shared" si="36"/>
        <v>0</v>
      </c>
      <c r="GM94" s="25">
        <f t="shared" si="37"/>
        <v>-581</v>
      </c>
      <c r="GN94" s="25"/>
      <c r="GO94" s="25"/>
      <c r="GP94" s="25"/>
      <c r="GQ94" s="25"/>
      <c r="GR94" s="25"/>
      <c r="GS94" s="25"/>
      <c r="GT94" s="25"/>
      <c r="GU94" s="25"/>
      <c r="GV94" s="25"/>
      <c r="GW94" s="25"/>
      <c r="GX94" s="25"/>
      <c r="GY94" s="25"/>
      <c r="GZ94" s="25"/>
      <c r="HA94" s="25"/>
      <c r="HB94" s="25"/>
      <c r="HC94" s="25"/>
      <c r="HD94" s="25"/>
      <c r="HE94" s="25"/>
      <c r="HF94" s="25"/>
      <c r="HG94" s="25"/>
      <c r="HH94" s="25"/>
      <c r="HI94" s="25"/>
    </row>
    <row r="95" spans="1:217" ht="13" x14ac:dyDescent="0.15">
      <c r="A95" s="13">
        <v>42806</v>
      </c>
      <c r="B95" s="3" t="s">
        <v>293</v>
      </c>
      <c r="C95" s="16">
        <f t="shared" si="13"/>
        <v>89</v>
      </c>
      <c r="D95" s="3">
        <v>19.738602</v>
      </c>
      <c r="E95" s="3">
        <v>-155.03887900000001</v>
      </c>
      <c r="F95" s="3" t="s">
        <v>197</v>
      </c>
      <c r="G95" s="14">
        <v>0.39930555555555558</v>
      </c>
      <c r="H95" s="14">
        <v>0.43333333333333335</v>
      </c>
      <c r="I95" s="3">
        <v>6</v>
      </c>
      <c r="J95" s="3">
        <v>12</v>
      </c>
      <c r="K95" s="3" t="s">
        <v>198</v>
      </c>
      <c r="L95" s="3">
        <v>7</v>
      </c>
      <c r="M95" s="3">
        <v>32</v>
      </c>
      <c r="N95" s="3" t="s">
        <v>336</v>
      </c>
      <c r="P95" s="3">
        <v>32</v>
      </c>
      <c r="R95" s="3">
        <v>1</v>
      </c>
      <c r="AA95" s="3"/>
      <c r="AB95" s="3">
        <v>1</v>
      </c>
      <c r="AG95" s="3">
        <v>5</v>
      </c>
      <c r="AM95" s="3">
        <v>1</v>
      </c>
      <c r="BK95" s="3">
        <v>2</v>
      </c>
      <c r="BM95" s="3">
        <v>26</v>
      </c>
      <c r="BR95" s="3">
        <v>3</v>
      </c>
      <c r="BW95" s="3">
        <v>2</v>
      </c>
      <c r="CC95" s="3">
        <v>12</v>
      </c>
      <c r="CG95" s="3"/>
      <c r="CH95" s="3">
        <v>8</v>
      </c>
      <c r="CO95" s="3">
        <v>62</v>
      </c>
      <c r="DF95" s="3"/>
      <c r="DG95" s="3">
        <v>25</v>
      </c>
      <c r="DI95" s="3">
        <v>2</v>
      </c>
      <c r="EJ95" s="3">
        <v>5</v>
      </c>
      <c r="EP95" s="3">
        <v>2</v>
      </c>
      <c r="ER95" s="3">
        <v>13</v>
      </c>
      <c r="FM95" s="3">
        <v>26</v>
      </c>
      <c r="FS95" s="3">
        <v>350</v>
      </c>
      <c r="FT95" s="3">
        <v>3</v>
      </c>
      <c r="GH95" s="3">
        <f t="shared" si="32"/>
        <v>19</v>
      </c>
      <c r="GI95" s="3">
        <f t="shared" si="33"/>
        <v>16</v>
      </c>
      <c r="GJ95" s="3">
        <f t="shared" si="34"/>
        <v>10</v>
      </c>
      <c r="GK95" s="3">
        <f t="shared" si="35"/>
        <v>549</v>
      </c>
      <c r="GL95" s="3">
        <f t="shared" si="36"/>
        <v>800</v>
      </c>
      <c r="GM95" s="3">
        <f t="shared" si="37"/>
        <v>251</v>
      </c>
    </row>
    <row r="96" spans="1:217" ht="13" x14ac:dyDescent="0.15">
      <c r="A96" s="13">
        <v>42810</v>
      </c>
      <c r="B96" s="3" t="s">
        <v>337</v>
      </c>
      <c r="C96" s="16">
        <f t="shared" si="13"/>
        <v>90</v>
      </c>
      <c r="D96" s="3">
        <v>19.957187999999999</v>
      </c>
      <c r="E96" s="3">
        <v>-155.859497</v>
      </c>
      <c r="F96" s="3" t="s">
        <v>313</v>
      </c>
      <c r="G96" s="14">
        <v>0.48055555555555557</v>
      </c>
      <c r="H96" s="14">
        <v>0.55208333333333337</v>
      </c>
      <c r="I96" s="3">
        <v>3</v>
      </c>
      <c r="J96" s="3">
        <v>10</v>
      </c>
      <c r="K96" s="3" t="s">
        <v>318</v>
      </c>
      <c r="L96" s="3">
        <v>10</v>
      </c>
      <c r="M96" s="3">
        <v>30</v>
      </c>
      <c r="P96" s="3">
        <v>30</v>
      </c>
      <c r="AA96" s="3"/>
      <c r="AB96" s="3">
        <v>133</v>
      </c>
      <c r="AL96" s="3">
        <v>5</v>
      </c>
      <c r="AM96" s="3">
        <v>7</v>
      </c>
      <c r="AN96" s="3">
        <v>3</v>
      </c>
      <c r="BH96" s="3">
        <v>20</v>
      </c>
      <c r="BM96" s="3">
        <v>64</v>
      </c>
      <c r="BY96" s="3">
        <v>5</v>
      </c>
      <c r="CC96" s="3">
        <v>44</v>
      </c>
      <c r="CD96" s="3">
        <v>7</v>
      </c>
      <c r="CK96" s="3">
        <v>3</v>
      </c>
      <c r="CU96" s="3">
        <v>9</v>
      </c>
      <c r="DH96" s="3">
        <v>1</v>
      </c>
      <c r="DR96" s="3"/>
      <c r="DS96" s="3">
        <v>4</v>
      </c>
      <c r="EA96" s="3">
        <v>2</v>
      </c>
      <c r="EJ96" s="3">
        <v>27</v>
      </c>
      <c r="EW96" s="3">
        <v>1</v>
      </c>
      <c r="FB96" s="3">
        <v>6</v>
      </c>
      <c r="FR96" s="3">
        <v>7</v>
      </c>
      <c r="FS96" s="3">
        <v>310</v>
      </c>
      <c r="GH96" s="3">
        <f t="shared" si="32"/>
        <v>19</v>
      </c>
      <c r="GI96" s="3">
        <f t="shared" si="33"/>
        <v>17</v>
      </c>
      <c r="GJ96" s="3">
        <f t="shared" si="34"/>
        <v>13</v>
      </c>
      <c r="GK96" s="3">
        <f t="shared" si="35"/>
        <v>658</v>
      </c>
      <c r="GL96" s="3">
        <f t="shared" si="36"/>
        <v>750</v>
      </c>
      <c r="GM96" s="3">
        <f t="shared" si="37"/>
        <v>92</v>
      </c>
    </row>
    <row r="97" spans="1:217" ht="13" x14ac:dyDescent="0.15">
      <c r="A97" s="27">
        <v>42822</v>
      </c>
      <c r="B97" s="28" t="s">
        <v>216</v>
      </c>
      <c r="C97" s="16">
        <f t="shared" si="13"/>
        <v>91</v>
      </c>
      <c r="D97" s="28">
        <v>21.3002</v>
      </c>
      <c r="E97" s="28">
        <v>-157.882599</v>
      </c>
      <c r="F97" s="28" t="s">
        <v>413</v>
      </c>
      <c r="G97" s="29">
        <v>0.40277777777777779</v>
      </c>
      <c r="H97" s="29">
        <v>0.45833333333333331</v>
      </c>
      <c r="I97" s="28">
        <v>6</v>
      </c>
      <c r="J97" s="28">
        <v>14.7</v>
      </c>
      <c r="K97" s="28" t="s">
        <v>198</v>
      </c>
      <c r="L97" s="28">
        <v>5</v>
      </c>
      <c r="M97" s="28">
        <v>19</v>
      </c>
      <c r="N97" s="28" t="s">
        <v>414</v>
      </c>
      <c r="O97" s="28"/>
      <c r="P97" s="28"/>
      <c r="Q97" s="28"/>
      <c r="R97" s="28"/>
      <c r="S97" s="28"/>
      <c r="T97" s="28"/>
      <c r="U97" s="28"/>
      <c r="V97" s="28"/>
      <c r="W97" s="28"/>
      <c r="X97" s="28"/>
      <c r="Y97" s="28"/>
      <c r="Z97" s="28"/>
      <c r="AA97" s="28"/>
      <c r="AB97" s="28">
        <v>9</v>
      </c>
      <c r="AC97" s="28"/>
      <c r="AD97" s="28"/>
      <c r="AE97" s="28"/>
      <c r="AF97" s="28"/>
      <c r="AG97" s="28"/>
      <c r="AH97" s="28"/>
      <c r="AI97" s="28">
        <v>1</v>
      </c>
      <c r="AJ97" s="28"/>
      <c r="AK97" s="28"/>
      <c r="AL97" s="28">
        <v>1</v>
      </c>
      <c r="AM97" s="28"/>
      <c r="AN97" s="28"/>
      <c r="AO97" s="28"/>
      <c r="AP97" s="28"/>
      <c r="AQ97" s="28"/>
      <c r="AR97" s="28"/>
      <c r="AS97" s="28"/>
      <c r="AT97" s="28"/>
      <c r="AU97" s="28"/>
      <c r="AV97" s="28"/>
      <c r="AW97" s="28"/>
      <c r="AX97" s="28"/>
      <c r="AY97" s="28"/>
      <c r="AZ97" s="28"/>
      <c r="BA97" s="28"/>
      <c r="BB97" s="28"/>
      <c r="BC97" s="28"/>
      <c r="BD97" s="28"/>
      <c r="BE97" s="28">
        <v>6</v>
      </c>
      <c r="BF97" s="28"/>
      <c r="BG97" s="28"/>
      <c r="BH97" s="28">
        <v>1</v>
      </c>
      <c r="BI97" s="28"/>
      <c r="BJ97" s="28"/>
      <c r="BK97" s="28"/>
      <c r="BL97" s="28"/>
      <c r="BM97" s="28">
        <v>4</v>
      </c>
      <c r="BN97" s="28"/>
      <c r="BO97" s="28"/>
      <c r="BP97" s="28"/>
      <c r="BQ97" s="28"/>
      <c r="BR97" s="28"/>
      <c r="BS97" s="28"/>
      <c r="BT97" s="28"/>
      <c r="BU97" s="28"/>
      <c r="BV97" s="28"/>
      <c r="BW97" s="28">
        <v>4</v>
      </c>
      <c r="BX97" s="28"/>
      <c r="BY97" s="28"/>
      <c r="BZ97" s="28"/>
      <c r="CA97" s="28"/>
      <c r="CB97" s="28"/>
      <c r="CC97" s="28"/>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c r="DH97" s="28"/>
      <c r="DI97" s="28"/>
      <c r="DJ97" s="28"/>
      <c r="DK97" s="28"/>
      <c r="DL97" s="28"/>
      <c r="DM97" s="28"/>
      <c r="DN97" s="28"/>
      <c r="DO97" s="28"/>
      <c r="DP97" s="28"/>
      <c r="DQ97" s="28"/>
      <c r="DR97" s="28"/>
      <c r="DS97" s="28"/>
      <c r="DT97" s="28"/>
      <c r="DU97" s="28"/>
      <c r="DV97" s="28"/>
      <c r="DW97" s="28"/>
      <c r="DX97" s="28"/>
      <c r="DY97" s="28"/>
      <c r="DZ97" s="28"/>
      <c r="EA97" s="28"/>
      <c r="EB97" s="28"/>
      <c r="EC97" s="28">
        <v>3</v>
      </c>
      <c r="ED97" s="28"/>
      <c r="EE97" s="28"/>
      <c r="EF97" s="28"/>
      <c r="EG97" s="28"/>
      <c r="EH97" s="28"/>
      <c r="EI97" s="28"/>
      <c r="EJ97" s="28"/>
      <c r="EK97" s="28"/>
      <c r="EL97" s="28"/>
      <c r="EM97" s="28"/>
      <c r="EN97" s="28"/>
      <c r="EO97" s="28"/>
      <c r="EP97" s="28"/>
      <c r="EQ97" s="28"/>
      <c r="ER97" s="28"/>
      <c r="ES97" s="28"/>
      <c r="ET97" s="28"/>
      <c r="EU97" s="28"/>
      <c r="EV97" s="28"/>
      <c r="EW97" s="28"/>
      <c r="EX97" s="28"/>
      <c r="EY97" s="28"/>
      <c r="EZ97" s="28"/>
      <c r="FA97" s="28"/>
      <c r="FB97" s="28"/>
      <c r="FC97" s="28"/>
      <c r="FD97" s="28"/>
      <c r="FE97" s="28"/>
      <c r="FF97" s="28"/>
      <c r="FG97" s="28"/>
      <c r="FH97" s="28"/>
      <c r="FI97" s="28"/>
      <c r="FJ97" s="28"/>
      <c r="FK97" s="28"/>
      <c r="FL97" s="28"/>
      <c r="FM97" s="28"/>
      <c r="FN97" s="28"/>
      <c r="FO97" s="28"/>
      <c r="FP97" s="28"/>
      <c r="FQ97" s="28"/>
      <c r="FR97" s="28"/>
      <c r="FS97" s="28">
        <v>344</v>
      </c>
      <c r="FT97" s="28"/>
      <c r="FU97" s="28"/>
      <c r="FV97" s="28"/>
      <c r="FW97" s="28"/>
      <c r="FX97" s="28"/>
      <c r="FY97" s="28"/>
      <c r="FZ97" s="28"/>
      <c r="GA97" s="28"/>
      <c r="GB97" s="28"/>
      <c r="GC97" s="28"/>
      <c r="GD97" s="28"/>
      <c r="GE97" s="28"/>
      <c r="GF97" s="28"/>
      <c r="GG97" s="28"/>
      <c r="GH97" s="28"/>
      <c r="GI97" s="28"/>
      <c r="GJ97" s="28"/>
      <c r="GK97" s="28"/>
      <c r="GL97" s="28"/>
      <c r="GM97" s="28"/>
      <c r="GN97" s="28"/>
      <c r="GO97" s="28"/>
      <c r="GP97" s="28"/>
      <c r="GQ97" s="28"/>
      <c r="GR97" s="28"/>
      <c r="GS97" s="28"/>
      <c r="GT97" s="28"/>
      <c r="GU97" s="28"/>
      <c r="GV97" s="28"/>
      <c r="GW97" s="28"/>
      <c r="GX97" s="28"/>
      <c r="GY97" s="28"/>
      <c r="GZ97" s="28"/>
      <c r="HA97" s="28"/>
      <c r="HB97" s="28"/>
      <c r="HC97" s="28"/>
      <c r="HD97" s="28"/>
      <c r="HE97" s="28"/>
      <c r="HF97" s="28"/>
      <c r="HG97" s="28"/>
      <c r="HH97" s="28"/>
      <c r="HI97" s="28"/>
    </row>
    <row r="98" spans="1:217" ht="13" x14ac:dyDescent="0.15">
      <c r="A98" s="13">
        <v>42823</v>
      </c>
      <c r="B98" s="3" t="s">
        <v>244</v>
      </c>
      <c r="C98" s="16">
        <f t="shared" si="13"/>
        <v>92</v>
      </c>
      <c r="D98" s="3">
        <v>21.310611999999999</v>
      </c>
      <c r="E98" s="3">
        <v>-158.00441000000001</v>
      </c>
      <c r="F98" s="3" t="s">
        <v>278</v>
      </c>
      <c r="G98" s="14">
        <v>0.38541666666666669</v>
      </c>
      <c r="H98" s="14">
        <v>0.46875</v>
      </c>
      <c r="I98" s="3">
        <v>6</v>
      </c>
      <c r="J98" s="3">
        <v>10</v>
      </c>
      <c r="K98" s="3" t="s">
        <v>198</v>
      </c>
      <c r="L98" s="3">
        <v>5</v>
      </c>
      <c r="M98" s="3">
        <v>26</v>
      </c>
      <c r="N98" s="3" t="s">
        <v>338</v>
      </c>
      <c r="P98" s="3">
        <v>26</v>
      </c>
      <c r="R98" s="3">
        <v>8</v>
      </c>
      <c r="AI98" s="3">
        <v>14</v>
      </c>
      <c r="BM98" s="3">
        <v>2</v>
      </c>
      <c r="BV98" s="3">
        <v>16</v>
      </c>
      <c r="BZ98" s="3">
        <v>42</v>
      </c>
      <c r="DF98" s="3"/>
      <c r="DG98" s="3">
        <v>40</v>
      </c>
      <c r="DM98" s="3">
        <v>40</v>
      </c>
      <c r="DR98" s="3"/>
      <c r="DS98" s="3">
        <v>2</v>
      </c>
      <c r="EJ98" s="3">
        <v>231</v>
      </c>
      <c r="FB98" s="3">
        <v>20</v>
      </c>
      <c r="FS98" s="3">
        <v>47</v>
      </c>
      <c r="GH98" s="3">
        <f>COUNT(R98:GG98)</f>
        <v>11</v>
      </c>
      <c r="GI98" s="3">
        <f>COUNTIF(R98:GG98,"&gt;=2")</f>
        <v>11</v>
      </c>
      <c r="GJ98" s="3">
        <f>COUNTIF(R98:GG98,"&gt;=5")</f>
        <v>9</v>
      </c>
      <c r="GK98" s="3">
        <f>SUM(R98:GG98)</f>
        <v>462</v>
      </c>
      <c r="GL98" s="3">
        <f>25*P98</f>
        <v>650</v>
      </c>
      <c r="GM98" s="3">
        <f>GL98-GK98</f>
        <v>188</v>
      </c>
    </row>
    <row r="99" spans="1:217" ht="13" x14ac:dyDescent="0.15">
      <c r="A99" s="27">
        <v>42825</v>
      </c>
      <c r="B99" s="28" t="s">
        <v>246</v>
      </c>
      <c r="C99" s="16">
        <f t="shared" si="13"/>
        <v>93</v>
      </c>
      <c r="D99" s="28">
        <v>21.2882</v>
      </c>
      <c r="E99" s="28">
        <v>-157.66799900000001</v>
      </c>
      <c r="F99" s="28" t="s">
        <v>278</v>
      </c>
      <c r="G99" s="29">
        <v>0.41736111111111113</v>
      </c>
      <c r="H99" s="29">
        <v>0.45069444444444445</v>
      </c>
      <c r="I99" s="28">
        <v>6</v>
      </c>
      <c r="J99" s="28">
        <v>12</v>
      </c>
      <c r="K99" s="28" t="s">
        <v>398</v>
      </c>
      <c r="L99" s="28">
        <v>5</v>
      </c>
      <c r="M99" s="28">
        <v>9</v>
      </c>
      <c r="N99" s="28" t="s">
        <v>420</v>
      </c>
      <c r="O99" s="28"/>
      <c r="P99" s="28"/>
      <c r="Q99" s="28"/>
      <c r="R99" s="28">
        <v>4</v>
      </c>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v>18</v>
      </c>
      <c r="BN99" s="28"/>
      <c r="BO99" s="28"/>
      <c r="BP99" s="28"/>
      <c r="BQ99" s="28"/>
      <c r="BR99" s="28"/>
      <c r="BS99" s="28"/>
      <c r="BT99" s="28"/>
      <c r="BU99" s="28"/>
      <c r="BV99" s="28"/>
      <c r="BW99" s="28"/>
      <c r="BX99" s="28"/>
      <c r="BY99" s="28"/>
      <c r="BZ99" s="28">
        <v>3</v>
      </c>
      <c r="CA99" s="28"/>
      <c r="CB99" s="28"/>
      <c r="CC99" s="28"/>
      <c r="CD99" s="28"/>
      <c r="CE99" s="28"/>
      <c r="CF99" s="28"/>
      <c r="CG99" s="28"/>
      <c r="CH99" s="28"/>
      <c r="CI99" s="28"/>
      <c r="CJ99" s="28"/>
      <c r="CK99" s="28"/>
      <c r="CL99" s="28"/>
      <c r="CM99" s="28"/>
      <c r="CN99" s="28"/>
      <c r="CO99" s="28"/>
      <c r="CP99" s="28"/>
      <c r="CQ99" s="28"/>
      <c r="CR99" s="28"/>
      <c r="CS99" s="28"/>
      <c r="CT99" s="28"/>
      <c r="CU99" s="28">
        <v>2</v>
      </c>
      <c r="CV99" s="28"/>
      <c r="CW99" s="28"/>
      <c r="CX99" s="28"/>
      <c r="CY99" s="28"/>
      <c r="CZ99" s="28"/>
      <c r="DA99" s="28"/>
      <c r="DB99" s="28"/>
      <c r="DC99" s="28"/>
      <c r="DD99" s="28"/>
      <c r="DE99" s="28"/>
      <c r="DF99" s="28"/>
      <c r="DG99" s="28"/>
      <c r="DH99" s="28">
        <v>1</v>
      </c>
      <c r="DI99" s="28"/>
      <c r="DJ99" s="28"/>
      <c r="DK99" s="28"/>
      <c r="DL99" s="28"/>
      <c r="DM99" s="28"/>
      <c r="DN99" s="28"/>
      <c r="DO99" s="28"/>
      <c r="DP99" s="28"/>
      <c r="DQ99" s="28"/>
      <c r="DR99" s="28"/>
      <c r="DS99" s="28"/>
      <c r="DT99" s="28"/>
      <c r="DU99" s="28"/>
      <c r="DV99" s="28">
        <v>3</v>
      </c>
      <c r="DW99" s="28"/>
      <c r="DX99" s="28"/>
      <c r="DY99" s="28"/>
      <c r="DZ99" s="28"/>
      <c r="EA99" s="28"/>
      <c r="EB99" s="28"/>
      <c r="EC99" s="28"/>
      <c r="ED99" s="28"/>
      <c r="EE99" s="28"/>
      <c r="EF99" s="28"/>
      <c r="EG99" s="28"/>
      <c r="EH99" s="28"/>
      <c r="EI99" s="28"/>
      <c r="EJ99" s="28">
        <v>13</v>
      </c>
      <c r="EK99" s="28"/>
      <c r="EL99" s="28"/>
      <c r="EM99" s="28"/>
      <c r="EN99" s="28"/>
      <c r="EO99" s="28"/>
      <c r="EP99" s="28"/>
      <c r="EQ99" s="28"/>
      <c r="ER99" s="28"/>
      <c r="ES99" s="28"/>
      <c r="ET99" s="28"/>
      <c r="EU99" s="28"/>
      <c r="EV99" s="28"/>
      <c r="EW99" s="28"/>
      <c r="EX99" s="28"/>
      <c r="EY99" s="28"/>
      <c r="EZ99" s="28"/>
      <c r="FA99" s="28"/>
      <c r="FB99" s="28"/>
      <c r="FC99" s="28"/>
      <c r="FD99" s="28"/>
      <c r="FE99" s="28">
        <v>1</v>
      </c>
      <c r="FF99" s="28"/>
      <c r="FG99" s="28"/>
      <c r="FH99" s="28"/>
      <c r="FI99" s="28"/>
      <c r="FJ99" s="28"/>
      <c r="FK99" s="28"/>
      <c r="FL99" s="28"/>
      <c r="FM99" s="28"/>
      <c r="FN99" s="28"/>
      <c r="FO99" s="28"/>
      <c r="FP99" s="28"/>
      <c r="FQ99" s="28"/>
      <c r="FR99" s="28">
        <v>10</v>
      </c>
      <c r="FS99" s="28">
        <v>71</v>
      </c>
      <c r="FT99" s="28"/>
      <c r="FU99" s="28"/>
      <c r="FV99" s="28"/>
      <c r="FW99" s="28"/>
      <c r="FX99" s="28"/>
      <c r="FY99" s="28"/>
      <c r="FZ99" s="28"/>
      <c r="GA99" s="28"/>
      <c r="GB99" s="28"/>
      <c r="GC99" s="28"/>
      <c r="GD99" s="28"/>
      <c r="GE99" s="28"/>
      <c r="GF99" s="28"/>
      <c r="GG99" s="28"/>
      <c r="GH99" s="28"/>
      <c r="GI99" s="28"/>
      <c r="GJ99" s="28"/>
      <c r="GK99" s="28"/>
      <c r="GL99" s="28"/>
      <c r="GM99" s="28"/>
      <c r="GN99" s="28"/>
      <c r="GO99" s="28"/>
      <c r="GP99" s="28"/>
      <c r="GQ99" s="28"/>
      <c r="GR99" s="28"/>
      <c r="GS99" s="28"/>
      <c r="GT99" s="28"/>
      <c r="GU99" s="28"/>
      <c r="GV99" s="28"/>
      <c r="GW99" s="28"/>
      <c r="GX99" s="28"/>
      <c r="GY99" s="28"/>
      <c r="GZ99" s="28"/>
      <c r="HA99" s="28"/>
      <c r="HB99" s="28"/>
      <c r="HC99" s="28"/>
      <c r="HD99" s="28"/>
      <c r="HE99" s="28"/>
      <c r="HF99" s="28"/>
      <c r="HG99" s="28"/>
      <c r="HH99" s="28"/>
      <c r="HI99" s="28"/>
    </row>
    <row r="100" spans="1:217" ht="13" x14ac:dyDescent="0.15">
      <c r="A100" s="13">
        <v>42826</v>
      </c>
      <c r="B100" s="3" t="s">
        <v>303</v>
      </c>
      <c r="C100" s="16">
        <f t="shared" si="13"/>
        <v>94</v>
      </c>
      <c r="D100" s="3">
        <v>20.994240000000001</v>
      </c>
      <c r="E100" s="3">
        <v>-156.66825900000001</v>
      </c>
      <c r="F100" s="3" t="s">
        <v>197</v>
      </c>
      <c r="G100" s="14">
        <v>0.47083333333333333</v>
      </c>
      <c r="H100" s="14">
        <v>0.50416666666666665</v>
      </c>
      <c r="I100" s="3">
        <v>3</v>
      </c>
      <c r="J100" s="3">
        <v>25</v>
      </c>
      <c r="K100" s="3" t="s">
        <v>198</v>
      </c>
      <c r="L100" s="3">
        <v>11</v>
      </c>
      <c r="M100" s="3">
        <v>20</v>
      </c>
      <c r="N100" s="3" t="s">
        <v>339</v>
      </c>
      <c r="P100" s="3">
        <v>20</v>
      </c>
      <c r="AA100" s="3"/>
      <c r="AB100" s="3">
        <v>12</v>
      </c>
      <c r="AM100" s="3">
        <v>30</v>
      </c>
      <c r="BK100" s="3">
        <v>1</v>
      </c>
      <c r="BM100" s="3">
        <v>51</v>
      </c>
      <c r="BQ100" s="3">
        <v>5</v>
      </c>
      <c r="CC100" s="3">
        <v>9</v>
      </c>
      <c r="CD100" s="3">
        <v>1</v>
      </c>
      <c r="CK100" s="3">
        <v>12</v>
      </c>
      <c r="DH100" s="3">
        <v>22</v>
      </c>
      <c r="DP100" s="3">
        <v>2</v>
      </c>
      <c r="ED100" s="3">
        <v>7</v>
      </c>
      <c r="ET100" s="3"/>
      <c r="EU100" s="3"/>
      <c r="EV100" s="3">
        <v>11</v>
      </c>
      <c r="FC100" s="3">
        <v>2</v>
      </c>
      <c r="FS100" s="3">
        <v>24</v>
      </c>
      <c r="FZ100" s="3">
        <v>1</v>
      </c>
      <c r="GH100" s="3">
        <f t="shared" ref="GH100:GH102" si="38">COUNT(R100:GG100)</f>
        <v>15</v>
      </c>
      <c r="GI100" s="3">
        <f t="shared" ref="GI100:GI102" si="39">COUNTIF(R100:GG100,"&gt;=2")</f>
        <v>12</v>
      </c>
      <c r="GJ100" s="3">
        <f t="shared" ref="GJ100:GJ102" si="40">COUNTIF(R100:GG100,"&gt;=5")</f>
        <v>10</v>
      </c>
      <c r="GK100" s="3">
        <f t="shared" ref="GK100:GK102" si="41">SUM(R100:GG100)</f>
        <v>190</v>
      </c>
      <c r="GL100" s="3">
        <f t="shared" ref="GL100:GL102" si="42">25*P100</f>
        <v>500</v>
      </c>
      <c r="GM100" s="3">
        <f t="shared" ref="GM100:GM102" si="43">GL100-GK100</f>
        <v>310</v>
      </c>
    </row>
    <row r="101" spans="1:217" ht="13" x14ac:dyDescent="0.15">
      <c r="A101" s="13">
        <v>42827</v>
      </c>
      <c r="B101" s="3" t="s">
        <v>340</v>
      </c>
      <c r="C101" s="16">
        <f t="shared" si="13"/>
        <v>95</v>
      </c>
      <c r="D101" s="3">
        <v>19.643276</v>
      </c>
      <c r="E101" s="3">
        <v>-156.01019299999999</v>
      </c>
      <c r="F101" s="3" t="s">
        <v>197</v>
      </c>
      <c r="G101" s="14">
        <v>0.48680555555555555</v>
      </c>
      <c r="H101" s="14">
        <v>0.52500000000000002</v>
      </c>
      <c r="I101" s="3">
        <v>3</v>
      </c>
      <c r="J101" s="3">
        <v>40</v>
      </c>
      <c r="K101" s="3" t="s">
        <v>198</v>
      </c>
      <c r="L101" s="3">
        <v>10</v>
      </c>
      <c r="M101" s="3">
        <v>28</v>
      </c>
      <c r="N101" s="3" t="s">
        <v>341</v>
      </c>
      <c r="P101" s="3">
        <v>28</v>
      </c>
      <c r="T101" s="3">
        <v>1</v>
      </c>
      <c r="AD101" s="3">
        <v>2</v>
      </c>
      <c r="AM101" s="3">
        <v>126</v>
      </c>
      <c r="BM101" s="3">
        <v>1</v>
      </c>
      <c r="BZ101" s="3">
        <v>2</v>
      </c>
      <c r="CC101" s="3">
        <v>2</v>
      </c>
      <c r="CN101" s="3">
        <v>7</v>
      </c>
      <c r="EJ101" s="3">
        <v>3</v>
      </c>
      <c r="FF101" s="3">
        <v>6</v>
      </c>
      <c r="FM101" s="3">
        <v>12</v>
      </c>
      <c r="FR101" s="3">
        <v>156</v>
      </c>
      <c r="FS101" s="3">
        <v>283</v>
      </c>
      <c r="GH101" s="3">
        <f t="shared" si="38"/>
        <v>12</v>
      </c>
      <c r="GI101" s="3">
        <f t="shared" si="39"/>
        <v>10</v>
      </c>
      <c r="GJ101" s="3">
        <f t="shared" si="40"/>
        <v>6</v>
      </c>
      <c r="GK101" s="3">
        <f t="shared" si="41"/>
        <v>601</v>
      </c>
      <c r="GL101" s="3">
        <f t="shared" si="42"/>
        <v>700</v>
      </c>
      <c r="GM101" s="3">
        <f t="shared" si="43"/>
        <v>99</v>
      </c>
    </row>
    <row r="102" spans="1:217" ht="13" x14ac:dyDescent="0.15">
      <c r="A102" s="13">
        <v>42831</v>
      </c>
      <c r="B102" s="3" t="s">
        <v>201</v>
      </c>
      <c r="C102" s="16">
        <f t="shared" si="13"/>
        <v>96</v>
      </c>
      <c r="D102" s="3">
        <v>21.25544</v>
      </c>
      <c r="E102" s="3">
        <v>-157.810303</v>
      </c>
      <c r="F102" s="3" t="s">
        <v>197</v>
      </c>
      <c r="G102" s="14">
        <v>0</v>
      </c>
      <c r="H102" s="14">
        <v>4.1666666666666664E-2</v>
      </c>
      <c r="I102" s="3">
        <v>6</v>
      </c>
      <c r="J102" s="3">
        <v>11</v>
      </c>
      <c r="K102" s="3" t="s">
        <v>198</v>
      </c>
      <c r="L102" s="3">
        <v>12</v>
      </c>
      <c r="M102" s="3">
        <v>55</v>
      </c>
      <c r="N102" s="3" t="s">
        <v>342</v>
      </c>
      <c r="P102" s="3">
        <v>55</v>
      </c>
      <c r="R102" s="3">
        <v>4</v>
      </c>
      <c r="AA102" s="3"/>
      <c r="AB102" s="3">
        <v>3</v>
      </c>
      <c r="AD102" s="3">
        <v>2</v>
      </c>
      <c r="AF102" s="3">
        <v>5</v>
      </c>
      <c r="BH102" s="3">
        <v>1</v>
      </c>
      <c r="BM102" s="3">
        <v>4</v>
      </c>
      <c r="BW102" s="3">
        <v>54</v>
      </c>
      <c r="BZ102" s="3">
        <v>49</v>
      </c>
      <c r="CB102" s="3">
        <v>1</v>
      </c>
      <c r="CS102" s="3">
        <v>21</v>
      </c>
      <c r="DM102" s="3">
        <v>120</v>
      </c>
      <c r="DT102" s="3">
        <v>1</v>
      </c>
      <c r="ED102" s="3">
        <v>2</v>
      </c>
      <c r="EJ102" s="3">
        <v>319</v>
      </c>
      <c r="FB102" s="3">
        <v>187</v>
      </c>
      <c r="FC102" s="3">
        <v>2</v>
      </c>
      <c r="FS102" s="3">
        <v>74</v>
      </c>
      <c r="FU102" s="3">
        <v>7</v>
      </c>
      <c r="GE102" s="3">
        <v>1</v>
      </c>
      <c r="GF102" s="3">
        <v>27</v>
      </c>
      <c r="GH102" s="3">
        <f t="shared" si="38"/>
        <v>20</v>
      </c>
      <c r="GI102" s="3">
        <f t="shared" si="39"/>
        <v>16</v>
      </c>
      <c r="GJ102" s="3">
        <f t="shared" si="40"/>
        <v>10</v>
      </c>
      <c r="GK102" s="3">
        <f t="shared" si="41"/>
        <v>884</v>
      </c>
      <c r="GL102" s="3">
        <f t="shared" si="42"/>
        <v>1375</v>
      </c>
      <c r="GM102" s="3">
        <f t="shared" si="43"/>
        <v>491</v>
      </c>
    </row>
    <row r="103" spans="1:217" ht="13" x14ac:dyDescent="0.15">
      <c r="A103" s="27">
        <v>42832</v>
      </c>
      <c r="B103" s="28" t="s">
        <v>250</v>
      </c>
      <c r="C103" s="16">
        <f t="shared" si="13"/>
        <v>97</v>
      </c>
      <c r="D103" s="28">
        <v>21.410399999999999</v>
      </c>
      <c r="E103" s="28">
        <v>-158.17770400000001</v>
      </c>
      <c r="F103" s="28" t="s">
        <v>428</v>
      </c>
      <c r="G103" s="29">
        <v>0.375</v>
      </c>
      <c r="H103" s="29">
        <v>0.47916666666666669</v>
      </c>
      <c r="I103" s="28">
        <v>4</v>
      </c>
      <c r="J103" s="28">
        <v>7</v>
      </c>
      <c r="K103" s="28" t="s">
        <v>198</v>
      </c>
      <c r="L103" s="28">
        <v>5</v>
      </c>
      <c r="M103" s="28">
        <v>15</v>
      </c>
      <c r="N103" s="28" t="s">
        <v>429</v>
      </c>
      <c r="O103" s="28"/>
      <c r="P103" s="28"/>
      <c r="Q103" s="28"/>
      <c r="R103" s="28">
        <v>101</v>
      </c>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v>13</v>
      </c>
      <c r="BN103" s="28"/>
      <c r="BO103" s="28"/>
      <c r="BP103" s="28"/>
      <c r="BQ103" s="28"/>
      <c r="BR103" s="28"/>
      <c r="BS103" s="28"/>
      <c r="BT103" s="28"/>
      <c r="BU103" s="28"/>
      <c r="BV103" s="28"/>
      <c r="BW103" s="28"/>
      <c r="BX103" s="28"/>
      <c r="BY103" s="28"/>
      <c r="BZ103" s="28">
        <v>1</v>
      </c>
      <c r="CA103" s="28"/>
      <c r="CB103" s="28"/>
      <c r="CC103" s="28"/>
      <c r="CD103" s="28"/>
      <c r="CE103" s="28"/>
      <c r="CF103" s="28"/>
      <c r="CG103" s="28"/>
      <c r="CH103" s="28"/>
      <c r="CI103" s="28"/>
      <c r="CJ103" s="28"/>
      <c r="CK103" s="28"/>
      <c r="CL103" s="28"/>
      <c r="CM103" s="28"/>
      <c r="CN103" s="28"/>
      <c r="CO103" s="28">
        <v>18</v>
      </c>
      <c r="CP103" s="28"/>
      <c r="CQ103" s="28"/>
      <c r="CR103" s="28"/>
      <c r="CS103" s="28"/>
      <c r="CT103" s="28"/>
      <c r="CU103" s="28"/>
      <c r="CV103" s="28"/>
      <c r="CW103" s="28"/>
      <c r="CX103" s="28"/>
      <c r="CY103" s="28"/>
      <c r="CZ103" s="28"/>
      <c r="DA103" s="28"/>
      <c r="DB103" s="28"/>
      <c r="DC103" s="28"/>
      <c r="DD103" s="28"/>
      <c r="DE103" s="28"/>
      <c r="DF103" s="28"/>
      <c r="DG103" s="28">
        <v>15</v>
      </c>
      <c r="DH103" s="28"/>
      <c r="DI103" s="28"/>
      <c r="DJ103" s="28"/>
      <c r="DK103" s="28"/>
      <c r="DL103" s="28"/>
      <c r="DM103" s="28">
        <v>1</v>
      </c>
      <c r="DN103" s="28"/>
      <c r="DO103" s="28"/>
      <c r="DP103" s="28">
        <v>1</v>
      </c>
      <c r="DQ103" s="28"/>
      <c r="DR103" s="28"/>
      <c r="DS103" s="28"/>
      <c r="DT103" s="28"/>
      <c r="DU103" s="28"/>
      <c r="DV103" s="28"/>
      <c r="DW103" s="28"/>
      <c r="DX103" s="28"/>
      <c r="DY103" s="28"/>
      <c r="DZ103" s="28"/>
      <c r="EA103" s="28"/>
      <c r="EB103" s="28"/>
      <c r="EC103" s="28"/>
      <c r="ED103" s="28"/>
      <c r="EE103" s="28"/>
      <c r="EF103" s="28"/>
      <c r="EG103" s="28"/>
      <c r="EH103" s="28"/>
      <c r="EI103" s="28"/>
      <c r="EJ103" s="28">
        <v>1</v>
      </c>
      <c r="EK103" s="28"/>
      <c r="EL103" s="28"/>
      <c r="EM103" s="28"/>
      <c r="EN103" s="28"/>
      <c r="EO103" s="28"/>
      <c r="EP103" s="28"/>
      <c r="EQ103" s="28"/>
      <c r="ER103" s="28"/>
      <c r="ES103" s="28"/>
      <c r="ET103" s="28"/>
      <c r="EU103" s="28"/>
      <c r="EV103" s="28"/>
      <c r="EW103" s="28"/>
      <c r="EX103" s="28"/>
      <c r="EY103" s="28"/>
      <c r="EZ103" s="28"/>
      <c r="FA103" s="28"/>
      <c r="FB103" s="28">
        <v>3</v>
      </c>
      <c r="FC103" s="28"/>
      <c r="FD103" s="28"/>
      <c r="FE103" s="28">
        <v>1</v>
      </c>
      <c r="FF103" s="28"/>
      <c r="FG103" s="28"/>
      <c r="FH103" s="28"/>
      <c r="FI103" s="28">
        <v>1</v>
      </c>
      <c r="FJ103" s="28"/>
      <c r="FK103" s="28"/>
      <c r="FL103" s="28"/>
      <c r="FM103" s="28"/>
      <c r="FN103" s="28"/>
      <c r="FO103" s="28"/>
      <c r="FP103" s="28"/>
      <c r="FQ103" s="28"/>
      <c r="FR103" s="28"/>
      <c r="FS103" s="28">
        <v>138</v>
      </c>
      <c r="FT103" s="28"/>
      <c r="FU103" s="28"/>
      <c r="FV103" s="28"/>
      <c r="FW103" s="28"/>
      <c r="FX103" s="28"/>
      <c r="FY103" s="28"/>
      <c r="FZ103" s="28"/>
      <c r="GA103" s="28">
        <v>2</v>
      </c>
      <c r="GB103" s="28"/>
      <c r="GC103" s="28"/>
      <c r="GD103" s="28"/>
      <c r="GE103" s="28"/>
      <c r="GF103" s="28"/>
      <c r="GG103" s="28"/>
      <c r="GH103" s="28"/>
      <c r="GI103" s="28"/>
      <c r="GJ103" s="28"/>
      <c r="GK103" s="28"/>
      <c r="GL103" s="28"/>
      <c r="GM103" s="28"/>
      <c r="GN103" s="28"/>
      <c r="GO103" s="28"/>
      <c r="GP103" s="28"/>
      <c r="GQ103" s="28"/>
      <c r="GR103" s="28"/>
      <c r="GS103" s="28"/>
      <c r="GT103" s="28"/>
      <c r="GU103" s="28"/>
      <c r="GV103" s="28"/>
      <c r="GW103" s="28"/>
      <c r="GX103" s="28"/>
      <c r="GY103" s="28"/>
      <c r="GZ103" s="28"/>
      <c r="HA103" s="28"/>
      <c r="HB103" s="28"/>
      <c r="HC103" s="28"/>
      <c r="HD103" s="28"/>
      <c r="HE103" s="28"/>
      <c r="HF103" s="28"/>
      <c r="HG103" s="28"/>
      <c r="HH103" s="28"/>
      <c r="HI103" s="28"/>
    </row>
    <row r="104" spans="1:217" ht="13" x14ac:dyDescent="0.15">
      <c r="A104" s="13">
        <v>42834</v>
      </c>
      <c r="B104" s="3" t="s">
        <v>301</v>
      </c>
      <c r="C104" s="16">
        <f t="shared" si="13"/>
        <v>98</v>
      </c>
      <c r="D104" s="3">
        <v>22.065598999999999</v>
      </c>
      <c r="E104" s="3">
        <v>-159.31770299999999</v>
      </c>
      <c r="F104" s="3" t="s">
        <v>344</v>
      </c>
      <c r="G104" s="14">
        <v>0.36875000000000002</v>
      </c>
      <c r="H104" s="14">
        <v>0.41041666666666665</v>
      </c>
      <c r="I104" s="3">
        <v>4</v>
      </c>
      <c r="J104" s="3">
        <v>15</v>
      </c>
      <c r="K104" s="3" t="s">
        <v>198</v>
      </c>
      <c r="L104" s="3">
        <v>8</v>
      </c>
      <c r="M104" s="3">
        <v>25</v>
      </c>
      <c r="N104" s="3" t="s">
        <v>345</v>
      </c>
      <c r="P104" s="3">
        <v>25</v>
      </c>
      <c r="R104" s="3">
        <v>1</v>
      </c>
      <c r="AA104" s="3"/>
      <c r="AB104" s="3">
        <v>6</v>
      </c>
      <c r="AD104" s="3">
        <v>1</v>
      </c>
      <c r="BA104" s="3"/>
      <c r="BB104" s="3">
        <v>1</v>
      </c>
      <c r="BN104" s="3">
        <v>70</v>
      </c>
      <c r="BV104" s="3">
        <v>10</v>
      </c>
      <c r="DM104" s="3">
        <v>28</v>
      </c>
      <c r="DN104" s="3">
        <v>1</v>
      </c>
      <c r="DR104" s="3"/>
      <c r="DS104" s="3">
        <v>6</v>
      </c>
      <c r="EJ104" s="3">
        <v>140</v>
      </c>
      <c r="FB104" s="3">
        <v>6</v>
      </c>
      <c r="FI104" s="3">
        <v>17</v>
      </c>
      <c r="FR104" s="3">
        <v>30</v>
      </c>
      <c r="FS104" s="3">
        <v>108</v>
      </c>
      <c r="GB104" s="3">
        <v>53</v>
      </c>
      <c r="GH104" s="3">
        <f t="shared" ref="GH104:GH111" si="44">COUNT(R104:GG104)</f>
        <v>15</v>
      </c>
      <c r="GI104" s="3">
        <f t="shared" ref="GI104:GI111" si="45">COUNTIF(R104:GG104,"&gt;=2")</f>
        <v>11</v>
      </c>
      <c r="GJ104" s="3">
        <f t="shared" ref="GJ104:GJ111" si="46">COUNTIF(R104:GG104,"&gt;=5")</f>
        <v>11</v>
      </c>
      <c r="GK104" s="3">
        <f t="shared" ref="GK104:GK111" si="47">SUM(R104:GG104)</f>
        <v>478</v>
      </c>
      <c r="GL104" s="3">
        <f t="shared" ref="GL104:GL111" si="48">25*P104</f>
        <v>625</v>
      </c>
      <c r="GM104" s="3">
        <f t="shared" ref="GM104:GM111" si="49">GL104-GK104</f>
        <v>147</v>
      </c>
    </row>
    <row r="105" spans="1:217" ht="13" x14ac:dyDescent="0.15">
      <c r="A105" s="13">
        <v>42835</v>
      </c>
      <c r="B105" s="3" t="s">
        <v>216</v>
      </c>
      <c r="C105" s="16">
        <f t="shared" si="13"/>
        <v>99</v>
      </c>
      <c r="D105" s="3">
        <v>21.3002</v>
      </c>
      <c r="E105" s="3">
        <v>-157.882599</v>
      </c>
      <c r="F105" s="3" t="s">
        <v>272</v>
      </c>
      <c r="G105" s="14">
        <v>0.3888888888888889</v>
      </c>
      <c r="H105" s="14">
        <v>0.4236111111111111</v>
      </c>
      <c r="I105" s="3">
        <v>7</v>
      </c>
      <c r="J105" s="3">
        <v>20</v>
      </c>
      <c r="K105" s="3" t="s">
        <v>198</v>
      </c>
      <c r="L105" s="3">
        <v>5</v>
      </c>
      <c r="M105" s="3">
        <v>33</v>
      </c>
      <c r="N105" s="3" t="s">
        <v>346</v>
      </c>
      <c r="P105" s="3">
        <v>33</v>
      </c>
      <c r="W105" s="3"/>
      <c r="X105" s="3">
        <v>1</v>
      </c>
      <c r="AA105" s="3"/>
      <c r="AB105" s="3">
        <v>17</v>
      </c>
      <c r="AC105" s="3">
        <v>2</v>
      </c>
      <c r="AI105" s="3">
        <v>2</v>
      </c>
      <c r="BM105" s="3">
        <v>20</v>
      </c>
      <c r="BV105" s="3">
        <v>3</v>
      </c>
      <c r="BZ105" s="3">
        <v>1</v>
      </c>
      <c r="CC105" s="3">
        <v>2</v>
      </c>
      <c r="DF105" s="3"/>
      <c r="DG105" s="3">
        <v>1</v>
      </c>
      <c r="DH105" s="3">
        <v>15</v>
      </c>
      <c r="DO105" s="3">
        <v>2</v>
      </c>
      <c r="EC105" s="3">
        <v>4</v>
      </c>
      <c r="EH105" s="3">
        <v>1</v>
      </c>
      <c r="EJ105" s="3">
        <v>10</v>
      </c>
      <c r="FI105" s="3">
        <v>56</v>
      </c>
      <c r="FS105" s="3">
        <v>365</v>
      </c>
      <c r="GH105" s="3">
        <f t="shared" si="44"/>
        <v>16</v>
      </c>
      <c r="GI105" s="3">
        <f t="shared" si="45"/>
        <v>12</v>
      </c>
      <c r="GJ105" s="3">
        <f t="shared" si="46"/>
        <v>6</v>
      </c>
      <c r="GK105" s="3">
        <f t="shared" si="47"/>
        <v>502</v>
      </c>
      <c r="GL105" s="3">
        <f t="shared" si="48"/>
        <v>825</v>
      </c>
      <c r="GM105" s="3">
        <f t="shared" si="49"/>
        <v>323</v>
      </c>
    </row>
    <row r="106" spans="1:217" ht="13" x14ac:dyDescent="0.15">
      <c r="A106" s="13">
        <v>42836</v>
      </c>
      <c r="B106" s="3" t="s">
        <v>301</v>
      </c>
      <c r="C106" s="16">
        <f t="shared" si="13"/>
        <v>100</v>
      </c>
      <c r="D106" s="3">
        <v>22.065598999999999</v>
      </c>
      <c r="E106" s="3">
        <v>-159.31770299999999</v>
      </c>
      <c r="F106" s="3" t="s">
        <v>347</v>
      </c>
      <c r="G106" s="14">
        <v>0.39583333333333331</v>
      </c>
      <c r="H106" s="14">
        <v>0.44374999999999998</v>
      </c>
      <c r="I106" s="3">
        <v>6</v>
      </c>
      <c r="J106" s="3">
        <v>15</v>
      </c>
      <c r="K106" s="3" t="s">
        <v>198</v>
      </c>
      <c r="L106" s="3">
        <v>7</v>
      </c>
      <c r="M106" s="3">
        <v>33</v>
      </c>
      <c r="N106" s="3" t="s">
        <v>348</v>
      </c>
      <c r="P106" s="3">
        <v>33</v>
      </c>
      <c r="W106" s="3"/>
      <c r="X106" s="3">
        <v>1</v>
      </c>
      <c r="AA106" s="3"/>
      <c r="AB106" s="3">
        <v>5</v>
      </c>
      <c r="AN106" s="3">
        <v>1</v>
      </c>
      <c r="AU106" s="3">
        <v>2</v>
      </c>
      <c r="AW106" s="3"/>
      <c r="AX106" s="3">
        <v>13</v>
      </c>
      <c r="AZ106" s="3">
        <v>1</v>
      </c>
      <c r="BA106" s="3"/>
      <c r="BB106" s="3">
        <v>4</v>
      </c>
      <c r="BM106" s="3">
        <v>3</v>
      </c>
      <c r="BN106" s="3">
        <v>62</v>
      </c>
      <c r="BU106" s="3">
        <v>7</v>
      </c>
      <c r="BV106" s="3">
        <v>36</v>
      </c>
      <c r="BZ106" s="3">
        <v>1</v>
      </c>
      <c r="CS106" s="3">
        <v>1</v>
      </c>
      <c r="CV106" s="3">
        <v>2</v>
      </c>
      <c r="DJ106" s="3">
        <v>22</v>
      </c>
      <c r="DL106" s="3">
        <v>14</v>
      </c>
      <c r="DM106" s="3">
        <v>5</v>
      </c>
      <c r="DR106" s="3"/>
      <c r="DS106" s="3">
        <v>11</v>
      </c>
      <c r="DU106" s="3"/>
      <c r="DV106" s="3">
        <v>1</v>
      </c>
      <c r="DZ106" s="3">
        <v>1</v>
      </c>
      <c r="EJ106" s="3">
        <v>159</v>
      </c>
      <c r="ET106" s="3"/>
      <c r="EU106" s="3"/>
      <c r="EV106" s="3">
        <v>3</v>
      </c>
      <c r="FB106" s="3">
        <v>2</v>
      </c>
      <c r="FF106" s="3">
        <v>18</v>
      </c>
      <c r="FI106" s="3">
        <v>20</v>
      </c>
      <c r="FS106" s="3">
        <v>159</v>
      </c>
      <c r="GB106" s="3">
        <v>1</v>
      </c>
      <c r="GH106" s="3">
        <f t="shared" si="44"/>
        <v>27</v>
      </c>
      <c r="GI106" s="3">
        <f t="shared" si="45"/>
        <v>19</v>
      </c>
      <c r="GJ106" s="3">
        <f t="shared" si="46"/>
        <v>13</v>
      </c>
      <c r="GK106" s="3">
        <f t="shared" si="47"/>
        <v>555</v>
      </c>
      <c r="GL106" s="3">
        <f t="shared" si="48"/>
        <v>825</v>
      </c>
      <c r="GM106" s="3">
        <f t="shared" si="49"/>
        <v>270</v>
      </c>
    </row>
    <row r="107" spans="1:217" ht="13" x14ac:dyDescent="0.15">
      <c r="A107" s="13">
        <v>42836</v>
      </c>
      <c r="B107" s="3" t="s">
        <v>266</v>
      </c>
      <c r="C107" s="16">
        <f t="shared" si="13"/>
        <v>101</v>
      </c>
      <c r="D107" s="3">
        <v>22.060683999999998</v>
      </c>
      <c r="E107" s="3">
        <v>-159.318512</v>
      </c>
      <c r="F107" s="3" t="s">
        <v>297</v>
      </c>
      <c r="G107" s="14">
        <v>0.40416666666666667</v>
      </c>
      <c r="H107" s="14">
        <v>0.44097222222222221</v>
      </c>
      <c r="I107" s="3">
        <v>6</v>
      </c>
      <c r="J107" s="3">
        <v>14</v>
      </c>
      <c r="K107" s="3" t="s">
        <v>198</v>
      </c>
      <c r="L107" s="3">
        <v>8</v>
      </c>
      <c r="M107" s="3">
        <v>37</v>
      </c>
      <c r="N107" s="3" t="s">
        <v>349</v>
      </c>
      <c r="P107" s="3">
        <v>37</v>
      </c>
      <c r="T107" s="3">
        <v>1</v>
      </c>
      <c r="AA107" s="3">
        <v>3</v>
      </c>
      <c r="AV107" s="3">
        <v>1</v>
      </c>
      <c r="BA107" s="3"/>
      <c r="BB107" s="3">
        <v>1</v>
      </c>
      <c r="BN107" s="3">
        <v>139</v>
      </c>
      <c r="BV107" s="3">
        <v>10</v>
      </c>
      <c r="CW107" s="3"/>
      <c r="CX107" s="3"/>
      <c r="CY107" s="3"/>
      <c r="CZ107" s="3">
        <v>1</v>
      </c>
      <c r="DM107" s="3">
        <v>1</v>
      </c>
      <c r="DR107" s="3"/>
      <c r="DS107" s="3">
        <v>154</v>
      </c>
      <c r="DU107" s="3"/>
      <c r="DV107" s="3">
        <v>8</v>
      </c>
      <c r="EJ107" s="3">
        <v>181</v>
      </c>
      <c r="FB107" s="3">
        <v>6</v>
      </c>
      <c r="FC107" s="3">
        <v>2</v>
      </c>
      <c r="FF107" s="3">
        <v>28</v>
      </c>
      <c r="FI107" s="3">
        <v>4</v>
      </c>
      <c r="FR107" s="3">
        <v>21</v>
      </c>
      <c r="FS107" s="3">
        <v>72</v>
      </c>
      <c r="FU107" s="3">
        <v>1</v>
      </c>
      <c r="GH107" s="3">
        <f t="shared" si="44"/>
        <v>18</v>
      </c>
      <c r="GI107" s="3">
        <f t="shared" si="45"/>
        <v>12</v>
      </c>
      <c r="GJ107" s="3">
        <f t="shared" si="46"/>
        <v>9</v>
      </c>
      <c r="GK107" s="3">
        <f t="shared" si="47"/>
        <v>634</v>
      </c>
      <c r="GL107" s="3">
        <f t="shared" si="48"/>
        <v>925</v>
      </c>
      <c r="GM107" s="3">
        <f t="shared" si="49"/>
        <v>291</v>
      </c>
    </row>
    <row r="108" spans="1:217" ht="13" x14ac:dyDescent="0.15">
      <c r="A108" s="13">
        <v>42837</v>
      </c>
      <c r="B108" s="3" t="s">
        <v>266</v>
      </c>
      <c r="C108" s="16">
        <f t="shared" si="13"/>
        <v>102</v>
      </c>
      <c r="D108" s="3">
        <v>22.060683999999998</v>
      </c>
      <c r="E108" s="3">
        <v>-159.318512</v>
      </c>
      <c r="F108" s="3" t="s">
        <v>350</v>
      </c>
      <c r="G108" s="14">
        <v>0.3611111111111111</v>
      </c>
      <c r="H108" s="14">
        <v>0.44097222222222221</v>
      </c>
      <c r="I108" s="3">
        <v>6</v>
      </c>
      <c r="J108" s="3">
        <v>13</v>
      </c>
      <c r="K108" s="3" t="s">
        <v>198</v>
      </c>
      <c r="L108" s="3">
        <v>5</v>
      </c>
      <c r="M108" s="3">
        <v>28</v>
      </c>
      <c r="N108" s="3" t="s">
        <v>351</v>
      </c>
      <c r="P108" s="3">
        <v>28</v>
      </c>
      <c r="AN108" s="3">
        <v>1</v>
      </c>
      <c r="AZ108" s="3">
        <v>5</v>
      </c>
      <c r="BN108" s="3">
        <v>215</v>
      </c>
      <c r="BV108" s="3">
        <v>5</v>
      </c>
      <c r="DD108" s="3">
        <v>1</v>
      </c>
      <c r="DM108" s="3">
        <v>77</v>
      </c>
      <c r="DU108" s="3"/>
      <c r="DV108" s="3">
        <v>10</v>
      </c>
      <c r="EJ108" s="3">
        <v>144</v>
      </c>
      <c r="FR108" s="3">
        <v>5</v>
      </c>
      <c r="FS108" s="3">
        <v>47</v>
      </c>
      <c r="GH108" s="3">
        <f t="shared" si="44"/>
        <v>10</v>
      </c>
      <c r="GI108" s="3">
        <f t="shared" si="45"/>
        <v>8</v>
      </c>
      <c r="GJ108" s="3">
        <f t="shared" si="46"/>
        <v>8</v>
      </c>
      <c r="GK108" s="3">
        <f t="shared" si="47"/>
        <v>510</v>
      </c>
      <c r="GL108" s="3">
        <f t="shared" si="48"/>
        <v>700</v>
      </c>
      <c r="GM108" s="3">
        <f t="shared" si="49"/>
        <v>190</v>
      </c>
    </row>
    <row r="109" spans="1:217" ht="13" x14ac:dyDescent="0.15">
      <c r="A109" s="13">
        <v>42837</v>
      </c>
      <c r="B109" s="3" t="s">
        <v>355</v>
      </c>
      <c r="C109" s="16">
        <f t="shared" si="13"/>
        <v>103</v>
      </c>
      <c r="D109" s="3">
        <v>21.284300000000002</v>
      </c>
      <c r="E109" s="3">
        <v>-157.67529300000001</v>
      </c>
      <c r="F109" s="3" t="s">
        <v>356</v>
      </c>
      <c r="G109" s="14">
        <v>0.39791666666666664</v>
      </c>
      <c r="H109" s="14">
        <v>0.44097222222222221</v>
      </c>
      <c r="I109" s="3">
        <v>7</v>
      </c>
      <c r="J109" s="3">
        <v>25</v>
      </c>
      <c r="K109" s="3" t="s">
        <v>198</v>
      </c>
      <c r="L109" s="3">
        <v>4</v>
      </c>
      <c r="M109" s="3">
        <v>23</v>
      </c>
      <c r="N109" s="3" t="s">
        <v>357</v>
      </c>
      <c r="P109" s="3">
        <v>23</v>
      </c>
      <c r="AB109" s="3">
        <v>5</v>
      </c>
      <c r="AC109" s="3">
        <v>1</v>
      </c>
      <c r="AD109" s="3">
        <v>6</v>
      </c>
      <c r="AG109" s="3">
        <v>11</v>
      </c>
      <c r="BK109" s="3">
        <v>2</v>
      </c>
      <c r="BM109" s="3">
        <v>22</v>
      </c>
      <c r="BZ109" s="3">
        <v>2</v>
      </c>
      <c r="CG109" s="3"/>
      <c r="CH109" s="3">
        <v>24</v>
      </c>
      <c r="EJ109" s="3">
        <v>18</v>
      </c>
      <c r="EK109" s="3">
        <v>1</v>
      </c>
      <c r="FB109" s="3">
        <v>4</v>
      </c>
      <c r="FF109" s="3">
        <v>16</v>
      </c>
      <c r="FR109" s="3">
        <v>3</v>
      </c>
      <c r="FS109" s="3">
        <v>157</v>
      </c>
      <c r="FU109" s="3">
        <v>3</v>
      </c>
      <c r="GH109" s="3">
        <f t="shared" si="44"/>
        <v>15</v>
      </c>
      <c r="GI109" s="3">
        <f t="shared" si="45"/>
        <v>13</v>
      </c>
      <c r="GJ109" s="3">
        <f t="shared" si="46"/>
        <v>8</v>
      </c>
      <c r="GK109" s="3">
        <f t="shared" si="47"/>
        <v>275</v>
      </c>
      <c r="GL109" s="3">
        <f t="shared" si="48"/>
        <v>575</v>
      </c>
      <c r="GM109" s="3">
        <f t="shared" si="49"/>
        <v>300</v>
      </c>
    </row>
    <row r="110" spans="1:217" ht="13" x14ac:dyDescent="0.15">
      <c r="A110" s="13">
        <v>42838</v>
      </c>
      <c r="B110" s="3" t="s">
        <v>259</v>
      </c>
      <c r="C110" s="16">
        <f t="shared" si="13"/>
        <v>104</v>
      </c>
      <c r="D110" s="3">
        <v>19.737894000000001</v>
      </c>
      <c r="E110" s="3">
        <v>-155.03405799999999</v>
      </c>
      <c r="F110" s="3" t="s">
        <v>358</v>
      </c>
      <c r="G110" s="14">
        <v>0.40277777777777779</v>
      </c>
      <c r="H110" s="14">
        <v>0.47847222222222224</v>
      </c>
      <c r="I110" s="3">
        <v>4</v>
      </c>
      <c r="J110" s="3">
        <v>60</v>
      </c>
      <c r="K110" s="3" t="s">
        <v>360</v>
      </c>
      <c r="L110" s="3">
        <v>10</v>
      </c>
      <c r="M110" s="3">
        <v>27</v>
      </c>
      <c r="N110" s="3" t="s">
        <v>361</v>
      </c>
      <c r="P110" s="3">
        <v>27</v>
      </c>
      <c r="AC110" s="3">
        <v>27</v>
      </c>
      <c r="AF110" s="3">
        <v>2</v>
      </c>
      <c r="AI110" s="3">
        <v>1</v>
      </c>
      <c r="BK110" s="3">
        <v>11</v>
      </c>
      <c r="BM110" s="3">
        <v>31</v>
      </c>
      <c r="BN110" s="3">
        <v>21</v>
      </c>
      <c r="BQ110" s="3">
        <v>3</v>
      </c>
      <c r="CG110" s="3"/>
      <c r="CH110" s="3">
        <v>1</v>
      </c>
      <c r="CO110" s="3">
        <v>5</v>
      </c>
      <c r="ED110" s="3">
        <v>18</v>
      </c>
      <c r="FB110" s="3">
        <v>7</v>
      </c>
      <c r="FF110" s="3">
        <v>2</v>
      </c>
      <c r="FS110" s="3">
        <v>230</v>
      </c>
      <c r="FU110" s="3">
        <v>3</v>
      </c>
      <c r="FV110" s="3"/>
      <c r="FW110" s="3">
        <v>35</v>
      </c>
      <c r="GH110" s="3">
        <f t="shared" si="44"/>
        <v>15</v>
      </c>
      <c r="GI110" s="3">
        <f t="shared" si="45"/>
        <v>13</v>
      </c>
      <c r="GJ110" s="3">
        <f t="shared" si="46"/>
        <v>9</v>
      </c>
      <c r="GK110" s="3">
        <f t="shared" si="47"/>
        <v>397</v>
      </c>
      <c r="GL110" s="3">
        <f t="shared" si="48"/>
        <v>675</v>
      </c>
      <c r="GM110" s="3">
        <f t="shared" si="49"/>
        <v>278</v>
      </c>
    </row>
    <row r="111" spans="1:217" ht="13" x14ac:dyDescent="0.15">
      <c r="A111" s="13">
        <v>42838</v>
      </c>
      <c r="B111" s="3" t="s">
        <v>352</v>
      </c>
      <c r="C111" s="16">
        <f t="shared" si="13"/>
        <v>105</v>
      </c>
      <c r="D111" s="3">
        <v>21.7057</v>
      </c>
      <c r="E111" s="3">
        <v>-157.99569700000001</v>
      </c>
      <c r="F111" s="3" t="s">
        <v>353</v>
      </c>
      <c r="G111" s="14">
        <v>0.4375</v>
      </c>
      <c r="H111" s="14">
        <v>0.47916666666666669</v>
      </c>
      <c r="I111" s="3">
        <v>9</v>
      </c>
      <c r="J111" s="3">
        <v>16</v>
      </c>
      <c r="K111" s="3" t="s">
        <v>198</v>
      </c>
      <c r="L111" s="3">
        <v>10</v>
      </c>
      <c r="M111" s="3">
        <v>40</v>
      </c>
      <c r="N111" s="3" t="s">
        <v>363</v>
      </c>
      <c r="O111" s="3" t="s">
        <v>364</v>
      </c>
      <c r="P111" s="3">
        <v>40</v>
      </c>
      <c r="AI111" s="3">
        <v>1</v>
      </c>
      <c r="AN111" s="3">
        <v>1</v>
      </c>
      <c r="AU111" s="3">
        <v>1</v>
      </c>
      <c r="BM111" s="3">
        <v>4</v>
      </c>
      <c r="BN111" s="3">
        <v>2</v>
      </c>
      <c r="BV111" s="3">
        <v>1</v>
      </c>
      <c r="CC111" s="3">
        <v>8</v>
      </c>
      <c r="CD111" s="3">
        <v>3</v>
      </c>
      <c r="CS111" s="3">
        <v>7</v>
      </c>
      <c r="DM111" s="3">
        <v>9</v>
      </c>
      <c r="DU111" s="3"/>
      <c r="DV111" s="3">
        <v>6</v>
      </c>
      <c r="DZ111" s="3">
        <v>2</v>
      </c>
      <c r="EJ111" s="3">
        <v>344</v>
      </c>
      <c r="FB111" s="3">
        <v>2</v>
      </c>
      <c r="FH111" s="3">
        <v>2</v>
      </c>
      <c r="FR111" s="3">
        <v>25</v>
      </c>
      <c r="FS111" s="3">
        <v>133</v>
      </c>
      <c r="GC111" s="3">
        <v>3</v>
      </c>
      <c r="GH111" s="3">
        <f t="shared" si="44"/>
        <v>18</v>
      </c>
      <c r="GI111" s="3">
        <f t="shared" si="45"/>
        <v>14</v>
      </c>
      <c r="GJ111" s="3">
        <f t="shared" si="46"/>
        <v>7</v>
      </c>
      <c r="GK111" s="3">
        <f t="shared" si="47"/>
        <v>554</v>
      </c>
      <c r="GL111" s="3">
        <f t="shared" si="48"/>
        <v>1000</v>
      </c>
      <c r="GM111" s="3">
        <f t="shared" si="49"/>
        <v>446</v>
      </c>
    </row>
    <row r="112" spans="1:217" ht="13" x14ac:dyDescent="0.15">
      <c r="A112" s="27">
        <v>42838</v>
      </c>
      <c r="B112" s="28" t="s">
        <v>226</v>
      </c>
      <c r="C112" s="16">
        <f t="shared" si="13"/>
        <v>106</v>
      </c>
      <c r="D112" s="28">
        <v>21.706499000000001</v>
      </c>
      <c r="E112" s="28">
        <v>-157.99850499999999</v>
      </c>
      <c r="F112" s="28" t="s">
        <v>353</v>
      </c>
      <c r="G112" s="29">
        <v>0.4375</v>
      </c>
      <c r="H112" s="29">
        <v>0.45833333333333331</v>
      </c>
      <c r="I112" s="28">
        <v>5</v>
      </c>
      <c r="J112" s="28">
        <v>10</v>
      </c>
      <c r="K112" s="28" t="s">
        <v>198</v>
      </c>
      <c r="L112" s="28">
        <v>3</v>
      </c>
      <c r="M112" s="28">
        <v>7</v>
      </c>
      <c r="N112" s="28" t="s">
        <v>439</v>
      </c>
      <c r="O112" s="28"/>
      <c r="P112" s="28"/>
      <c r="Q112" s="28"/>
      <c r="R112" s="28">
        <v>1</v>
      </c>
      <c r="S112" s="28"/>
      <c r="T112" s="28"/>
      <c r="U112" s="28"/>
      <c r="V112" s="28"/>
      <c r="W112" s="28"/>
      <c r="X112" s="28"/>
      <c r="Y112" s="28"/>
      <c r="Z112" s="28"/>
      <c r="AA112" s="28"/>
      <c r="AB112" s="28">
        <v>1</v>
      </c>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v>3</v>
      </c>
      <c r="BC112" s="28"/>
      <c r="BD112" s="28"/>
      <c r="BE112" s="28"/>
      <c r="BF112" s="28"/>
      <c r="BG112" s="28"/>
      <c r="BH112" s="28"/>
      <c r="BI112" s="28"/>
      <c r="BJ112" s="28"/>
      <c r="BK112" s="28">
        <v>3</v>
      </c>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c r="CR112" s="28"/>
      <c r="CS112" s="28">
        <v>14</v>
      </c>
      <c r="CT112" s="28"/>
      <c r="CU112" s="28"/>
      <c r="CV112" s="28"/>
      <c r="CW112" s="28"/>
      <c r="CX112" s="28"/>
      <c r="CY112" s="28"/>
      <c r="CZ112" s="28"/>
      <c r="DA112" s="28"/>
      <c r="DB112" s="28"/>
      <c r="DC112" s="28"/>
      <c r="DD112" s="28"/>
      <c r="DE112" s="28"/>
      <c r="DF112" s="28"/>
      <c r="DG112" s="28"/>
      <c r="DH112" s="28"/>
      <c r="DI112" s="28"/>
      <c r="DJ112" s="28"/>
      <c r="DK112" s="28"/>
      <c r="DL112" s="28"/>
      <c r="DM112" s="28"/>
      <c r="DN112" s="28"/>
      <c r="DO112" s="28"/>
      <c r="DP112" s="28"/>
      <c r="DQ112" s="28"/>
      <c r="DR112" s="28"/>
      <c r="DS112" s="28"/>
      <c r="DT112" s="28"/>
      <c r="DU112" s="28"/>
      <c r="DV112" s="28">
        <v>6</v>
      </c>
      <c r="DW112" s="28"/>
      <c r="DX112" s="28"/>
      <c r="DY112" s="28"/>
      <c r="DZ112" s="28"/>
      <c r="EA112" s="28"/>
      <c r="EB112" s="28"/>
      <c r="EC112" s="28"/>
      <c r="ED112" s="28">
        <v>1</v>
      </c>
      <c r="EE112" s="28"/>
      <c r="EF112" s="28"/>
      <c r="EG112" s="28"/>
      <c r="EH112" s="28"/>
      <c r="EI112" s="28"/>
      <c r="EJ112" s="28">
        <v>4</v>
      </c>
      <c r="EK112" s="28">
        <v>5</v>
      </c>
      <c r="EL112" s="28"/>
      <c r="EM112" s="28"/>
      <c r="EN112" s="28"/>
      <c r="EO112" s="28"/>
      <c r="EP112" s="28"/>
      <c r="EQ112" s="28"/>
      <c r="ER112" s="28"/>
      <c r="ES112" s="28"/>
      <c r="ET112" s="28"/>
      <c r="EU112" s="28"/>
      <c r="EV112" s="28">
        <v>2</v>
      </c>
      <c r="EW112" s="28">
        <v>1</v>
      </c>
      <c r="EX112" s="28"/>
      <c r="EY112" s="28"/>
      <c r="EZ112" s="28"/>
      <c r="FA112" s="28"/>
      <c r="FB112" s="28">
        <v>4</v>
      </c>
      <c r="FC112" s="28"/>
      <c r="FD112" s="28"/>
      <c r="FE112" s="28"/>
      <c r="FF112" s="28"/>
      <c r="FG112" s="28"/>
      <c r="FH112" s="28"/>
      <c r="FI112" s="28"/>
      <c r="FJ112" s="28"/>
      <c r="FK112" s="28"/>
      <c r="FL112" s="28"/>
      <c r="FM112" s="28"/>
      <c r="FN112" s="28"/>
      <c r="FO112" s="28"/>
      <c r="FP112" s="28"/>
      <c r="FQ112" s="28"/>
      <c r="FR112" s="28"/>
      <c r="FS112" s="28">
        <v>24</v>
      </c>
      <c r="FT112" s="28"/>
      <c r="FU112" s="28"/>
      <c r="FV112" s="28"/>
      <c r="FW112" s="28"/>
      <c r="FX112" s="28"/>
      <c r="FY112" s="28"/>
      <c r="FZ112" s="28"/>
      <c r="GA112" s="28"/>
      <c r="GB112" s="28"/>
      <c r="GC112" s="28"/>
      <c r="GD112" s="28"/>
      <c r="GE112" s="28"/>
      <c r="GF112" s="28"/>
      <c r="GG112" s="28"/>
      <c r="GH112" s="28"/>
      <c r="GI112" s="28"/>
      <c r="GJ112" s="28"/>
      <c r="GK112" s="28"/>
      <c r="GL112" s="28"/>
      <c r="GM112" s="28"/>
      <c r="GN112" s="28"/>
      <c r="GO112" s="28"/>
      <c r="GP112" s="28"/>
      <c r="GQ112" s="28"/>
      <c r="GR112" s="28"/>
      <c r="GS112" s="28"/>
      <c r="GT112" s="28"/>
      <c r="GU112" s="28"/>
      <c r="GV112" s="28"/>
      <c r="GW112" s="28"/>
      <c r="GX112" s="28"/>
      <c r="GY112" s="28"/>
      <c r="GZ112" s="28"/>
      <c r="HA112" s="28"/>
      <c r="HB112" s="28"/>
      <c r="HC112" s="28"/>
      <c r="HD112" s="28"/>
      <c r="HE112" s="28"/>
      <c r="HF112" s="28"/>
      <c r="HG112" s="28"/>
      <c r="HH112" s="28"/>
      <c r="HI112" s="28"/>
    </row>
    <row r="113" spans="1:217" ht="13" x14ac:dyDescent="0.15">
      <c r="A113" s="13">
        <v>42844</v>
      </c>
      <c r="B113" s="3" t="s">
        <v>244</v>
      </c>
      <c r="C113" s="16">
        <f t="shared" si="13"/>
        <v>107</v>
      </c>
      <c r="D113" s="3">
        <v>21.310611999999999</v>
      </c>
      <c r="E113" s="3">
        <v>-158.00441000000001</v>
      </c>
      <c r="F113" s="3" t="s">
        <v>278</v>
      </c>
      <c r="G113" s="14">
        <v>0.38541666666666669</v>
      </c>
      <c r="H113" s="14">
        <v>0.46875</v>
      </c>
      <c r="I113" s="3">
        <v>6</v>
      </c>
      <c r="J113" s="3">
        <v>6</v>
      </c>
      <c r="K113" s="3" t="s">
        <v>198</v>
      </c>
      <c r="L113" s="3">
        <v>5</v>
      </c>
      <c r="M113" s="3">
        <v>24</v>
      </c>
      <c r="N113" s="3" t="s">
        <v>365</v>
      </c>
      <c r="O113" s="3" t="s">
        <v>295</v>
      </c>
      <c r="P113" s="3">
        <v>24</v>
      </c>
      <c r="R113" s="3">
        <v>9</v>
      </c>
      <c r="AE113" s="3">
        <v>2</v>
      </c>
      <c r="AI113" s="3">
        <v>8</v>
      </c>
      <c r="AW113" s="3">
        <v>2</v>
      </c>
      <c r="BA113" s="3"/>
      <c r="BB113" s="3">
        <v>1</v>
      </c>
      <c r="BM113" s="3">
        <v>2</v>
      </c>
      <c r="BV113" s="3">
        <v>3</v>
      </c>
      <c r="BZ113" s="3">
        <v>95</v>
      </c>
      <c r="DF113" s="3"/>
      <c r="DG113" s="3">
        <v>4</v>
      </c>
      <c r="DM113" s="3">
        <v>30</v>
      </c>
      <c r="DR113" s="3"/>
      <c r="DS113" s="3">
        <v>1</v>
      </c>
      <c r="EC113" s="3">
        <v>3</v>
      </c>
      <c r="EJ113" s="3">
        <v>288</v>
      </c>
      <c r="EX113" s="3">
        <v>1</v>
      </c>
      <c r="FF113" s="3">
        <v>1</v>
      </c>
      <c r="FI113" s="3">
        <v>33</v>
      </c>
      <c r="FS113" s="3">
        <v>20</v>
      </c>
      <c r="FV113" s="3"/>
      <c r="FW113" s="3">
        <v>1</v>
      </c>
      <c r="GH113" s="3">
        <f t="shared" ref="GH113:GH123" si="50">COUNT(R113:GG113)</f>
        <v>18</v>
      </c>
      <c r="GI113" s="3">
        <f t="shared" ref="GI113:GI123" si="51">COUNTIF(R113:GG113,"&gt;=2")</f>
        <v>13</v>
      </c>
      <c r="GJ113" s="3">
        <f t="shared" ref="GJ113:GJ123" si="52">COUNTIF(R113:GG113,"&gt;=5")</f>
        <v>7</v>
      </c>
      <c r="GK113" s="3">
        <f t="shared" ref="GK113:GK123" si="53">SUM(R113:GG113)</f>
        <v>504</v>
      </c>
      <c r="GL113" s="3">
        <f t="shared" ref="GL113:GL123" si="54">25*P113</f>
        <v>600</v>
      </c>
      <c r="GM113" s="3">
        <f t="shared" ref="GM113:GM123" si="55">GL113-GK113</f>
        <v>96</v>
      </c>
    </row>
    <row r="114" spans="1:217" ht="13" x14ac:dyDescent="0.15">
      <c r="A114" s="13">
        <v>42844</v>
      </c>
      <c r="B114" s="3" t="s">
        <v>369</v>
      </c>
      <c r="C114" s="16">
        <f t="shared" si="13"/>
        <v>108</v>
      </c>
      <c r="D114" s="3">
        <v>21.888725000000001</v>
      </c>
      <c r="E114" s="3">
        <v>-159.41641200000001</v>
      </c>
      <c r="F114" s="3" t="s">
        <v>321</v>
      </c>
      <c r="G114" s="14">
        <v>0.35416666666666669</v>
      </c>
      <c r="H114" s="14">
        <v>0.5</v>
      </c>
      <c r="I114" s="3">
        <v>5</v>
      </c>
      <c r="J114" s="3">
        <v>18</v>
      </c>
      <c r="K114" s="3" t="s">
        <v>217</v>
      </c>
      <c r="L114" s="3">
        <v>5</v>
      </c>
      <c r="M114" s="3">
        <v>19</v>
      </c>
      <c r="N114" s="3" t="s">
        <v>370</v>
      </c>
      <c r="P114" s="3">
        <v>19</v>
      </c>
      <c r="AB114" s="3">
        <v>26</v>
      </c>
      <c r="AI114" s="3">
        <v>1</v>
      </c>
      <c r="AN114" s="3">
        <v>5</v>
      </c>
      <c r="BH114" s="3">
        <v>12</v>
      </c>
      <c r="BO114" s="3"/>
      <c r="BP114" s="3">
        <v>2</v>
      </c>
      <c r="BV114" s="3">
        <v>4</v>
      </c>
      <c r="BZ114" s="3">
        <v>28</v>
      </c>
      <c r="CS114" s="3">
        <v>1</v>
      </c>
      <c r="DR114" s="3"/>
      <c r="DS114" s="3">
        <v>30</v>
      </c>
      <c r="DU114" s="3"/>
      <c r="DV114" s="3">
        <v>45</v>
      </c>
      <c r="EJ114" s="3">
        <v>73</v>
      </c>
      <c r="FI114" s="3">
        <v>7</v>
      </c>
      <c r="FS114" s="3">
        <v>150</v>
      </c>
      <c r="GH114" s="3">
        <f t="shared" si="50"/>
        <v>13</v>
      </c>
      <c r="GI114" s="3">
        <f t="shared" si="51"/>
        <v>11</v>
      </c>
      <c r="GJ114" s="3">
        <f t="shared" si="52"/>
        <v>9</v>
      </c>
      <c r="GK114" s="3">
        <f t="shared" si="53"/>
        <v>384</v>
      </c>
      <c r="GL114" s="3">
        <f t="shared" si="54"/>
        <v>475</v>
      </c>
      <c r="GM114" s="3">
        <f t="shared" si="55"/>
        <v>91</v>
      </c>
    </row>
    <row r="115" spans="1:217" ht="13" x14ac:dyDescent="0.15">
      <c r="A115" s="13">
        <v>42850</v>
      </c>
      <c r="B115" s="3" t="s">
        <v>244</v>
      </c>
      <c r="C115" s="16">
        <f t="shared" si="13"/>
        <v>109</v>
      </c>
      <c r="D115" s="3">
        <v>21.310611999999999</v>
      </c>
      <c r="E115" s="3">
        <v>-158.00441000000001</v>
      </c>
      <c r="F115" s="3" t="s">
        <v>326</v>
      </c>
      <c r="G115" s="14">
        <v>0.39583333333333331</v>
      </c>
      <c r="H115" s="14">
        <v>0.45833333333333331</v>
      </c>
      <c r="I115" s="3">
        <v>7</v>
      </c>
      <c r="J115" s="3">
        <v>10</v>
      </c>
      <c r="K115" s="3" t="s">
        <v>318</v>
      </c>
      <c r="L115" s="3">
        <v>5</v>
      </c>
      <c r="M115" s="3">
        <v>34</v>
      </c>
      <c r="N115" s="3" t="s">
        <v>371</v>
      </c>
      <c r="P115" s="3">
        <v>34</v>
      </c>
      <c r="R115" s="3">
        <v>14</v>
      </c>
      <c r="AB115" s="3">
        <v>1</v>
      </c>
      <c r="AC115" s="3">
        <v>14</v>
      </c>
      <c r="AE115" s="3">
        <v>7</v>
      </c>
      <c r="AI115" s="3">
        <v>1</v>
      </c>
      <c r="AM115" s="3">
        <v>2</v>
      </c>
      <c r="AN115" s="3">
        <v>11</v>
      </c>
      <c r="AT115" s="3">
        <v>1</v>
      </c>
      <c r="BA115" s="3"/>
      <c r="BB115" s="3">
        <v>3</v>
      </c>
      <c r="BM115" s="3">
        <v>1</v>
      </c>
      <c r="BV115" s="3">
        <v>60</v>
      </c>
      <c r="BZ115" s="3">
        <v>53</v>
      </c>
      <c r="CP115" s="3"/>
      <c r="CQ115" s="3"/>
      <c r="CR115" s="3">
        <v>4</v>
      </c>
      <c r="CW115" s="3"/>
      <c r="CX115" s="3"/>
      <c r="CY115" s="3">
        <v>2</v>
      </c>
      <c r="DF115" s="3"/>
      <c r="DG115" s="3">
        <v>12</v>
      </c>
      <c r="DM115" s="3">
        <v>22</v>
      </c>
      <c r="DO115" s="3">
        <v>2</v>
      </c>
      <c r="DU115" s="3"/>
      <c r="DV115" s="3">
        <v>9</v>
      </c>
      <c r="EJ115" s="3">
        <v>293</v>
      </c>
      <c r="EK115" s="3">
        <v>28</v>
      </c>
      <c r="EO115" s="3">
        <v>14</v>
      </c>
      <c r="FB115" s="3">
        <v>10</v>
      </c>
      <c r="FS115" s="3">
        <v>87</v>
      </c>
      <c r="FV115" s="3"/>
      <c r="FW115" s="3">
        <v>1</v>
      </c>
      <c r="GH115" s="3">
        <f t="shared" si="50"/>
        <v>24</v>
      </c>
      <c r="GI115" s="3">
        <f t="shared" si="51"/>
        <v>19</v>
      </c>
      <c r="GJ115" s="3">
        <f t="shared" si="52"/>
        <v>14</v>
      </c>
      <c r="GK115" s="3">
        <f t="shared" si="53"/>
        <v>652</v>
      </c>
      <c r="GL115" s="3">
        <f t="shared" si="54"/>
        <v>850</v>
      </c>
      <c r="GM115" s="3">
        <f t="shared" si="55"/>
        <v>198</v>
      </c>
    </row>
    <row r="116" spans="1:217" ht="13" x14ac:dyDescent="0.15">
      <c r="A116" s="13">
        <v>42850</v>
      </c>
      <c r="B116" s="3" t="s">
        <v>250</v>
      </c>
      <c r="C116" s="16">
        <f t="shared" si="13"/>
        <v>110</v>
      </c>
      <c r="D116" s="3">
        <v>21.410399999999999</v>
      </c>
      <c r="E116" s="3">
        <v>-158.17770400000001</v>
      </c>
      <c r="F116" s="3" t="s">
        <v>372</v>
      </c>
      <c r="G116" s="14">
        <v>0.3888888888888889</v>
      </c>
      <c r="H116" s="14">
        <v>0.47916666666666669</v>
      </c>
      <c r="I116" s="3">
        <v>6</v>
      </c>
      <c r="J116" s="3">
        <v>20</v>
      </c>
      <c r="K116" s="3" t="s">
        <v>198</v>
      </c>
      <c r="L116" s="3">
        <v>5</v>
      </c>
      <c r="M116" s="3">
        <v>23</v>
      </c>
      <c r="N116" s="3" t="s">
        <v>373</v>
      </c>
      <c r="P116" s="3">
        <v>23</v>
      </c>
      <c r="R116" s="3">
        <v>104</v>
      </c>
      <c r="AC116" s="3">
        <v>1</v>
      </c>
      <c r="BS116" s="3">
        <v>3</v>
      </c>
      <c r="BZ116" s="3">
        <v>42</v>
      </c>
      <c r="CC116" s="3">
        <v>2</v>
      </c>
      <c r="CK116" s="3">
        <v>96</v>
      </c>
      <c r="CN116" s="3">
        <v>6</v>
      </c>
      <c r="CO116" s="3">
        <v>5</v>
      </c>
      <c r="DF116" s="3"/>
      <c r="DG116" s="3">
        <v>12</v>
      </c>
      <c r="DJ116" s="3">
        <v>3</v>
      </c>
      <c r="DL116" s="3">
        <v>1</v>
      </c>
      <c r="DM116" s="3">
        <v>33</v>
      </c>
      <c r="DR116" s="3"/>
      <c r="DS116" s="3">
        <v>5</v>
      </c>
      <c r="EK116" s="3">
        <v>13</v>
      </c>
      <c r="EX116" s="3">
        <v>55</v>
      </c>
      <c r="EY116" s="3">
        <v>1</v>
      </c>
      <c r="FR116" s="3">
        <v>1</v>
      </c>
      <c r="FS116" s="3">
        <v>160</v>
      </c>
      <c r="GC116" s="3">
        <v>1</v>
      </c>
      <c r="GF116" s="3">
        <v>2</v>
      </c>
      <c r="GH116" s="3">
        <f t="shared" si="50"/>
        <v>20</v>
      </c>
      <c r="GI116" s="3">
        <f t="shared" si="51"/>
        <v>15</v>
      </c>
      <c r="GJ116" s="3">
        <f t="shared" si="52"/>
        <v>11</v>
      </c>
      <c r="GK116" s="3">
        <f t="shared" si="53"/>
        <v>546</v>
      </c>
      <c r="GL116" s="3">
        <f t="shared" si="54"/>
        <v>575</v>
      </c>
      <c r="GM116" s="3">
        <f t="shared" si="55"/>
        <v>29</v>
      </c>
    </row>
    <row r="117" spans="1:217" ht="13" x14ac:dyDescent="0.15">
      <c r="A117" s="13">
        <v>42850</v>
      </c>
      <c r="B117" s="3" t="s">
        <v>374</v>
      </c>
      <c r="C117" s="16">
        <f t="shared" si="13"/>
        <v>111</v>
      </c>
      <c r="D117" s="3">
        <v>20.738001000000001</v>
      </c>
      <c r="E117" s="3">
        <v>-156.895004</v>
      </c>
      <c r="F117" s="3" t="s">
        <v>375</v>
      </c>
      <c r="G117" s="14">
        <v>0.40625</v>
      </c>
      <c r="H117" s="14">
        <v>0.46875</v>
      </c>
      <c r="I117" s="3">
        <v>5</v>
      </c>
      <c r="J117" s="3">
        <v>20</v>
      </c>
      <c r="K117" s="3" t="s">
        <v>318</v>
      </c>
      <c r="L117" s="3">
        <v>5</v>
      </c>
      <c r="M117" s="3">
        <v>20</v>
      </c>
      <c r="N117" s="3" t="s">
        <v>376</v>
      </c>
      <c r="P117" s="3">
        <v>20</v>
      </c>
      <c r="R117" s="3">
        <v>7</v>
      </c>
      <c r="S117" s="3">
        <v>3</v>
      </c>
      <c r="AB117" s="3">
        <v>19</v>
      </c>
      <c r="AD117" s="3">
        <v>1</v>
      </c>
      <c r="AH117" s="3">
        <v>10</v>
      </c>
      <c r="AM117" s="3">
        <v>7</v>
      </c>
      <c r="AZ117" s="3">
        <v>6</v>
      </c>
      <c r="BE117" s="3">
        <v>5</v>
      </c>
      <c r="BM117" s="3">
        <v>35</v>
      </c>
      <c r="BV117" s="3">
        <v>2</v>
      </c>
      <c r="BW117" s="3">
        <v>2</v>
      </c>
      <c r="BY117" s="3">
        <v>3</v>
      </c>
      <c r="BZ117" s="3">
        <v>10</v>
      </c>
      <c r="CC117" s="3">
        <v>20</v>
      </c>
      <c r="CP117" s="3">
        <v>1</v>
      </c>
      <c r="CZ117" s="3">
        <v>15</v>
      </c>
      <c r="DB117" s="3">
        <v>3</v>
      </c>
      <c r="DF117" s="3"/>
      <c r="DG117" s="3">
        <v>5</v>
      </c>
      <c r="DJ117" s="3">
        <v>5</v>
      </c>
      <c r="DP117" s="3">
        <v>5</v>
      </c>
      <c r="DW117" s="3">
        <v>2</v>
      </c>
      <c r="ED117" s="3">
        <v>23</v>
      </c>
      <c r="EJ117" s="3">
        <v>21</v>
      </c>
      <c r="EZ117" s="3">
        <v>4</v>
      </c>
      <c r="FB117" s="3">
        <v>18</v>
      </c>
      <c r="FF117" s="3">
        <v>1</v>
      </c>
      <c r="FR117" s="3">
        <v>1</v>
      </c>
      <c r="FS117" s="3">
        <v>55</v>
      </c>
      <c r="GH117" s="3">
        <f t="shared" si="50"/>
        <v>28</v>
      </c>
      <c r="GI117" s="3">
        <f t="shared" si="51"/>
        <v>24</v>
      </c>
      <c r="GJ117" s="3">
        <f t="shared" si="52"/>
        <v>17</v>
      </c>
      <c r="GK117" s="3">
        <f t="shared" si="53"/>
        <v>289</v>
      </c>
      <c r="GL117" s="3">
        <f t="shared" si="54"/>
        <v>500</v>
      </c>
      <c r="GM117" s="3">
        <f t="shared" si="55"/>
        <v>211</v>
      </c>
    </row>
    <row r="118" spans="1:217" ht="13" x14ac:dyDescent="0.15">
      <c r="A118" s="13">
        <v>42851</v>
      </c>
      <c r="B118" s="3" t="s">
        <v>369</v>
      </c>
      <c r="C118" s="16">
        <f t="shared" si="13"/>
        <v>112</v>
      </c>
      <c r="D118" s="3">
        <v>21.888725000000001</v>
      </c>
      <c r="E118" s="3">
        <v>-159.41641200000001</v>
      </c>
      <c r="F118" s="3" t="s">
        <v>321</v>
      </c>
      <c r="G118" s="14">
        <v>0.375</v>
      </c>
      <c r="H118" s="14">
        <v>0.5625</v>
      </c>
      <c r="I118" s="3">
        <v>5</v>
      </c>
      <c r="J118" s="3">
        <v>10</v>
      </c>
      <c r="K118" s="3" t="s">
        <v>217</v>
      </c>
      <c r="L118" s="3">
        <v>5</v>
      </c>
      <c r="M118" s="3">
        <v>23</v>
      </c>
      <c r="N118" s="3" t="s">
        <v>380</v>
      </c>
      <c r="P118" s="3">
        <v>23</v>
      </c>
      <c r="AB118" s="3">
        <v>78</v>
      </c>
      <c r="AC118" s="3">
        <v>1</v>
      </c>
      <c r="AH118" s="3">
        <v>1</v>
      </c>
      <c r="AI118" s="3">
        <v>5</v>
      </c>
      <c r="BA118" s="3"/>
      <c r="BB118" s="3">
        <v>4</v>
      </c>
      <c r="BH118" s="3">
        <v>5</v>
      </c>
      <c r="BM118" s="3">
        <v>28</v>
      </c>
      <c r="BO118" s="3"/>
      <c r="BP118" s="3">
        <v>1</v>
      </c>
      <c r="BV118" s="3">
        <v>10</v>
      </c>
      <c r="BZ118" s="3">
        <v>6</v>
      </c>
      <c r="CS118" s="3">
        <v>9</v>
      </c>
      <c r="DF118" s="3"/>
      <c r="DG118" s="3">
        <v>5</v>
      </c>
      <c r="DM118" s="3">
        <v>27</v>
      </c>
      <c r="DR118" s="3"/>
      <c r="DS118" s="3">
        <v>33</v>
      </c>
      <c r="DU118" s="3"/>
      <c r="DV118" s="3">
        <v>52</v>
      </c>
      <c r="EJ118" s="3">
        <v>50</v>
      </c>
      <c r="FB118" s="3">
        <v>9</v>
      </c>
      <c r="FI118" s="3">
        <v>1</v>
      </c>
      <c r="FS118" s="3">
        <v>112</v>
      </c>
      <c r="GH118" s="3">
        <f t="shared" si="50"/>
        <v>19</v>
      </c>
      <c r="GI118" s="3">
        <f t="shared" si="51"/>
        <v>15</v>
      </c>
      <c r="GJ118" s="3">
        <f t="shared" si="52"/>
        <v>14</v>
      </c>
      <c r="GK118" s="3">
        <f t="shared" si="53"/>
        <v>437</v>
      </c>
      <c r="GL118" s="3">
        <f t="shared" si="54"/>
        <v>575</v>
      </c>
      <c r="GM118" s="3">
        <f t="shared" si="55"/>
        <v>138</v>
      </c>
    </row>
    <row r="119" spans="1:217" ht="13" x14ac:dyDescent="0.15">
      <c r="A119" s="13">
        <v>42851</v>
      </c>
      <c r="B119" s="3" t="s">
        <v>340</v>
      </c>
      <c r="C119" s="16">
        <f t="shared" si="13"/>
        <v>113</v>
      </c>
      <c r="D119" s="3">
        <v>19.643276</v>
      </c>
      <c r="E119" s="3">
        <v>-156.01019299999999</v>
      </c>
      <c r="F119" s="3" t="s">
        <v>381</v>
      </c>
      <c r="G119" s="14">
        <v>0.38541666666666669</v>
      </c>
      <c r="H119" s="14">
        <v>0.45833333333333331</v>
      </c>
      <c r="I119" s="3">
        <v>7</v>
      </c>
      <c r="J119" s="3">
        <v>21</v>
      </c>
      <c r="K119" s="3" t="s">
        <v>198</v>
      </c>
      <c r="L119" s="3">
        <v>11</v>
      </c>
      <c r="M119" s="3">
        <v>75</v>
      </c>
      <c r="N119" s="3" t="s">
        <v>382</v>
      </c>
      <c r="P119" s="3">
        <v>75</v>
      </c>
      <c r="T119" s="3">
        <v>1</v>
      </c>
      <c r="AG119" s="3">
        <v>1</v>
      </c>
      <c r="AM119" s="3">
        <v>12</v>
      </c>
      <c r="BM119" s="3">
        <v>25</v>
      </c>
      <c r="BR119" s="3">
        <v>1</v>
      </c>
      <c r="CC119" s="3">
        <v>16</v>
      </c>
      <c r="EJ119" s="3">
        <v>11</v>
      </c>
      <c r="EZ119" s="3">
        <v>3</v>
      </c>
      <c r="FF119" s="3">
        <v>1</v>
      </c>
      <c r="FM119" s="3">
        <v>5</v>
      </c>
      <c r="FR119" s="3">
        <v>680</v>
      </c>
      <c r="FS119" s="3">
        <v>920</v>
      </c>
      <c r="GC119" s="3">
        <v>1</v>
      </c>
      <c r="GH119" s="3">
        <f t="shared" si="50"/>
        <v>13</v>
      </c>
      <c r="GI119" s="3">
        <f t="shared" si="51"/>
        <v>8</v>
      </c>
      <c r="GJ119" s="3">
        <f t="shared" si="52"/>
        <v>7</v>
      </c>
      <c r="GK119" s="3">
        <f t="shared" si="53"/>
        <v>1677</v>
      </c>
      <c r="GL119" s="3">
        <f t="shared" si="54"/>
        <v>1875</v>
      </c>
      <c r="GM119" s="3">
        <f t="shared" si="55"/>
        <v>198</v>
      </c>
    </row>
    <row r="120" spans="1:217" ht="13" x14ac:dyDescent="0.15">
      <c r="A120" s="13">
        <v>42851</v>
      </c>
      <c r="B120" s="3" t="s">
        <v>293</v>
      </c>
      <c r="C120" s="16">
        <f t="shared" si="13"/>
        <v>114</v>
      </c>
      <c r="D120" s="3">
        <v>19.738602</v>
      </c>
      <c r="E120" s="3">
        <v>-155.03887900000001</v>
      </c>
      <c r="F120" s="3" t="s">
        <v>383</v>
      </c>
      <c r="G120" s="14">
        <v>0.39930555555555558</v>
      </c>
      <c r="H120" s="14">
        <v>0.4548611111111111</v>
      </c>
      <c r="I120" s="3">
        <v>5</v>
      </c>
      <c r="J120" s="3">
        <v>22</v>
      </c>
      <c r="K120" s="3" t="s">
        <v>198</v>
      </c>
      <c r="L120" s="3">
        <v>6</v>
      </c>
      <c r="M120" s="3">
        <v>28</v>
      </c>
      <c r="N120" s="3" t="s">
        <v>384</v>
      </c>
      <c r="P120" s="3">
        <v>28</v>
      </c>
      <c r="BK120" s="3">
        <v>12</v>
      </c>
      <c r="BM120" s="3">
        <v>222</v>
      </c>
      <c r="CC120" s="3">
        <v>5</v>
      </c>
      <c r="CO120" s="3">
        <v>2</v>
      </c>
      <c r="EJ120" s="3">
        <v>4</v>
      </c>
      <c r="EP120" s="3">
        <v>1</v>
      </c>
      <c r="FS120" s="3">
        <v>377</v>
      </c>
      <c r="FT120" s="3">
        <v>5</v>
      </c>
      <c r="GH120" s="3">
        <f t="shared" si="50"/>
        <v>8</v>
      </c>
      <c r="GI120" s="3">
        <f t="shared" si="51"/>
        <v>7</v>
      </c>
      <c r="GJ120" s="3">
        <f t="shared" si="52"/>
        <v>5</v>
      </c>
      <c r="GK120" s="3">
        <f t="shared" si="53"/>
        <v>628</v>
      </c>
      <c r="GL120" s="3">
        <f t="shared" si="54"/>
        <v>700</v>
      </c>
      <c r="GM120" s="3">
        <f t="shared" si="55"/>
        <v>72</v>
      </c>
    </row>
    <row r="121" spans="1:217" ht="13" x14ac:dyDescent="0.15">
      <c r="A121" s="13">
        <v>42851</v>
      </c>
      <c r="B121" s="3" t="s">
        <v>216</v>
      </c>
      <c r="C121" s="16">
        <f t="shared" si="13"/>
        <v>115</v>
      </c>
      <c r="D121" s="3">
        <v>21.3002</v>
      </c>
      <c r="E121" s="3">
        <v>-157.882599</v>
      </c>
      <c r="F121" s="3" t="s">
        <v>385</v>
      </c>
      <c r="G121" s="14">
        <v>0.40277777777777779</v>
      </c>
      <c r="H121" s="14">
        <v>0.44791666666666669</v>
      </c>
      <c r="I121" s="3">
        <v>7</v>
      </c>
      <c r="J121" s="3">
        <v>16</v>
      </c>
      <c r="K121" s="3" t="s">
        <v>217</v>
      </c>
      <c r="L121" s="3">
        <v>5</v>
      </c>
      <c r="M121" s="3">
        <v>28</v>
      </c>
      <c r="N121" s="3" t="s">
        <v>386</v>
      </c>
      <c r="O121" s="3" t="s">
        <v>387</v>
      </c>
      <c r="P121" s="3">
        <v>28</v>
      </c>
      <c r="AB121" s="3">
        <v>2</v>
      </c>
      <c r="AM121" s="3">
        <v>39</v>
      </c>
      <c r="BM121" s="3">
        <v>28</v>
      </c>
      <c r="BW121" s="3">
        <v>2</v>
      </c>
      <c r="CC121" s="3">
        <v>15</v>
      </c>
      <c r="CD121" s="3">
        <v>7</v>
      </c>
      <c r="DI121" s="3">
        <v>1</v>
      </c>
      <c r="DO121" s="3">
        <v>4</v>
      </c>
      <c r="DR121" s="3"/>
      <c r="DS121" s="3">
        <v>2</v>
      </c>
      <c r="EC121" s="3">
        <v>2</v>
      </c>
      <c r="EJ121" s="3">
        <v>17</v>
      </c>
      <c r="FI121" s="3">
        <v>5</v>
      </c>
      <c r="FS121" s="3">
        <v>285</v>
      </c>
      <c r="GH121" s="3">
        <f t="shared" si="50"/>
        <v>13</v>
      </c>
      <c r="GI121" s="3">
        <f t="shared" si="51"/>
        <v>12</v>
      </c>
      <c r="GJ121" s="3">
        <f t="shared" si="52"/>
        <v>7</v>
      </c>
      <c r="GK121" s="3">
        <f t="shared" si="53"/>
        <v>409</v>
      </c>
      <c r="GL121" s="3">
        <f t="shared" si="54"/>
        <v>700</v>
      </c>
      <c r="GM121" s="3">
        <f t="shared" si="55"/>
        <v>291</v>
      </c>
    </row>
    <row r="122" spans="1:217" ht="13" x14ac:dyDescent="0.15">
      <c r="A122" s="13">
        <v>42852</v>
      </c>
      <c r="B122" s="3" t="s">
        <v>293</v>
      </c>
      <c r="C122" s="16">
        <f t="shared" si="13"/>
        <v>116</v>
      </c>
      <c r="D122" s="3">
        <v>19.738602</v>
      </c>
      <c r="E122" s="3">
        <v>-155.03887900000001</v>
      </c>
      <c r="G122" s="14">
        <v>0.3611111111111111</v>
      </c>
      <c r="H122" s="14">
        <v>0.45833333333333331</v>
      </c>
      <c r="I122" s="3">
        <v>3</v>
      </c>
      <c r="J122" s="3">
        <v>10</v>
      </c>
      <c r="K122" s="3" t="s">
        <v>198</v>
      </c>
      <c r="L122" s="3">
        <v>5</v>
      </c>
      <c r="M122" s="3">
        <v>8</v>
      </c>
      <c r="N122" s="3" t="s">
        <v>388</v>
      </c>
      <c r="O122" s="3" t="s">
        <v>295</v>
      </c>
      <c r="P122" s="3">
        <v>8</v>
      </c>
      <c r="BK122" s="3">
        <v>3</v>
      </c>
      <c r="BM122" s="3">
        <v>3</v>
      </c>
      <c r="CC122" s="3">
        <v>3</v>
      </c>
      <c r="CO122" s="3">
        <v>6</v>
      </c>
      <c r="DM122" s="3">
        <v>5</v>
      </c>
      <c r="DR122" s="3">
        <v>4</v>
      </c>
      <c r="ET122" s="3"/>
      <c r="EU122" s="3"/>
      <c r="EV122" s="3">
        <v>5</v>
      </c>
      <c r="FB122" s="3">
        <v>10</v>
      </c>
      <c r="FS122" s="3">
        <v>60</v>
      </c>
      <c r="FV122" s="3"/>
      <c r="FW122" s="3">
        <v>15</v>
      </c>
      <c r="GH122" s="3">
        <f t="shared" si="50"/>
        <v>10</v>
      </c>
      <c r="GI122" s="3">
        <f t="shared" si="51"/>
        <v>10</v>
      </c>
      <c r="GJ122" s="3">
        <f t="shared" si="52"/>
        <v>6</v>
      </c>
      <c r="GK122" s="3">
        <f t="shared" si="53"/>
        <v>114</v>
      </c>
      <c r="GL122" s="3">
        <f t="shared" si="54"/>
        <v>200</v>
      </c>
      <c r="GM122" s="3">
        <f t="shared" si="55"/>
        <v>86</v>
      </c>
    </row>
    <row r="123" spans="1:217" ht="13" x14ac:dyDescent="0.15">
      <c r="A123" s="13">
        <v>42852</v>
      </c>
      <c r="B123" s="3" t="s">
        <v>201</v>
      </c>
      <c r="C123" s="16">
        <f t="shared" si="13"/>
        <v>117</v>
      </c>
      <c r="D123" s="3">
        <v>21.25544</v>
      </c>
      <c r="E123" s="3">
        <v>-157.810303</v>
      </c>
      <c r="F123" s="3" t="s">
        <v>389</v>
      </c>
      <c r="G123" s="14">
        <v>0.37847222222222221</v>
      </c>
      <c r="H123" s="14">
        <v>0.4236111111111111</v>
      </c>
      <c r="I123" s="3">
        <v>7</v>
      </c>
      <c r="J123" s="3">
        <v>12</v>
      </c>
      <c r="K123" s="3" t="s">
        <v>198</v>
      </c>
      <c r="L123" s="3">
        <v>6</v>
      </c>
      <c r="M123" s="3">
        <v>31</v>
      </c>
      <c r="N123" s="3" t="s">
        <v>390</v>
      </c>
      <c r="P123" s="3">
        <v>31</v>
      </c>
      <c r="AF123" s="3">
        <v>1</v>
      </c>
      <c r="AZ123" s="3">
        <v>15</v>
      </c>
      <c r="BV123" s="3">
        <v>5</v>
      </c>
      <c r="BZ123" s="3">
        <v>6</v>
      </c>
      <c r="DF123" s="3"/>
      <c r="DG123" s="3">
        <v>9</v>
      </c>
      <c r="DS123" s="3">
        <v>27</v>
      </c>
      <c r="EJ123" s="3">
        <v>252</v>
      </c>
      <c r="FB123" s="3">
        <v>26</v>
      </c>
      <c r="FD123" s="3"/>
      <c r="FE123" s="3">
        <v>2</v>
      </c>
      <c r="FR123" s="3">
        <v>53</v>
      </c>
      <c r="FS123" s="3">
        <v>178</v>
      </c>
      <c r="GH123" s="3">
        <f t="shared" si="50"/>
        <v>11</v>
      </c>
      <c r="GI123" s="3">
        <f t="shared" si="51"/>
        <v>10</v>
      </c>
      <c r="GJ123" s="3">
        <f t="shared" si="52"/>
        <v>9</v>
      </c>
      <c r="GK123" s="3">
        <f t="shared" si="53"/>
        <v>574</v>
      </c>
      <c r="GL123" s="3">
        <f t="shared" si="54"/>
        <v>775</v>
      </c>
      <c r="GM123" s="3">
        <f t="shared" si="55"/>
        <v>201</v>
      </c>
    </row>
    <row r="124" spans="1:217" ht="13" x14ac:dyDescent="0.15">
      <c r="A124" s="27">
        <v>42852</v>
      </c>
      <c r="B124" s="28" t="s">
        <v>201</v>
      </c>
      <c r="C124" s="16">
        <f t="shared" si="13"/>
        <v>118</v>
      </c>
      <c r="D124" s="28">
        <v>21.25544</v>
      </c>
      <c r="E124" s="28">
        <v>-157.810303</v>
      </c>
      <c r="F124" s="28" t="s">
        <v>453</v>
      </c>
      <c r="G124" s="29">
        <v>0.4236111111111111</v>
      </c>
      <c r="H124" s="29">
        <v>0.47222222222222221</v>
      </c>
      <c r="I124" s="28">
        <v>6</v>
      </c>
      <c r="J124" s="28">
        <v>15</v>
      </c>
      <c r="K124" s="28" t="s">
        <v>227</v>
      </c>
      <c r="L124" s="28">
        <v>5</v>
      </c>
      <c r="M124" s="28">
        <v>10</v>
      </c>
      <c r="N124" s="28" t="s">
        <v>454</v>
      </c>
      <c r="O124" s="28"/>
      <c r="P124" s="28"/>
      <c r="Q124" s="28"/>
      <c r="R124" s="28"/>
      <c r="S124" s="28"/>
      <c r="T124" s="28"/>
      <c r="U124" s="28"/>
      <c r="V124" s="28"/>
      <c r="W124" s="28"/>
      <c r="X124" s="28"/>
      <c r="Y124" s="28"/>
      <c r="Z124" s="28"/>
      <c r="AA124" s="28"/>
      <c r="AB124" s="28"/>
      <c r="AC124" s="28"/>
      <c r="AD124" s="28"/>
      <c r="AE124" s="28"/>
      <c r="AF124" s="28"/>
      <c r="AG124" s="28"/>
      <c r="AH124" s="28"/>
      <c r="AI124" s="28">
        <v>1</v>
      </c>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v>10</v>
      </c>
      <c r="BW124" s="28"/>
      <c r="BX124" s="28"/>
      <c r="BY124" s="28"/>
      <c r="BZ124" s="28">
        <v>5</v>
      </c>
      <c r="CA124" s="28"/>
      <c r="CB124" s="28"/>
      <c r="CC124" s="28"/>
      <c r="CD124" s="28"/>
      <c r="CE124" s="28"/>
      <c r="CF124" s="28"/>
      <c r="CG124" s="28"/>
      <c r="CH124" s="28"/>
      <c r="CI124" s="28"/>
      <c r="CJ124" s="28"/>
      <c r="CK124" s="28"/>
      <c r="CL124" s="28"/>
      <c r="CM124" s="28"/>
      <c r="CN124" s="28"/>
      <c r="CO124" s="28"/>
      <c r="CP124" s="28"/>
      <c r="CQ124" s="28"/>
      <c r="CR124" s="28"/>
      <c r="CS124" s="28"/>
      <c r="CT124" s="28"/>
      <c r="CU124" s="28"/>
      <c r="CV124" s="28"/>
      <c r="CW124" s="28"/>
      <c r="CX124" s="28"/>
      <c r="CY124" s="28"/>
      <c r="CZ124" s="28"/>
      <c r="DA124" s="28"/>
      <c r="DB124" s="28"/>
      <c r="DC124" s="28"/>
      <c r="DD124" s="28"/>
      <c r="DE124" s="28"/>
      <c r="DF124" s="28"/>
      <c r="DG124" s="28"/>
      <c r="DH124" s="28"/>
      <c r="DI124" s="28"/>
      <c r="DJ124" s="28"/>
      <c r="DK124" s="28"/>
      <c r="DL124" s="28"/>
      <c r="DM124" s="28">
        <v>1</v>
      </c>
      <c r="DN124" s="28"/>
      <c r="DO124" s="28"/>
      <c r="DP124" s="28"/>
      <c r="DQ124" s="28"/>
      <c r="DR124" s="28"/>
      <c r="DS124" s="28"/>
      <c r="DT124" s="28"/>
      <c r="DU124" s="28"/>
      <c r="DV124" s="28"/>
      <c r="DW124" s="28"/>
      <c r="DX124" s="28"/>
      <c r="DY124" s="28"/>
      <c r="DZ124" s="28"/>
      <c r="EA124" s="28"/>
      <c r="EB124" s="28"/>
      <c r="EC124" s="28"/>
      <c r="ED124" s="28"/>
      <c r="EE124" s="28"/>
      <c r="EF124" s="28"/>
      <c r="EG124" s="28"/>
      <c r="EH124" s="28"/>
      <c r="EI124" s="28"/>
      <c r="EJ124" s="28">
        <v>108</v>
      </c>
      <c r="EK124" s="28"/>
      <c r="EL124" s="28"/>
      <c r="EM124" s="28"/>
      <c r="EN124" s="28"/>
      <c r="EO124" s="28"/>
      <c r="EP124" s="28"/>
      <c r="EQ124" s="28"/>
      <c r="ER124" s="28"/>
      <c r="ES124" s="28"/>
      <c r="ET124" s="28"/>
      <c r="EU124" s="28"/>
      <c r="EV124" s="28"/>
      <c r="EW124" s="28"/>
      <c r="EX124" s="28"/>
      <c r="EY124" s="28"/>
      <c r="EZ124" s="28"/>
      <c r="FA124" s="28"/>
      <c r="FB124" s="28"/>
      <c r="FC124" s="28"/>
      <c r="FD124" s="28"/>
      <c r="FE124" s="28"/>
      <c r="FF124" s="28"/>
      <c r="FG124" s="28"/>
      <c r="FH124" s="28"/>
      <c r="FI124" s="28"/>
      <c r="FJ124" s="28"/>
      <c r="FK124" s="28"/>
      <c r="FL124" s="28"/>
      <c r="FM124" s="28"/>
      <c r="FN124" s="28"/>
      <c r="FO124" s="28"/>
      <c r="FP124" s="28"/>
      <c r="FQ124" s="28"/>
      <c r="FR124" s="28">
        <v>2</v>
      </c>
      <c r="FS124" s="28">
        <v>51</v>
      </c>
      <c r="FT124" s="28"/>
      <c r="FU124" s="28"/>
      <c r="FV124" s="28"/>
      <c r="FW124" s="28"/>
      <c r="FX124" s="28"/>
      <c r="FY124" s="28"/>
      <c r="FZ124" s="28"/>
      <c r="GA124" s="28"/>
      <c r="GB124" s="28"/>
      <c r="GC124" s="28"/>
      <c r="GD124" s="28"/>
      <c r="GE124" s="28"/>
      <c r="GF124" s="28"/>
      <c r="GG124" s="28"/>
      <c r="GH124" s="28"/>
      <c r="GI124" s="28"/>
      <c r="GJ124" s="28"/>
      <c r="GK124" s="28"/>
      <c r="GL124" s="28"/>
      <c r="GM124" s="28"/>
      <c r="GN124" s="28"/>
      <c r="GO124" s="28"/>
      <c r="GP124" s="28"/>
      <c r="GQ124" s="28"/>
      <c r="GR124" s="28"/>
      <c r="GS124" s="28"/>
      <c r="GT124" s="28"/>
      <c r="GU124" s="28"/>
      <c r="GV124" s="28"/>
      <c r="GW124" s="28"/>
      <c r="GX124" s="28"/>
      <c r="GY124" s="28"/>
      <c r="GZ124" s="28"/>
      <c r="HA124" s="28"/>
      <c r="HB124" s="28"/>
      <c r="HC124" s="28"/>
      <c r="HD124" s="28"/>
      <c r="HE124" s="28"/>
      <c r="HF124" s="28"/>
      <c r="HG124" s="28"/>
      <c r="HH124" s="28"/>
      <c r="HI124" s="28"/>
    </row>
    <row r="125" spans="1:217" ht="13" x14ac:dyDescent="0.15">
      <c r="A125" s="13">
        <v>42853</v>
      </c>
      <c r="B125" s="3" t="s">
        <v>374</v>
      </c>
      <c r="C125" s="16">
        <f t="shared" si="13"/>
        <v>119</v>
      </c>
      <c r="D125" s="3">
        <v>20.738001000000001</v>
      </c>
      <c r="E125" s="3">
        <v>-156.895004</v>
      </c>
      <c r="F125" s="3" t="s">
        <v>391</v>
      </c>
      <c r="G125" s="14">
        <v>0.47083333333333333</v>
      </c>
      <c r="H125" s="14">
        <v>0.49861111111111112</v>
      </c>
      <c r="I125" s="3">
        <v>2</v>
      </c>
      <c r="J125" s="3">
        <v>25</v>
      </c>
      <c r="K125" s="3" t="s">
        <v>198</v>
      </c>
      <c r="L125" s="3">
        <v>13</v>
      </c>
      <c r="M125" s="3">
        <v>11</v>
      </c>
      <c r="N125" s="3" t="s">
        <v>392</v>
      </c>
      <c r="P125" s="3">
        <v>11</v>
      </c>
      <c r="BM125" s="3">
        <v>60</v>
      </c>
      <c r="CG125" s="3"/>
      <c r="CH125" s="3">
        <v>7</v>
      </c>
      <c r="CU125" s="3">
        <v>1</v>
      </c>
      <c r="EJ125" s="3">
        <v>8</v>
      </c>
      <c r="FM125" s="3">
        <v>2</v>
      </c>
      <c r="FS125" s="3">
        <v>73</v>
      </c>
      <c r="FU125" s="3">
        <v>16</v>
      </c>
      <c r="GH125" s="3">
        <f>COUNT(R125:GG125)</f>
        <v>7</v>
      </c>
      <c r="GI125" s="3">
        <f>COUNTIF(R125:GG125,"&gt;=2")</f>
        <v>6</v>
      </c>
      <c r="GJ125" s="3">
        <f>COUNTIF(R125:GG125,"&gt;=5")</f>
        <v>5</v>
      </c>
      <c r="GK125" s="3">
        <f>SUM(R125:GG125)</f>
        <v>167</v>
      </c>
      <c r="GL125" s="3">
        <f>25*P125</f>
        <v>275</v>
      </c>
      <c r="GM125" s="3">
        <f>GL125-GK125</f>
        <v>108</v>
      </c>
    </row>
    <row r="126" spans="1:217" ht="13" x14ac:dyDescent="0.15">
      <c r="A126" s="27">
        <v>42853</v>
      </c>
      <c r="B126" s="28" t="s">
        <v>266</v>
      </c>
      <c r="C126" s="16">
        <f t="shared" si="13"/>
        <v>120</v>
      </c>
      <c r="D126" s="28">
        <v>22.060683999999998</v>
      </c>
      <c r="E126" s="28">
        <v>-159.318512</v>
      </c>
      <c r="F126" s="28" t="s">
        <v>367</v>
      </c>
      <c r="G126" s="29">
        <v>0.44791666666666669</v>
      </c>
      <c r="H126" s="29">
        <v>0.50486111111111109</v>
      </c>
      <c r="I126" s="28">
        <v>4</v>
      </c>
      <c r="J126" s="28">
        <v>20</v>
      </c>
      <c r="K126" s="28" t="s">
        <v>198</v>
      </c>
      <c r="L126" s="28">
        <v>10</v>
      </c>
      <c r="M126" s="28">
        <v>31</v>
      </c>
      <c r="N126" s="28" t="s">
        <v>455</v>
      </c>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v>5</v>
      </c>
      <c r="BO126" s="28"/>
      <c r="BP126" s="28"/>
      <c r="BQ126" s="28"/>
      <c r="BR126" s="28"/>
      <c r="BS126" s="28"/>
      <c r="BT126" s="28"/>
      <c r="BU126" s="28"/>
      <c r="BV126" s="28">
        <v>6</v>
      </c>
      <c r="BW126" s="28"/>
      <c r="BX126" s="28"/>
      <c r="BY126" s="28"/>
      <c r="BZ126" s="28"/>
      <c r="CA126" s="28"/>
      <c r="CB126" s="28"/>
      <c r="CC126" s="28"/>
      <c r="CD126" s="28"/>
      <c r="CE126" s="28"/>
      <c r="CF126" s="28"/>
      <c r="CG126" s="28"/>
      <c r="CH126" s="28"/>
      <c r="CI126" s="28"/>
      <c r="CJ126" s="28"/>
      <c r="CK126" s="28"/>
      <c r="CL126" s="28"/>
      <c r="CM126" s="28"/>
      <c r="CN126" s="28"/>
      <c r="CO126" s="28"/>
      <c r="CP126" s="28"/>
      <c r="CQ126" s="28"/>
      <c r="CR126" s="28"/>
      <c r="CS126" s="28"/>
      <c r="CT126" s="28"/>
      <c r="CU126" s="28"/>
      <c r="CV126" s="28">
        <v>1</v>
      </c>
      <c r="CW126" s="28"/>
      <c r="CX126" s="28"/>
      <c r="CY126" s="28"/>
      <c r="CZ126" s="28"/>
      <c r="DA126" s="28"/>
      <c r="DB126" s="28"/>
      <c r="DC126" s="28"/>
      <c r="DD126" s="28"/>
      <c r="DE126" s="28"/>
      <c r="DF126" s="28"/>
      <c r="DG126" s="28"/>
      <c r="DH126" s="28"/>
      <c r="DI126" s="28"/>
      <c r="DJ126" s="28"/>
      <c r="DK126" s="28"/>
      <c r="DL126" s="28"/>
      <c r="DM126" s="28">
        <v>4</v>
      </c>
      <c r="DN126" s="28"/>
      <c r="DO126" s="28"/>
      <c r="DP126" s="28"/>
      <c r="DQ126" s="28"/>
      <c r="DR126" s="28"/>
      <c r="DS126" s="28"/>
      <c r="DT126" s="28"/>
      <c r="DU126" s="28"/>
      <c r="DV126" s="28">
        <v>10</v>
      </c>
      <c r="DW126" s="28"/>
      <c r="DX126" s="28"/>
      <c r="DY126" s="28"/>
      <c r="DZ126" s="28"/>
      <c r="EA126" s="28"/>
      <c r="EB126" s="28"/>
      <c r="EC126" s="28"/>
      <c r="ED126" s="28"/>
      <c r="EE126" s="28"/>
      <c r="EF126" s="28"/>
      <c r="EG126" s="28"/>
      <c r="EH126" s="28"/>
      <c r="EI126" s="28"/>
      <c r="EJ126" s="28">
        <v>91</v>
      </c>
      <c r="EK126" s="28"/>
      <c r="EL126" s="28"/>
      <c r="EM126" s="28"/>
      <c r="EN126" s="28"/>
      <c r="EO126" s="28"/>
      <c r="EP126" s="28"/>
      <c r="EQ126" s="28"/>
      <c r="ER126" s="28"/>
      <c r="ES126" s="28"/>
      <c r="ET126" s="28"/>
      <c r="EU126" s="28"/>
      <c r="EV126" s="28"/>
      <c r="EW126" s="28"/>
      <c r="EX126" s="28"/>
      <c r="EY126" s="28"/>
      <c r="EZ126" s="28"/>
      <c r="FA126" s="28"/>
      <c r="FB126" s="28">
        <v>1</v>
      </c>
      <c r="FC126" s="28"/>
      <c r="FD126" s="28"/>
      <c r="FE126" s="28"/>
      <c r="FF126" s="28"/>
      <c r="FG126" s="28"/>
      <c r="FH126" s="28"/>
      <c r="FI126" s="28"/>
      <c r="FJ126" s="28"/>
      <c r="FK126" s="28"/>
      <c r="FL126" s="28"/>
      <c r="FM126" s="28"/>
      <c r="FN126" s="28"/>
      <c r="FO126" s="28"/>
      <c r="FP126" s="28"/>
      <c r="FQ126" s="28"/>
      <c r="FR126" s="28"/>
      <c r="FS126" s="28">
        <v>431</v>
      </c>
      <c r="FT126" s="28"/>
      <c r="FU126" s="28"/>
      <c r="FV126" s="28"/>
      <c r="FW126" s="28"/>
      <c r="FX126" s="28"/>
      <c r="FY126" s="28"/>
      <c r="FZ126" s="28"/>
      <c r="GA126" s="28"/>
      <c r="GB126" s="28"/>
      <c r="GC126" s="28"/>
      <c r="GD126" s="28"/>
      <c r="GE126" s="28"/>
      <c r="GF126" s="28"/>
      <c r="GG126" s="28"/>
      <c r="GH126" s="28"/>
      <c r="GI126" s="28"/>
      <c r="GJ126" s="28"/>
      <c r="GK126" s="28"/>
      <c r="GL126" s="28"/>
      <c r="GM126" s="28"/>
      <c r="GN126" s="28"/>
      <c r="GO126" s="28"/>
      <c r="GP126" s="28"/>
      <c r="GQ126" s="28"/>
      <c r="GR126" s="28"/>
      <c r="GS126" s="28"/>
      <c r="GT126" s="28"/>
      <c r="GU126" s="28"/>
      <c r="GV126" s="28"/>
      <c r="GW126" s="28"/>
      <c r="GX126" s="28"/>
      <c r="GY126" s="28"/>
      <c r="GZ126" s="28"/>
      <c r="HA126" s="28"/>
      <c r="HB126" s="28"/>
      <c r="HC126" s="28"/>
      <c r="HD126" s="28"/>
      <c r="HE126" s="28"/>
      <c r="HF126" s="28"/>
      <c r="HG126" s="28"/>
      <c r="HH126" s="28"/>
      <c r="HI126" s="28"/>
    </row>
    <row r="127" spans="1:217" ht="13" x14ac:dyDescent="0.15">
      <c r="A127" s="27">
        <v>42853</v>
      </c>
      <c r="B127" s="28" t="s">
        <v>293</v>
      </c>
      <c r="C127" s="16">
        <f t="shared" si="13"/>
        <v>121</v>
      </c>
      <c r="D127" s="28">
        <v>19.738602</v>
      </c>
      <c r="E127" s="28">
        <v>-155.03887900000001</v>
      </c>
      <c r="F127" s="28" t="s">
        <v>459</v>
      </c>
      <c r="G127" s="29">
        <v>0.3888888888888889</v>
      </c>
      <c r="H127" s="29">
        <v>0.44791666666666669</v>
      </c>
      <c r="I127" s="28">
        <v>4</v>
      </c>
      <c r="J127" s="28">
        <v>8</v>
      </c>
      <c r="K127" s="28" t="s">
        <v>460</v>
      </c>
      <c r="L127" s="28">
        <v>8</v>
      </c>
      <c r="M127" s="28">
        <v>29</v>
      </c>
      <c r="N127" s="28" t="s">
        <v>461</v>
      </c>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v>3</v>
      </c>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v>39</v>
      </c>
      <c r="BL127" s="28"/>
      <c r="BM127" s="28">
        <v>26</v>
      </c>
      <c r="BN127" s="28"/>
      <c r="BO127" s="28"/>
      <c r="BP127" s="28"/>
      <c r="BQ127" s="28"/>
      <c r="BR127" s="28"/>
      <c r="BS127" s="28"/>
      <c r="BT127" s="28"/>
      <c r="BU127" s="28"/>
      <c r="BV127" s="28"/>
      <c r="BW127" s="28"/>
      <c r="BX127" s="28"/>
      <c r="BY127" s="28"/>
      <c r="BZ127" s="28"/>
      <c r="CA127" s="28"/>
      <c r="CB127" s="28"/>
      <c r="CC127" s="28">
        <v>23</v>
      </c>
      <c r="CD127" s="28">
        <v>12</v>
      </c>
      <c r="CE127" s="28"/>
      <c r="CF127" s="28"/>
      <c r="CG127" s="28"/>
      <c r="CH127" s="28"/>
      <c r="CI127" s="28"/>
      <c r="CJ127" s="28"/>
      <c r="CK127" s="28"/>
      <c r="CL127" s="28"/>
      <c r="CM127" s="28"/>
      <c r="CN127" s="28"/>
      <c r="CO127" s="28">
        <v>66</v>
      </c>
      <c r="CP127" s="28"/>
      <c r="CQ127" s="28"/>
      <c r="CR127" s="28"/>
      <c r="CS127" s="28"/>
      <c r="CT127" s="28"/>
      <c r="CU127" s="28"/>
      <c r="CV127" s="28"/>
      <c r="CW127" s="28"/>
      <c r="CX127" s="28"/>
      <c r="CY127" s="28"/>
      <c r="CZ127" s="28"/>
      <c r="DA127" s="28"/>
      <c r="DB127" s="28"/>
      <c r="DC127" s="28"/>
      <c r="DD127" s="28"/>
      <c r="DE127" s="28"/>
      <c r="DF127" s="28"/>
      <c r="DG127" s="28"/>
      <c r="DH127" s="28">
        <v>1</v>
      </c>
      <c r="DI127" s="28"/>
      <c r="DJ127" s="28"/>
      <c r="DK127" s="28"/>
      <c r="DL127" s="28"/>
      <c r="DM127" s="28"/>
      <c r="DN127" s="28"/>
      <c r="DO127" s="28"/>
      <c r="DP127" s="28"/>
      <c r="DQ127" s="28"/>
      <c r="DR127" s="28"/>
      <c r="DS127" s="28"/>
      <c r="DT127" s="28"/>
      <c r="DU127" s="28"/>
      <c r="DV127" s="28"/>
      <c r="DW127" s="28"/>
      <c r="DX127" s="28"/>
      <c r="DY127" s="28"/>
      <c r="DZ127" s="28"/>
      <c r="EA127" s="28"/>
      <c r="EB127" s="28"/>
      <c r="EC127" s="28"/>
      <c r="ED127" s="28"/>
      <c r="EE127" s="28"/>
      <c r="EF127" s="28"/>
      <c r="EG127" s="28"/>
      <c r="EH127" s="28"/>
      <c r="EI127" s="28"/>
      <c r="EJ127" s="28"/>
      <c r="EK127" s="28"/>
      <c r="EL127" s="28"/>
      <c r="EM127" s="28"/>
      <c r="EN127" s="28"/>
      <c r="EO127" s="28"/>
      <c r="EP127" s="28"/>
      <c r="EQ127" s="28"/>
      <c r="ER127" s="28"/>
      <c r="ES127" s="28"/>
      <c r="ET127" s="28"/>
      <c r="EU127" s="28"/>
      <c r="EV127" s="28"/>
      <c r="EW127" s="28"/>
      <c r="EX127" s="28"/>
      <c r="EY127" s="28"/>
      <c r="EZ127" s="28"/>
      <c r="FA127" s="28"/>
      <c r="FB127" s="28"/>
      <c r="FC127" s="28"/>
      <c r="FD127" s="28"/>
      <c r="FE127" s="28"/>
      <c r="FF127" s="28"/>
      <c r="FG127" s="28"/>
      <c r="FH127" s="28"/>
      <c r="FI127" s="28"/>
      <c r="FJ127" s="28"/>
      <c r="FK127" s="28"/>
      <c r="FL127" s="28"/>
      <c r="FM127" s="28">
        <v>35</v>
      </c>
      <c r="FN127" s="28"/>
      <c r="FO127" s="28"/>
      <c r="FP127" s="28"/>
      <c r="FQ127" s="28"/>
      <c r="FR127" s="28"/>
      <c r="FS127" s="28">
        <v>419</v>
      </c>
      <c r="FT127" s="28"/>
      <c r="FU127" s="28"/>
      <c r="FV127" s="28"/>
      <c r="FW127" s="28"/>
      <c r="FX127" s="28"/>
      <c r="FY127" s="28"/>
      <c r="FZ127" s="28"/>
      <c r="GA127" s="28"/>
      <c r="GB127" s="28"/>
      <c r="GC127" s="28"/>
      <c r="GD127" s="28"/>
      <c r="GE127" s="28"/>
      <c r="GF127" s="28"/>
      <c r="GG127" s="28"/>
      <c r="GH127" s="28"/>
      <c r="GI127" s="28"/>
      <c r="GJ127" s="28"/>
      <c r="GK127" s="28"/>
      <c r="GL127" s="28"/>
      <c r="GM127" s="28"/>
      <c r="GN127" s="28"/>
      <c r="GO127" s="28"/>
      <c r="GP127" s="28"/>
      <c r="GQ127" s="28"/>
      <c r="GR127" s="28"/>
      <c r="GS127" s="28"/>
      <c r="GT127" s="28"/>
      <c r="GU127" s="28"/>
      <c r="GV127" s="28"/>
      <c r="GW127" s="28"/>
      <c r="GX127" s="28"/>
      <c r="GY127" s="28"/>
      <c r="GZ127" s="28"/>
      <c r="HA127" s="28"/>
      <c r="HB127" s="28"/>
      <c r="HC127" s="28"/>
      <c r="HD127" s="28"/>
      <c r="HE127" s="28"/>
      <c r="HF127" s="28"/>
      <c r="HG127" s="28"/>
      <c r="HH127" s="28"/>
      <c r="HI127" s="28"/>
    </row>
    <row r="128" spans="1:217" ht="13" x14ac:dyDescent="0.15">
      <c r="A128" s="13">
        <v>42860</v>
      </c>
      <c r="B128" s="3" t="s">
        <v>244</v>
      </c>
      <c r="C128" s="16">
        <f t="shared" si="13"/>
        <v>122</v>
      </c>
      <c r="D128" s="3">
        <v>21.310611999999999</v>
      </c>
      <c r="E128" s="3">
        <v>-158.00441000000001</v>
      </c>
      <c r="F128" s="3" t="s">
        <v>278</v>
      </c>
      <c r="G128" s="14">
        <v>0.38541666666666669</v>
      </c>
      <c r="H128" s="14">
        <v>0.45833333333333331</v>
      </c>
      <c r="I128" s="3">
        <v>6</v>
      </c>
      <c r="J128" s="3">
        <v>12</v>
      </c>
      <c r="K128" s="3" t="s">
        <v>198</v>
      </c>
      <c r="L128" s="3">
        <v>5</v>
      </c>
      <c r="M128" s="3">
        <v>25</v>
      </c>
      <c r="N128" s="3" t="s">
        <v>393</v>
      </c>
      <c r="P128" s="3">
        <v>25</v>
      </c>
      <c r="R128" s="3">
        <v>2</v>
      </c>
      <c r="AB128" s="3">
        <v>2</v>
      </c>
      <c r="AC128" s="3">
        <v>4</v>
      </c>
      <c r="AE128" s="3">
        <v>4</v>
      </c>
      <c r="AI128" s="3">
        <v>1</v>
      </c>
      <c r="BA128" s="3"/>
      <c r="BB128" s="3">
        <v>1</v>
      </c>
      <c r="BE128" s="3">
        <v>1</v>
      </c>
      <c r="BF128" s="3">
        <v>1</v>
      </c>
      <c r="BM128" s="3">
        <v>30</v>
      </c>
      <c r="BS128" s="3">
        <v>3</v>
      </c>
      <c r="BV128" s="3">
        <v>2</v>
      </c>
      <c r="BZ128" s="3">
        <v>54</v>
      </c>
      <c r="CS128" s="3">
        <v>5</v>
      </c>
      <c r="DF128" s="3"/>
      <c r="DG128" s="3">
        <v>3</v>
      </c>
      <c r="DM128" s="3">
        <v>27</v>
      </c>
      <c r="DO128" s="3">
        <v>5</v>
      </c>
      <c r="DU128" s="3"/>
      <c r="DV128" s="3">
        <v>1</v>
      </c>
      <c r="EJ128" s="3">
        <v>305</v>
      </c>
      <c r="FI128" s="3">
        <v>24</v>
      </c>
      <c r="FN128" s="3">
        <v>1</v>
      </c>
      <c r="FS128" s="3">
        <v>40</v>
      </c>
      <c r="GH128" s="3">
        <f t="shared" ref="GH128:GH130" si="56">COUNT(R128:GG128)</f>
        <v>21</v>
      </c>
      <c r="GI128" s="3">
        <f t="shared" ref="GI128:GI130" si="57">COUNTIF(R128:GG128,"&gt;=2")</f>
        <v>15</v>
      </c>
      <c r="GJ128" s="3">
        <f t="shared" ref="GJ128:GJ130" si="58">COUNTIF(R128:GG128,"&gt;=5")</f>
        <v>8</v>
      </c>
      <c r="GK128" s="3">
        <f t="shared" ref="GK128:GK130" si="59">SUM(R128:GG128)</f>
        <v>516</v>
      </c>
      <c r="GL128" s="3">
        <f t="shared" ref="GL128:GL130" si="60">25*P128</f>
        <v>625</v>
      </c>
      <c r="GM128" s="3">
        <f t="shared" ref="GM128:GM130" si="61">GL128-GK128</f>
        <v>109</v>
      </c>
    </row>
    <row r="129" spans="1:217" ht="13" x14ac:dyDescent="0.15">
      <c r="A129" s="13">
        <v>42860</v>
      </c>
      <c r="B129" s="3" t="s">
        <v>394</v>
      </c>
      <c r="C129" s="16">
        <f t="shared" si="13"/>
        <v>123</v>
      </c>
      <c r="D129" s="3">
        <v>19.637501</v>
      </c>
      <c r="E129" s="3">
        <v>-155.99389600000001</v>
      </c>
      <c r="F129" s="3" t="s">
        <v>367</v>
      </c>
      <c r="G129" s="14">
        <v>0.51041666666666663</v>
      </c>
      <c r="H129" s="14">
        <v>0.51041666666666663</v>
      </c>
      <c r="I129" s="3">
        <v>5</v>
      </c>
      <c r="J129" s="3">
        <v>25</v>
      </c>
      <c r="K129" s="3" t="s">
        <v>198</v>
      </c>
      <c r="L129" s="3">
        <v>10</v>
      </c>
      <c r="M129" s="3">
        <v>44</v>
      </c>
      <c r="N129" s="3" t="s">
        <v>547</v>
      </c>
      <c r="O129" s="3"/>
      <c r="P129" s="3">
        <v>44</v>
      </c>
      <c r="S129" s="3">
        <v>6</v>
      </c>
      <c r="AM129" s="3">
        <v>61</v>
      </c>
      <c r="AX129" s="3">
        <v>51</v>
      </c>
      <c r="BA129" s="3"/>
      <c r="BB129" s="3">
        <v>3</v>
      </c>
      <c r="BM129" s="3">
        <v>11</v>
      </c>
      <c r="BR129" s="3">
        <v>12</v>
      </c>
      <c r="CC129" s="3">
        <v>24</v>
      </c>
      <c r="CD129" s="3">
        <v>7</v>
      </c>
      <c r="CS129" s="3">
        <v>6</v>
      </c>
      <c r="EJ129" s="3">
        <v>10</v>
      </c>
      <c r="EX129" s="3">
        <v>5</v>
      </c>
      <c r="EZ129" s="3">
        <v>5</v>
      </c>
      <c r="FB129" s="3">
        <v>35</v>
      </c>
      <c r="FS129" s="3">
        <v>495</v>
      </c>
      <c r="FV129" s="3"/>
      <c r="FW129" s="3">
        <v>55</v>
      </c>
      <c r="GA129" s="3">
        <v>1</v>
      </c>
      <c r="GD129" s="3">
        <v>4</v>
      </c>
      <c r="GH129" s="3">
        <f t="shared" si="56"/>
        <v>17</v>
      </c>
      <c r="GI129" s="3">
        <f t="shared" si="57"/>
        <v>16</v>
      </c>
      <c r="GJ129" s="3">
        <f t="shared" si="58"/>
        <v>14</v>
      </c>
      <c r="GK129" s="3">
        <f t="shared" si="59"/>
        <v>791</v>
      </c>
      <c r="GL129" s="3">
        <f t="shared" si="60"/>
        <v>1100</v>
      </c>
      <c r="GM129" s="3">
        <f t="shared" si="61"/>
        <v>309</v>
      </c>
    </row>
    <row r="130" spans="1:217" ht="13" x14ac:dyDescent="0.15">
      <c r="A130" s="13">
        <v>42865</v>
      </c>
      <c r="B130" s="3" t="s">
        <v>230</v>
      </c>
      <c r="C130" s="16">
        <f t="shared" si="13"/>
        <v>124</v>
      </c>
      <c r="D130" s="3">
        <v>20.753699999999998</v>
      </c>
      <c r="E130" s="3">
        <v>-156.46090699999999</v>
      </c>
      <c r="F130" s="3" t="s">
        <v>397</v>
      </c>
      <c r="G130" s="14">
        <v>0.39583333333333331</v>
      </c>
      <c r="H130" s="14">
        <v>0.46527777777777779</v>
      </c>
      <c r="I130" s="3">
        <v>4</v>
      </c>
      <c r="J130" s="3">
        <v>15</v>
      </c>
      <c r="K130" s="3" t="s">
        <v>398</v>
      </c>
      <c r="L130" s="3">
        <v>7</v>
      </c>
      <c r="M130" s="3">
        <v>24</v>
      </c>
      <c r="N130" s="3" t="s">
        <v>399</v>
      </c>
      <c r="P130" s="3">
        <v>24</v>
      </c>
      <c r="R130" s="3">
        <v>170</v>
      </c>
      <c r="BM130" s="3">
        <v>148</v>
      </c>
      <c r="CU130" s="3">
        <v>1</v>
      </c>
      <c r="DF130" s="3">
        <v>3</v>
      </c>
      <c r="DG130" s="3">
        <v>4</v>
      </c>
      <c r="DO130" s="3">
        <v>1</v>
      </c>
      <c r="ET130" s="3"/>
      <c r="EU130" s="3"/>
      <c r="EV130" s="3">
        <v>4</v>
      </c>
      <c r="FS130" s="3">
        <v>17</v>
      </c>
      <c r="FV130" s="3"/>
      <c r="FW130" s="3">
        <v>1</v>
      </c>
      <c r="GH130" s="3">
        <f t="shared" si="56"/>
        <v>9</v>
      </c>
      <c r="GI130" s="3">
        <f t="shared" si="57"/>
        <v>6</v>
      </c>
      <c r="GJ130" s="3">
        <f t="shared" si="58"/>
        <v>3</v>
      </c>
      <c r="GK130" s="3">
        <f t="shared" si="59"/>
        <v>349</v>
      </c>
      <c r="GL130" s="3">
        <f t="shared" si="60"/>
        <v>600</v>
      </c>
      <c r="GM130" s="3">
        <f t="shared" si="61"/>
        <v>251</v>
      </c>
    </row>
    <row r="131" spans="1:217" ht="13" x14ac:dyDescent="0.15">
      <c r="A131" s="19">
        <v>42865</v>
      </c>
      <c r="B131" s="20" t="s">
        <v>467</v>
      </c>
      <c r="C131" s="16">
        <f t="shared" si="13"/>
        <v>125</v>
      </c>
      <c r="D131" s="20">
        <v>20.726389000000001</v>
      </c>
      <c r="E131" s="20">
        <v>-155.984161</v>
      </c>
      <c r="F131" s="20" t="s">
        <v>468</v>
      </c>
      <c r="G131" s="21">
        <v>0.36319444444444443</v>
      </c>
      <c r="H131" s="21">
        <v>0.37083333333333335</v>
      </c>
      <c r="I131" s="20">
        <v>3</v>
      </c>
      <c r="J131" s="20">
        <v>29</v>
      </c>
      <c r="K131" s="20" t="s">
        <v>198</v>
      </c>
      <c r="L131" s="20">
        <v>10</v>
      </c>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c r="EE131" s="20"/>
      <c r="EF131" s="20"/>
      <c r="EG131" s="20"/>
      <c r="EH131" s="20"/>
      <c r="EI131" s="20"/>
      <c r="EJ131" s="20"/>
      <c r="EK131" s="20"/>
      <c r="EL131" s="20"/>
      <c r="EM131" s="20"/>
      <c r="EN131" s="20"/>
      <c r="EO131" s="20"/>
      <c r="EP131" s="20"/>
      <c r="EQ131" s="20"/>
      <c r="ER131" s="20"/>
      <c r="ES131" s="20"/>
      <c r="ET131" s="20"/>
      <c r="EU131" s="20"/>
      <c r="EV131" s="20"/>
      <c r="EW131" s="20"/>
      <c r="EX131" s="20"/>
      <c r="EY131" s="20"/>
      <c r="EZ131" s="20"/>
      <c r="FA131" s="20"/>
      <c r="FB131" s="20"/>
      <c r="FC131" s="20"/>
      <c r="FD131" s="20"/>
      <c r="FE131" s="20"/>
      <c r="FF131" s="20"/>
      <c r="FG131" s="20"/>
      <c r="FH131" s="20"/>
      <c r="FI131" s="20"/>
      <c r="FJ131" s="20"/>
      <c r="FK131" s="20"/>
      <c r="FL131" s="20"/>
      <c r="FM131" s="20"/>
      <c r="FN131" s="20"/>
      <c r="FO131" s="20"/>
      <c r="FP131" s="20"/>
      <c r="FQ131" s="20"/>
      <c r="FR131" s="20"/>
      <c r="FS131" s="20"/>
      <c r="FT131" s="20"/>
      <c r="FU131" s="20"/>
      <c r="FV131" s="20"/>
      <c r="FW131" s="20"/>
      <c r="FX131" s="20"/>
      <c r="FY131" s="20"/>
      <c r="FZ131" s="20"/>
      <c r="GA131" s="20"/>
      <c r="GB131" s="20"/>
      <c r="GC131" s="20"/>
      <c r="GD131" s="20"/>
      <c r="GE131" s="20"/>
      <c r="GF131" s="20"/>
      <c r="GG131" s="20"/>
      <c r="GH131" s="20"/>
      <c r="GI131" s="20"/>
      <c r="GJ131" s="20"/>
      <c r="GK131" s="20"/>
      <c r="GL131" s="20"/>
      <c r="GM131" s="20"/>
      <c r="GN131" s="20"/>
      <c r="GO131" s="20"/>
      <c r="GP131" s="20"/>
      <c r="GQ131" s="20"/>
      <c r="GR131" s="20"/>
      <c r="GS131" s="20"/>
      <c r="GT131" s="20"/>
      <c r="GU131" s="20"/>
      <c r="GV131" s="20"/>
      <c r="GW131" s="20"/>
      <c r="GX131" s="20"/>
      <c r="GY131" s="20"/>
      <c r="GZ131" s="20"/>
      <c r="HA131" s="20"/>
      <c r="HB131" s="20"/>
      <c r="HC131" s="20"/>
      <c r="HD131" s="20"/>
      <c r="HE131" s="20"/>
      <c r="HF131" s="20"/>
      <c r="HG131" s="20"/>
      <c r="HH131" s="20"/>
      <c r="HI131" s="20"/>
    </row>
    <row r="132" spans="1:217" ht="13" x14ac:dyDescent="0.15">
      <c r="A132" s="13">
        <v>42866</v>
      </c>
      <c r="B132" s="3" t="s">
        <v>400</v>
      </c>
      <c r="C132" s="16">
        <f t="shared" si="13"/>
        <v>126</v>
      </c>
      <c r="D132" s="3">
        <v>21.900562000000001</v>
      </c>
      <c r="E132" s="3">
        <v>-159.60981799999999</v>
      </c>
      <c r="F132" s="3" t="s">
        <v>401</v>
      </c>
      <c r="G132" s="14">
        <v>0.36805555555555558</v>
      </c>
      <c r="H132" s="14">
        <v>0.41319444444444442</v>
      </c>
      <c r="I132" s="3">
        <v>6</v>
      </c>
      <c r="J132" s="3">
        <v>15</v>
      </c>
      <c r="K132" s="3" t="s">
        <v>198</v>
      </c>
      <c r="L132" s="3">
        <v>5</v>
      </c>
      <c r="M132" s="3">
        <v>25</v>
      </c>
      <c r="N132" s="3" t="s">
        <v>402</v>
      </c>
      <c r="P132" s="3">
        <v>25</v>
      </c>
      <c r="AB132" s="3">
        <v>2</v>
      </c>
      <c r="AC132" s="3">
        <v>1</v>
      </c>
      <c r="BM132" s="3">
        <v>1</v>
      </c>
      <c r="BV132" s="3">
        <v>16</v>
      </c>
      <c r="BW132" s="3">
        <v>38</v>
      </c>
      <c r="CK132" s="3">
        <v>5</v>
      </c>
      <c r="DE132" s="3">
        <v>1</v>
      </c>
      <c r="DJ132" s="3">
        <v>3</v>
      </c>
      <c r="DN132" s="3">
        <v>2</v>
      </c>
      <c r="DS132" s="3">
        <v>2</v>
      </c>
      <c r="EJ132" s="3">
        <v>69</v>
      </c>
      <c r="FB132" s="3">
        <v>2</v>
      </c>
      <c r="FC132" s="3">
        <v>1</v>
      </c>
      <c r="FS132" s="3">
        <v>112</v>
      </c>
      <c r="FU132" s="3">
        <v>1</v>
      </c>
      <c r="GH132" s="3">
        <f t="shared" ref="GH132:GH133" si="62">COUNT(R132:GG132)</f>
        <v>15</v>
      </c>
      <c r="GI132" s="3">
        <f t="shared" ref="GI132:GI133" si="63">COUNTIF(R132:GG132,"&gt;=2")</f>
        <v>10</v>
      </c>
      <c r="GJ132" s="3">
        <f t="shared" ref="GJ132:GJ133" si="64">COUNTIF(R132:GG132,"&gt;=5")</f>
        <v>5</v>
      </c>
      <c r="GK132" s="3">
        <f t="shared" ref="GK132:GK133" si="65">SUM(R132:GG132)</f>
        <v>256</v>
      </c>
      <c r="GL132" s="3">
        <f t="shared" ref="GL132:GL133" si="66">25*P132</f>
        <v>625</v>
      </c>
      <c r="GM132" s="3">
        <f t="shared" ref="GM132:GM133" si="67">GL132-GK132</f>
        <v>369</v>
      </c>
    </row>
    <row r="133" spans="1:217" ht="13" x14ac:dyDescent="0.15">
      <c r="A133" s="13">
        <v>42866</v>
      </c>
      <c r="B133" s="3" t="s">
        <v>244</v>
      </c>
      <c r="C133" s="16">
        <f t="shared" si="13"/>
        <v>127</v>
      </c>
      <c r="D133" s="3">
        <v>21.310611999999999</v>
      </c>
      <c r="E133" s="3">
        <v>-158.00441000000001</v>
      </c>
      <c r="F133" s="3" t="s">
        <v>278</v>
      </c>
      <c r="G133" s="14">
        <v>0.38541666666666669</v>
      </c>
      <c r="H133" s="14">
        <v>0.45833333333333331</v>
      </c>
      <c r="I133" s="3">
        <v>6</v>
      </c>
      <c r="J133" s="3">
        <v>11</v>
      </c>
      <c r="K133" s="3" t="s">
        <v>198</v>
      </c>
      <c r="L133" s="3">
        <v>5</v>
      </c>
      <c r="M133" s="3">
        <v>24</v>
      </c>
      <c r="N133" s="3" t="s">
        <v>403</v>
      </c>
      <c r="P133" s="3">
        <v>24</v>
      </c>
      <c r="R133" s="3">
        <v>35</v>
      </c>
      <c r="AB133" s="3">
        <v>10</v>
      </c>
      <c r="AE133" s="3">
        <v>5</v>
      </c>
      <c r="AI133" s="3">
        <v>9</v>
      </c>
      <c r="AN133" s="3">
        <v>1</v>
      </c>
      <c r="BA133" s="3"/>
      <c r="BB133" s="3">
        <v>5</v>
      </c>
      <c r="BE133" s="3">
        <v>5</v>
      </c>
      <c r="BM133" s="3">
        <v>1</v>
      </c>
      <c r="BO133" s="3"/>
      <c r="BP133" s="3">
        <v>1</v>
      </c>
      <c r="BQ133" s="3">
        <v>1</v>
      </c>
      <c r="BV133" s="3">
        <v>11</v>
      </c>
      <c r="BZ133" s="3">
        <v>2</v>
      </c>
      <c r="CK133" s="3">
        <v>1</v>
      </c>
      <c r="CO133" s="3">
        <v>7</v>
      </c>
      <c r="DG133" s="3">
        <v>12</v>
      </c>
      <c r="DM133" s="3">
        <v>32</v>
      </c>
      <c r="DO133" s="3">
        <v>4</v>
      </c>
      <c r="DU133" s="3"/>
      <c r="DV133" s="3">
        <v>6</v>
      </c>
      <c r="EC133" s="3">
        <v>4</v>
      </c>
      <c r="EJ133" s="3">
        <v>122</v>
      </c>
      <c r="EX133" s="3">
        <v>9</v>
      </c>
      <c r="FB133" s="3">
        <v>13</v>
      </c>
      <c r="FH133" s="3">
        <v>1</v>
      </c>
      <c r="FI133" s="3">
        <v>10</v>
      </c>
      <c r="FS133" s="3">
        <v>32</v>
      </c>
      <c r="FV133" s="3"/>
      <c r="FW133" s="3">
        <v>6</v>
      </c>
      <c r="GG133" s="3">
        <v>35</v>
      </c>
      <c r="GH133" s="3">
        <f t="shared" si="62"/>
        <v>27</v>
      </c>
      <c r="GI133" s="3">
        <f t="shared" si="63"/>
        <v>21</v>
      </c>
      <c r="GJ133" s="3">
        <f t="shared" si="64"/>
        <v>18</v>
      </c>
      <c r="GK133" s="3">
        <f t="shared" si="65"/>
        <v>380</v>
      </c>
      <c r="GL133" s="3">
        <f t="shared" si="66"/>
        <v>600</v>
      </c>
      <c r="GM133" s="3">
        <f t="shared" si="67"/>
        <v>220</v>
      </c>
    </row>
    <row r="134" spans="1:217" ht="13" x14ac:dyDescent="0.15">
      <c r="A134" s="27">
        <v>42866</v>
      </c>
      <c r="B134" s="28" t="s">
        <v>219</v>
      </c>
      <c r="C134" s="16">
        <f t="shared" si="13"/>
        <v>128</v>
      </c>
      <c r="D134" s="28">
        <v>21.295798999999999</v>
      </c>
      <c r="E134" s="28">
        <v>-158.10369900000001</v>
      </c>
      <c r="F134" s="28" t="s">
        <v>479</v>
      </c>
      <c r="G134" s="29">
        <v>0.4</v>
      </c>
      <c r="H134" s="29">
        <v>0.45833333333333331</v>
      </c>
      <c r="I134" s="28">
        <v>7</v>
      </c>
      <c r="J134" s="28">
        <v>10</v>
      </c>
      <c r="K134" s="28" t="s">
        <v>415</v>
      </c>
      <c r="L134" s="28">
        <v>1</v>
      </c>
      <c r="M134" s="28">
        <v>6</v>
      </c>
      <c r="N134" s="28" t="s">
        <v>480</v>
      </c>
      <c r="O134" s="28"/>
      <c r="P134" s="28"/>
      <c r="Q134" s="28"/>
      <c r="R134" s="28">
        <v>1</v>
      </c>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v>1</v>
      </c>
      <c r="BF134" s="28"/>
      <c r="BG134" s="28"/>
      <c r="BH134" s="28"/>
      <c r="BI134" s="28"/>
      <c r="BJ134" s="28"/>
      <c r="BK134" s="28"/>
      <c r="BL134" s="28"/>
      <c r="BM134" s="28"/>
      <c r="BN134" s="28"/>
      <c r="BO134" s="28"/>
      <c r="BP134" s="28"/>
      <c r="BQ134" s="28"/>
      <c r="BR134" s="28"/>
      <c r="BS134" s="28"/>
      <c r="BT134" s="28"/>
      <c r="BU134" s="28"/>
      <c r="BV134" s="28">
        <v>1</v>
      </c>
      <c r="BW134" s="28"/>
      <c r="BX134" s="28"/>
      <c r="BY134" s="28"/>
      <c r="BZ134" s="28">
        <v>3</v>
      </c>
      <c r="CA134" s="28"/>
      <c r="CB134" s="28"/>
      <c r="CC134" s="28"/>
      <c r="CD134" s="28"/>
      <c r="CE134" s="28"/>
      <c r="CF134" s="28"/>
      <c r="CG134" s="28"/>
      <c r="CH134" s="28"/>
      <c r="CI134" s="28"/>
      <c r="CJ134" s="28"/>
      <c r="CK134" s="28"/>
      <c r="CL134" s="28"/>
      <c r="CM134" s="28"/>
      <c r="CN134" s="28"/>
      <c r="CO134" s="28"/>
      <c r="CP134" s="28"/>
      <c r="CQ134" s="28"/>
      <c r="CR134" s="28"/>
      <c r="CS134" s="28">
        <v>2</v>
      </c>
      <c r="CT134" s="28"/>
      <c r="CU134" s="28"/>
      <c r="CV134" s="28"/>
      <c r="CW134" s="28"/>
      <c r="CX134" s="28"/>
      <c r="CY134" s="28"/>
      <c r="CZ134" s="28"/>
      <c r="DA134" s="28"/>
      <c r="DB134" s="28"/>
      <c r="DC134" s="28"/>
      <c r="DD134" s="28"/>
      <c r="DE134" s="28"/>
      <c r="DF134" s="28"/>
      <c r="DG134" s="28"/>
      <c r="DH134" s="28"/>
      <c r="DI134" s="28"/>
      <c r="DJ134" s="28"/>
      <c r="DK134" s="28"/>
      <c r="DL134" s="28"/>
      <c r="DM134" s="28">
        <v>13</v>
      </c>
      <c r="DN134" s="28"/>
      <c r="DO134" s="28"/>
      <c r="DP134" s="28"/>
      <c r="DQ134" s="28"/>
      <c r="DR134" s="28"/>
      <c r="DS134" s="28">
        <v>2</v>
      </c>
      <c r="DT134" s="28"/>
      <c r="DU134" s="28"/>
      <c r="DV134" s="28"/>
      <c r="DW134" s="28"/>
      <c r="DX134" s="28"/>
      <c r="DY134" s="28"/>
      <c r="DZ134" s="28"/>
      <c r="EA134" s="28"/>
      <c r="EB134" s="28"/>
      <c r="EC134" s="28"/>
      <c r="ED134" s="28"/>
      <c r="EE134" s="28"/>
      <c r="EF134" s="28"/>
      <c r="EG134" s="28"/>
      <c r="EH134" s="28"/>
      <c r="EI134" s="28"/>
      <c r="EJ134" s="28">
        <v>58</v>
      </c>
      <c r="EK134" s="28"/>
      <c r="EL134" s="28"/>
      <c r="EM134" s="28"/>
      <c r="EN134" s="28"/>
      <c r="EO134" s="28"/>
      <c r="EP134" s="28"/>
      <c r="EQ134" s="28"/>
      <c r="ER134" s="28"/>
      <c r="ES134" s="28"/>
      <c r="ET134" s="28"/>
      <c r="EU134" s="28"/>
      <c r="EV134" s="28"/>
      <c r="EW134" s="28"/>
      <c r="EX134" s="28"/>
      <c r="EY134" s="28"/>
      <c r="EZ134" s="28"/>
      <c r="FA134" s="28"/>
      <c r="FB134" s="28">
        <v>10</v>
      </c>
      <c r="FC134" s="28"/>
      <c r="FD134" s="28"/>
      <c r="FE134" s="28"/>
      <c r="FF134" s="28">
        <v>1</v>
      </c>
      <c r="FG134" s="28"/>
      <c r="FH134" s="28"/>
      <c r="FI134" s="28"/>
      <c r="FJ134" s="28"/>
      <c r="FK134" s="28"/>
      <c r="FL134" s="28"/>
      <c r="FM134" s="28"/>
      <c r="FN134" s="28"/>
      <c r="FO134" s="28"/>
      <c r="FP134" s="28"/>
      <c r="FQ134" s="28"/>
      <c r="FR134" s="28"/>
      <c r="FS134" s="28">
        <v>7</v>
      </c>
      <c r="FT134" s="28"/>
      <c r="FU134" s="28"/>
      <c r="FV134" s="28"/>
      <c r="FW134" s="28"/>
      <c r="FX134" s="28"/>
      <c r="FY134" s="28"/>
      <c r="FZ134" s="28"/>
      <c r="GA134" s="28"/>
      <c r="GB134" s="28"/>
      <c r="GC134" s="28"/>
      <c r="GD134" s="28"/>
      <c r="GE134" s="28"/>
      <c r="GF134" s="28"/>
      <c r="GG134" s="28"/>
      <c r="GH134" s="28"/>
      <c r="GI134" s="28"/>
      <c r="GJ134" s="28"/>
      <c r="GK134" s="28"/>
      <c r="GL134" s="28"/>
      <c r="GM134" s="28"/>
      <c r="GN134" s="28"/>
      <c r="GO134" s="28"/>
      <c r="GP134" s="28"/>
      <c r="GQ134" s="28"/>
      <c r="GR134" s="28"/>
      <c r="GS134" s="28"/>
      <c r="GT134" s="28"/>
      <c r="GU134" s="28"/>
      <c r="GV134" s="28"/>
      <c r="GW134" s="28"/>
      <c r="GX134" s="28"/>
      <c r="GY134" s="28"/>
      <c r="GZ134" s="28"/>
      <c r="HA134" s="28"/>
      <c r="HB134" s="28"/>
      <c r="HC134" s="28"/>
      <c r="HD134" s="28"/>
      <c r="HE134" s="28"/>
      <c r="HF134" s="28"/>
      <c r="HG134" s="28"/>
      <c r="HH134" s="28"/>
      <c r="HI134" s="28"/>
    </row>
    <row r="135" spans="1:217" ht="13" x14ac:dyDescent="0.15">
      <c r="A135" s="27">
        <v>42866</v>
      </c>
      <c r="B135" s="28" t="s">
        <v>377</v>
      </c>
      <c r="C135" s="16">
        <f t="shared" si="13"/>
        <v>129</v>
      </c>
      <c r="D135" s="28">
        <v>20.704999999999998</v>
      </c>
      <c r="E135" s="28">
        <v>-156.446945</v>
      </c>
      <c r="F135" s="28" t="s">
        <v>378</v>
      </c>
      <c r="G135" s="29">
        <v>0.36458333333333331</v>
      </c>
      <c r="H135" s="29">
        <v>0.44791666666666669</v>
      </c>
      <c r="I135" s="28">
        <v>11</v>
      </c>
      <c r="J135" s="28">
        <v>20</v>
      </c>
      <c r="K135" s="28" t="s">
        <v>227</v>
      </c>
      <c r="L135" s="28">
        <v>7</v>
      </c>
      <c r="M135" s="28">
        <v>7</v>
      </c>
      <c r="N135" s="28" t="s">
        <v>485</v>
      </c>
      <c r="O135" s="28"/>
      <c r="P135" s="28"/>
      <c r="Q135" s="28"/>
      <c r="R135" s="28">
        <v>7</v>
      </c>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v>2</v>
      </c>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c r="CK135" s="28">
        <v>24</v>
      </c>
      <c r="CL135" s="28"/>
      <c r="CM135" s="28"/>
      <c r="CN135" s="28"/>
      <c r="CO135" s="28"/>
      <c r="CP135" s="28"/>
      <c r="CQ135" s="28"/>
      <c r="CR135" s="28"/>
      <c r="CS135" s="28"/>
      <c r="CT135" s="28"/>
      <c r="CU135" s="28"/>
      <c r="CV135" s="28"/>
      <c r="CW135" s="28"/>
      <c r="CX135" s="28"/>
      <c r="CY135" s="28"/>
      <c r="CZ135" s="28"/>
      <c r="DA135" s="28"/>
      <c r="DB135" s="28"/>
      <c r="DC135" s="28"/>
      <c r="DD135" s="28"/>
      <c r="DE135" s="28"/>
      <c r="DF135" s="28"/>
      <c r="DG135" s="28"/>
      <c r="DH135" s="28">
        <v>4</v>
      </c>
      <c r="DI135" s="28"/>
      <c r="DJ135" s="28"/>
      <c r="DK135" s="28"/>
      <c r="DL135" s="28"/>
      <c r="DM135" s="28"/>
      <c r="DN135" s="28"/>
      <c r="DO135" s="28"/>
      <c r="DP135" s="28"/>
      <c r="DQ135" s="28"/>
      <c r="DR135" s="28"/>
      <c r="DS135" s="28"/>
      <c r="DT135" s="28"/>
      <c r="DU135" s="28"/>
      <c r="DV135" s="28"/>
      <c r="DW135" s="28"/>
      <c r="DX135" s="28"/>
      <c r="DY135" s="28"/>
      <c r="DZ135" s="28"/>
      <c r="EA135" s="28"/>
      <c r="EB135" s="28"/>
      <c r="EC135" s="28"/>
      <c r="ED135" s="28"/>
      <c r="EE135" s="28"/>
      <c r="EF135" s="28"/>
      <c r="EG135" s="28"/>
      <c r="EH135" s="28"/>
      <c r="EI135" s="28"/>
      <c r="EJ135" s="28"/>
      <c r="EK135" s="28"/>
      <c r="EL135" s="28"/>
      <c r="EM135" s="28"/>
      <c r="EN135" s="28"/>
      <c r="EO135" s="28"/>
      <c r="EP135" s="28"/>
      <c r="EQ135" s="28"/>
      <c r="ER135" s="28"/>
      <c r="ES135" s="28"/>
      <c r="ET135" s="28"/>
      <c r="EU135" s="28"/>
      <c r="EV135" s="28"/>
      <c r="EW135" s="28"/>
      <c r="EX135" s="28">
        <v>3</v>
      </c>
      <c r="EY135" s="28"/>
      <c r="EZ135" s="28"/>
      <c r="FA135" s="28"/>
      <c r="FB135" s="28"/>
      <c r="FC135" s="28"/>
      <c r="FD135" s="28"/>
      <c r="FE135" s="28"/>
      <c r="FF135" s="28"/>
      <c r="FG135" s="28"/>
      <c r="FH135" s="28"/>
      <c r="FI135" s="28"/>
      <c r="FJ135" s="28"/>
      <c r="FK135" s="28"/>
      <c r="FL135" s="28"/>
      <c r="FM135" s="28"/>
      <c r="FN135" s="28"/>
      <c r="FO135" s="28"/>
      <c r="FP135" s="28"/>
      <c r="FQ135" s="28"/>
      <c r="FR135" s="28"/>
      <c r="FS135" s="28"/>
      <c r="FT135" s="28"/>
      <c r="FU135" s="28"/>
      <c r="FV135" s="28"/>
      <c r="FW135" s="28"/>
      <c r="FX135" s="28"/>
      <c r="FY135" s="28"/>
      <c r="FZ135" s="28"/>
      <c r="GA135" s="28"/>
      <c r="GB135" s="28"/>
      <c r="GC135" s="28"/>
      <c r="GD135" s="28">
        <v>10</v>
      </c>
      <c r="GE135" s="28"/>
      <c r="GF135" s="28"/>
      <c r="GG135" s="28"/>
      <c r="GH135" s="28"/>
      <c r="GI135" s="28"/>
      <c r="GJ135" s="28"/>
      <c r="GK135" s="28"/>
      <c r="GL135" s="28"/>
      <c r="GM135" s="28"/>
      <c r="GN135" s="28"/>
      <c r="GO135" s="28"/>
      <c r="GP135" s="28"/>
      <c r="GQ135" s="28"/>
      <c r="GR135" s="28"/>
      <c r="GS135" s="28"/>
      <c r="GT135" s="28"/>
      <c r="GU135" s="28"/>
      <c r="GV135" s="28"/>
      <c r="GW135" s="28"/>
      <c r="GX135" s="28"/>
      <c r="GY135" s="28"/>
      <c r="GZ135" s="28"/>
      <c r="HA135" s="28"/>
      <c r="HB135" s="28"/>
      <c r="HC135" s="28"/>
      <c r="HD135" s="28"/>
      <c r="HE135" s="28"/>
      <c r="HF135" s="28"/>
      <c r="HG135" s="28"/>
      <c r="HH135" s="28"/>
      <c r="HI135" s="28"/>
    </row>
    <row r="136" spans="1:217" ht="13" x14ac:dyDescent="0.15">
      <c r="A136" s="13">
        <v>42867</v>
      </c>
      <c r="B136" s="3" t="s">
        <v>216</v>
      </c>
      <c r="C136" s="16">
        <f t="shared" si="13"/>
        <v>130</v>
      </c>
      <c r="D136" s="3">
        <v>21.3002</v>
      </c>
      <c r="E136" s="3">
        <v>-157.882599</v>
      </c>
      <c r="F136" s="3" t="s">
        <v>299</v>
      </c>
      <c r="G136" s="14">
        <v>0.45833333333333331</v>
      </c>
      <c r="H136" s="14">
        <v>0.51041666666666663</v>
      </c>
      <c r="I136" s="3">
        <v>4</v>
      </c>
      <c r="J136" s="3">
        <v>20</v>
      </c>
      <c r="K136" s="3" t="s">
        <v>217</v>
      </c>
      <c r="L136" s="3">
        <v>10</v>
      </c>
      <c r="M136" s="3">
        <v>32</v>
      </c>
      <c r="N136" s="3" t="s">
        <v>404</v>
      </c>
      <c r="P136" s="3">
        <v>32</v>
      </c>
      <c r="S136" s="3">
        <v>2</v>
      </c>
      <c r="AI136" s="3">
        <v>1</v>
      </c>
      <c r="AM136" s="3">
        <v>6</v>
      </c>
      <c r="BM136" s="3">
        <v>45</v>
      </c>
      <c r="BN136" s="3">
        <v>16</v>
      </c>
      <c r="BQ136" s="3">
        <v>7</v>
      </c>
      <c r="CC136" s="3">
        <v>2</v>
      </c>
      <c r="DS136" s="3">
        <v>6</v>
      </c>
      <c r="EC136" s="3">
        <v>17</v>
      </c>
      <c r="EJ136" s="3">
        <v>2</v>
      </c>
      <c r="FJ136" s="3"/>
      <c r="FK136" s="3"/>
      <c r="FL136" s="3">
        <v>1</v>
      </c>
      <c r="FR136" s="3">
        <v>4</v>
      </c>
      <c r="FS136" s="3">
        <v>455</v>
      </c>
      <c r="GH136" s="3">
        <f>COUNT(R136:GG136)</f>
        <v>13</v>
      </c>
      <c r="GI136" s="3">
        <f>COUNTIF(R136:GG136,"&gt;=2")</f>
        <v>11</v>
      </c>
      <c r="GJ136" s="3">
        <f>COUNTIF(R136:GG136,"&gt;=5")</f>
        <v>7</v>
      </c>
      <c r="GK136" s="3">
        <f>SUM(R136:GG136)</f>
        <v>564</v>
      </c>
      <c r="GL136" s="3">
        <f>25*P136</f>
        <v>800</v>
      </c>
      <c r="GM136" s="3">
        <f>GL136-GK136</f>
        <v>236</v>
      </c>
    </row>
    <row r="137" spans="1:217" ht="13" x14ac:dyDescent="0.15">
      <c r="A137" s="27">
        <v>42874</v>
      </c>
      <c r="B137" s="28" t="s">
        <v>400</v>
      </c>
      <c r="C137" s="16">
        <f t="shared" si="13"/>
        <v>131</v>
      </c>
      <c r="D137" s="28">
        <v>21.900562000000001</v>
      </c>
      <c r="E137" s="28">
        <v>-159.60981799999999</v>
      </c>
      <c r="F137" s="28" t="s">
        <v>401</v>
      </c>
      <c r="G137" s="29">
        <v>0.36249999999999999</v>
      </c>
      <c r="H137" s="29">
        <v>0.41111111111111109</v>
      </c>
      <c r="I137" s="28">
        <v>6</v>
      </c>
      <c r="J137" s="28">
        <v>15</v>
      </c>
      <c r="K137" s="28" t="s">
        <v>198</v>
      </c>
      <c r="L137" s="28">
        <v>5</v>
      </c>
      <c r="M137" s="28">
        <v>22</v>
      </c>
      <c r="N137" s="28" t="s">
        <v>490</v>
      </c>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c r="BV137" s="28">
        <v>61</v>
      </c>
      <c r="BW137" s="28"/>
      <c r="BX137" s="28"/>
      <c r="BY137" s="28"/>
      <c r="BZ137" s="28"/>
      <c r="CA137" s="28"/>
      <c r="CB137" s="28"/>
      <c r="CC137" s="28"/>
      <c r="CD137" s="28">
        <v>1</v>
      </c>
      <c r="CE137" s="28"/>
      <c r="CF137" s="28"/>
      <c r="CG137" s="28"/>
      <c r="CH137" s="28">
        <v>25</v>
      </c>
      <c r="CI137" s="28"/>
      <c r="CJ137" s="28"/>
      <c r="CK137" s="28"/>
      <c r="CL137" s="28"/>
      <c r="CM137" s="28"/>
      <c r="CN137" s="28"/>
      <c r="CO137" s="28"/>
      <c r="CP137" s="28"/>
      <c r="CQ137" s="28"/>
      <c r="CR137" s="28"/>
      <c r="CS137" s="28"/>
      <c r="CT137" s="28"/>
      <c r="CU137" s="28"/>
      <c r="CV137" s="28">
        <v>2</v>
      </c>
      <c r="CW137" s="28"/>
      <c r="CX137" s="28"/>
      <c r="CY137" s="28"/>
      <c r="CZ137" s="28"/>
      <c r="DA137" s="28"/>
      <c r="DB137" s="28"/>
      <c r="DC137" s="28"/>
      <c r="DD137" s="28"/>
      <c r="DE137" s="28"/>
      <c r="DF137" s="28"/>
      <c r="DG137" s="28"/>
      <c r="DH137" s="28"/>
      <c r="DI137" s="28"/>
      <c r="DJ137" s="28"/>
      <c r="DK137" s="28"/>
      <c r="DL137" s="28"/>
      <c r="DM137" s="28"/>
      <c r="DN137" s="28"/>
      <c r="DO137" s="28"/>
      <c r="DP137" s="28"/>
      <c r="DQ137" s="28"/>
      <c r="DR137" s="28"/>
      <c r="DS137" s="28"/>
      <c r="DT137" s="28"/>
      <c r="DU137" s="28"/>
      <c r="DV137" s="28"/>
      <c r="DW137" s="28"/>
      <c r="DX137" s="28"/>
      <c r="DY137" s="28"/>
      <c r="DZ137" s="28"/>
      <c r="EA137" s="28"/>
      <c r="EB137" s="28"/>
      <c r="EC137" s="28"/>
      <c r="ED137" s="28"/>
      <c r="EE137" s="28"/>
      <c r="EF137" s="28"/>
      <c r="EG137" s="28"/>
      <c r="EH137" s="28"/>
      <c r="EI137" s="28"/>
      <c r="EJ137" s="28"/>
      <c r="EK137" s="28"/>
      <c r="EL137" s="28"/>
      <c r="EM137" s="28"/>
      <c r="EN137" s="28"/>
      <c r="EO137" s="28"/>
      <c r="EP137" s="28"/>
      <c r="EQ137" s="28"/>
      <c r="ER137" s="28"/>
      <c r="ES137" s="28"/>
      <c r="ET137" s="28"/>
      <c r="EU137" s="28"/>
      <c r="EV137" s="28"/>
      <c r="EW137" s="28"/>
      <c r="EX137" s="28">
        <v>3</v>
      </c>
      <c r="EY137" s="28"/>
      <c r="EZ137" s="28"/>
      <c r="FA137" s="28"/>
      <c r="FB137" s="28"/>
      <c r="FC137" s="28"/>
      <c r="FD137" s="28"/>
      <c r="FE137" s="28"/>
      <c r="FF137" s="28"/>
      <c r="FG137" s="28"/>
      <c r="FH137" s="28"/>
      <c r="FI137" s="28"/>
      <c r="FJ137" s="28"/>
      <c r="FK137" s="28"/>
      <c r="FL137" s="28"/>
      <c r="FM137" s="28"/>
      <c r="FN137" s="28"/>
      <c r="FO137" s="28"/>
      <c r="FP137" s="28"/>
      <c r="FQ137" s="28"/>
      <c r="FR137" s="28"/>
      <c r="FS137" s="28">
        <v>123</v>
      </c>
      <c r="FT137" s="28"/>
      <c r="FU137" s="28"/>
      <c r="FV137" s="28"/>
      <c r="FW137" s="28"/>
      <c r="FX137" s="28"/>
      <c r="FY137" s="28"/>
      <c r="FZ137" s="28"/>
      <c r="GA137" s="28"/>
      <c r="GB137" s="28"/>
      <c r="GC137" s="28"/>
      <c r="GD137" s="28"/>
      <c r="GE137" s="28"/>
      <c r="GF137" s="28">
        <v>11</v>
      </c>
      <c r="GG137" s="28"/>
      <c r="GH137" s="28"/>
      <c r="GI137" s="28"/>
      <c r="GJ137" s="28"/>
      <c r="GK137" s="28"/>
      <c r="GL137" s="28"/>
      <c r="GM137" s="28"/>
      <c r="GN137" s="28"/>
      <c r="GO137" s="28"/>
      <c r="GP137" s="28"/>
      <c r="GQ137" s="28"/>
      <c r="GR137" s="28"/>
      <c r="GS137" s="28"/>
      <c r="GT137" s="28"/>
      <c r="GU137" s="28"/>
      <c r="GV137" s="28"/>
      <c r="GW137" s="28"/>
      <c r="GX137" s="28"/>
      <c r="GY137" s="28"/>
      <c r="GZ137" s="28"/>
      <c r="HA137" s="28"/>
      <c r="HB137" s="28"/>
      <c r="HC137" s="28"/>
      <c r="HD137" s="28"/>
      <c r="HE137" s="28"/>
      <c r="HF137" s="28"/>
      <c r="HG137" s="28"/>
      <c r="HH137" s="28"/>
      <c r="HI137" s="28"/>
    </row>
    <row r="138" spans="1:217" ht="13" x14ac:dyDescent="0.15">
      <c r="A138" s="13">
        <v>42879</v>
      </c>
      <c r="B138" s="3" t="s">
        <v>247</v>
      </c>
      <c r="C138" s="16">
        <f t="shared" si="13"/>
        <v>132</v>
      </c>
      <c r="D138" s="3">
        <v>19.488199000000002</v>
      </c>
      <c r="E138" s="3">
        <v>-154.81930500000001</v>
      </c>
      <c r="F138" s="3" t="s">
        <v>289</v>
      </c>
      <c r="G138" s="14">
        <v>0.38541666666666669</v>
      </c>
      <c r="H138" s="14">
        <v>0.46875</v>
      </c>
      <c r="I138" s="3">
        <v>5</v>
      </c>
      <c r="J138" s="3">
        <v>20</v>
      </c>
      <c r="K138" s="3" t="s">
        <v>198</v>
      </c>
      <c r="L138" s="3">
        <v>5</v>
      </c>
      <c r="M138" s="3">
        <v>25</v>
      </c>
      <c r="P138" s="3">
        <v>25</v>
      </c>
      <c r="AF138" s="3">
        <v>3</v>
      </c>
      <c r="AI138" s="3">
        <v>1</v>
      </c>
      <c r="AM138" s="3">
        <v>22</v>
      </c>
      <c r="BM138" s="3">
        <v>22</v>
      </c>
      <c r="BN138" s="3">
        <v>3</v>
      </c>
      <c r="CC138" s="3">
        <v>3</v>
      </c>
      <c r="EK138" s="3">
        <v>2</v>
      </c>
      <c r="EP138" s="3">
        <v>2</v>
      </c>
      <c r="ER138" s="3">
        <v>4</v>
      </c>
      <c r="FF138" s="3">
        <v>1</v>
      </c>
      <c r="FI138" s="3">
        <v>1</v>
      </c>
      <c r="FM138" s="3">
        <v>15</v>
      </c>
      <c r="FS138" s="3">
        <v>514</v>
      </c>
      <c r="GH138" s="3">
        <f t="shared" ref="GH138:GH142" si="68">COUNT(R138:GG138)</f>
        <v>13</v>
      </c>
      <c r="GI138" s="3">
        <f t="shared" ref="GI138:GI142" si="69">COUNTIF(R138:GG138,"&gt;=2")</f>
        <v>10</v>
      </c>
      <c r="GJ138" s="3">
        <f t="shared" ref="GJ138:GJ142" si="70">COUNTIF(R138:GG138,"&gt;=5")</f>
        <v>4</v>
      </c>
      <c r="GK138" s="3">
        <f t="shared" ref="GK138:GK142" si="71">SUM(R138:GG138)</f>
        <v>593</v>
      </c>
      <c r="GL138" s="3">
        <f t="shared" ref="GL138:GL142" si="72">25*P138</f>
        <v>625</v>
      </c>
      <c r="GM138" s="3">
        <f t="shared" ref="GM138:GM142" si="73">GL138-GK138</f>
        <v>32</v>
      </c>
    </row>
    <row r="139" spans="1:217" ht="13" x14ac:dyDescent="0.15">
      <c r="A139" s="13">
        <v>42908</v>
      </c>
      <c r="B139" s="3" t="s">
        <v>246</v>
      </c>
      <c r="C139" s="16">
        <f t="shared" si="13"/>
        <v>133</v>
      </c>
      <c r="D139" s="3">
        <v>21.2882</v>
      </c>
      <c r="E139" s="3">
        <v>-157.66799900000001</v>
      </c>
      <c r="F139" s="3" t="s">
        <v>197</v>
      </c>
      <c r="G139" s="14">
        <v>0.31944444444444442</v>
      </c>
      <c r="H139" s="14">
        <v>0.39583333333333331</v>
      </c>
      <c r="I139" s="3">
        <v>3</v>
      </c>
      <c r="J139" s="3">
        <v>20</v>
      </c>
      <c r="K139" s="3" t="s">
        <v>217</v>
      </c>
      <c r="L139" s="3">
        <v>10</v>
      </c>
      <c r="M139" s="3">
        <v>26</v>
      </c>
      <c r="N139" s="3" t="s">
        <v>405</v>
      </c>
      <c r="P139" s="3">
        <v>26</v>
      </c>
      <c r="U139" s="3">
        <v>1</v>
      </c>
      <c r="W139" s="3"/>
      <c r="X139" s="3">
        <v>1</v>
      </c>
      <c r="AB139" s="3">
        <v>111</v>
      </c>
      <c r="AH139" s="3">
        <v>3</v>
      </c>
      <c r="AM139" s="3">
        <v>4</v>
      </c>
      <c r="AW139" s="3">
        <v>10</v>
      </c>
      <c r="BA139" s="3"/>
      <c r="BB139" s="3">
        <v>1</v>
      </c>
      <c r="BD139" s="3">
        <v>3</v>
      </c>
      <c r="BF139" s="3">
        <v>9</v>
      </c>
      <c r="BK139" s="3">
        <v>16</v>
      </c>
      <c r="BM139" s="3">
        <v>7</v>
      </c>
      <c r="BN139" s="3">
        <v>18</v>
      </c>
      <c r="BQ139" s="3">
        <v>4</v>
      </c>
      <c r="BZ139" s="3">
        <v>22</v>
      </c>
      <c r="CC139" s="3">
        <v>1</v>
      </c>
      <c r="CG139" s="3"/>
      <c r="CH139" s="3">
        <v>4</v>
      </c>
      <c r="CK139" s="3">
        <v>42</v>
      </c>
      <c r="CL139" s="3">
        <v>3</v>
      </c>
      <c r="CQ139" s="3"/>
      <c r="CR139" s="3">
        <v>3</v>
      </c>
      <c r="CU139" s="3">
        <v>2</v>
      </c>
      <c r="DE139" s="3">
        <v>2</v>
      </c>
      <c r="DG139" s="3">
        <v>1</v>
      </c>
      <c r="DM139" s="3">
        <v>8</v>
      </c>
      <c r="DN139" s="3">
        <v>3</v>
      </c>
      <c r="DO139" s="3">
        <v>3</v>
      </c>
      <c r="DU139" s="3"/>
      <c r="DV139" s="3">
        <v>27</v>
      </c>
      <c r="EJ139" s="3">
        <v>1</v>
      </c>
      <c r="EK139" s="3">
        <v>3</v>
      </c>
      <c r="EL139" s="3"/>
      <c r="EM139" s="3">
        <v>1</v>
      </c>
      <c r="ET139" s="3"/>
      <c r="EU139" s="3"/>
      <c r="EV139" s="3">
        <v>52</v>
      </c>
      <c r="FD139" s="3"/>
      <c r="FE139" s="3">
        <v>1</v>
      </c>
      <c r="FF139" s="3">
        <v>3</v>
      </c>
      <c r="FM139" s="3">
        <v>7</v>
      </c>
      <c r="FR139" s="3">
        <v>3</v>
      </c>
      <c r="FS139" s="3">
        <v>218</v>
      </c>
      <c r="FX139" s="3"/>
      <c r="FY139" s="3">
        <v>1</v>
      </c>
      <c r="GE139" s="3">
        <v>6</v>
      </c>
      <c r="GH139" s="3">
        <f t="shared" si="68"/>
        <v>37</v>
      </c>
      <c r="GI139" s="3">
        <f t="shared" si="69"/>
        <v>28</v>
      </c>
      <c r="GJ139" s="3">
        <f t="shared" si="70"/>
        <v>14</v>
      </c>
      <c r="GK139" s="3">
        <f t="shared" si="71"/>
        <v>605</v>
      </c>
      <c r="GL139" s="3">
        <f t="shared" si="72"/>
        <v>650</v>
      </c>
      <c r="GM139" s="3">
        <f t="shared" si="73"/>
        <v>45</v>
      </c>
    </row>
    <row r="140" spans="1:217" ht="13" x14ac:dyDescent="0.15">
      <c r="A140" s="13">
        <v>42910</v>
      </c>
      <c r="B140" s="3" t="s">
        <v>219</v>
      </c>
      <c r="C140" s="16">
        <f t="shared" si="13"/>
        <v>134</v>
      </c>
      <c r="D140" s="3">
        <v>21.295798999999999</v>
      </c>
      <c r="E140" s="3">
        <v>-158.10369900000001</v>
      </c>
      <c r="F140" s="3" t="s">
        <v>197</v>
      </c>
      <c r="G140" s="14">
        <v>0.34722222222222221</v>
      </c>
      <c r="H140" s="14">
        <v>0.45833333333333331</v>
      </c>
      <c r="I140" s="3">
        <v>4</v>
      </c>
      <c r="J140" s="3">
        <v>24</v>
      </c>
      <c r="K140" s="3" t="s">
        <v>227</v>
      </c>
      <c r="L140" s="3">
        <v>8</v>
      </c>
      <c r="M140" s="3">
        <v>27</v>
      </c>
      <c r="N140" s="3" t="s">
        <v>406</v>
      </c>
      <c r="P140" s="3">
        <v>27</v>
      </c>
      <c r="R140" s="3">
        <v>6</v>
      </c>
      <c r="W140" s="3"/>
      <c r="X140" s="3">
        <v>3</v>
      </c>
      <c r="AB140" s="3">
        <v>27</v>
      </c>
      <c r="AE140" s="3">
        <v>1</v>
      </c>
      <c r="AI140" s="3">
        <v>8</v>
      </c>
      <c r="AM140" s="3">
        <v>10</v>
      </c>
      <c r="AW140" s="3">
        <v>3</v>
      </c>
      <c r="BA140" s="3">
        <v>7</v>
      </c>
      <c r="BB140" s="3">
        <v>42</v>
      </c>
      <c r="BC140" s="3">
        <v>3</v>
      </c>
      <c r="BD140" s="3">
        <v>5</v>
      </c>
      <c r="BE140" s="3">
        <v>2</v>
      </c>
      <c r="BH140" s="3">
        <v>2</v>
      </c>
      <c r="BM140" s="3">
        <v>7</v>
      </c>
      <c r="BN140" s="3">
        <v>4</v>
      </c>
      <c r="BQ140" s="3">
        <v>6</v>
      </c>
      <c r="BV140" s="3">
        <v>8</v>
      </c>
      <c r="BW140" s="3">
        <v>10</v>
      </c>
      <c r="BX140" s="3">
        <v>3</v>
      </c>
      <c r="BY140" s="3">
        <v>4</v>
      </c>
      <c r="BZ140" s="3">
        <v>34</v>
      </c>
      <c r="CQ140" s="3"/>
      <c r="CR140" s="3">
        <v>6</v>
      </c>
      <c r="CS140" s="3">
        <v>29</v>
      </c>
      <c r="DA140" s="3">
        <v>1</v>
      </c>
      <c r="DD140" s="3">
        <v>4</v>
      </c>
      <c r="DE140" s="3">
        <v>6</v>
      </c>
      <c r="DG140" s="3">
        <v>20</v>
      </c>
      <c r="DJ140" s="3">
        <v>1</v>
      </c>
      <c r="DK140" s="3">
        <v>6</v>
      </c>
      <c r="DL140" s="3">
        <v>28</v>
      </c>
      <c r="DM140" s="3">
        <v>105</v>
      </c>
      <c r="DO140" s="3">
        <v>2</v>
      </c>
      <c r="DQ140" s="3">
        <v>5</v>
      </c>
      <c r="DS140" s="3">
        <v>1</v>
      </c>
      <c r="DU140" s="3"/>
      <c r="DV140" s="3">
        <v>2</v>
      </c>
      <c r="EC140" s="3">
        <v>3</v>
      </c>
      <c r="EJ140" s="3">
        <v>61</v>
      </c>
      <c r="EK140" s="3">
        <v>23</v>
      </c>
      <c r="EL140" s="3">
        <v>4</v>
      </c>
      <c r="ET140" s="3">
        <v>2</v>
      </c>
      <c r="FA140" s="3">
        <v>9</v>
      </c>
      <c r="FB140" s="3">
        <v>38</v>
      </c>
      <c r="FD140" s="3"/>
      <c r="FE140" s="3">
        <v>1</v>
      </c>
      <c r="FF140" s="3">
        <v>21</v>
      </c>
      <c r="FI140" s="3">
        <v>9</v>
      </c>
      <c r="FM140" s="3">
        <v>3</v>
      </c>
      <c r="FR140" s="3">
        <v>2</v>
      </c>
      <c r="FS140" s="3">
        <v>18</v>
      </c>
      <c r="FX140" s="3"/>
      <c r="FY140" s="3">
        <v>7</v>
      </c>
      <c r="GH140" s="3">
        <f t="shared" si="68"/>
        <v>49</v>
      </c>
      <c r="GI140" s="3">
        <f t="shared" si="69"/>
        <v>44</v>
      </c>
      <c r="GJ140" s="3">
        <f t="shared" si="70"/>
        <v>28</v>
      </c>
      <c r="GK140" s="3">
        <f t="shared" si="71"/>
        <v>612</v>
      </c>
      <c r="GL140" s="3">
        <f t="shared" si="72"/>
        <v>675</v>
      </c>
      <c r="GM140" s="3">
        <f t="shared" si="73"/>
        <v>63</v>
      </c>
    </row>
    <row r="141" spans="1:217" ht="13" x14ac:dyDescent="0.15">
      <c r="A141" s="13">
        <v>42911</v>
      </c>
      <c r="B141" s="3" t="s">
        <v>250</v>
      </c>
      <c r="C141" s="16">
        <f t="shared" si="13"/>
        <v>135</v>
      </c>
      <c r="D141" s="3">
        <v>21.410399999999999</v>
      </c>
      <c r="E141" s="3">
        <v>-158.17770400000001</v>
      </c>
      <c r="F141" s="3" t="s">
        <v>197</v>
      </c>
      <c r="G141" s="14">
        <v>0.375</v>
      </c>
      <c r="H141" s="14">
        <v>0.45833333333333331</v>
      </c>
      <c r="I141" s="3">
        <v>3</v>
      </c>
      <c r="J141" s="3">
        <v>33</v>
      </c>
      <c r="K141" s="3" t="s">
        <v>227</v>
      </c>
      <c r="L141" s="3">
        <v>12</v>
      </c>
      <c r="M141" s="3">
        <v>26</v>
      </c>
      <c r="N141" s="3" t="s">
        <v>407</v>
      </c>
      <c r="P141" s="3">
        <v>26</v>
      </c>
      <c r="R141" s="3">
        <v>159</v>
      </c>
      <c r="AB141" s="3">
        <v>5</v>
      </c>
      <c r="AD141" s="3">
        <v>7</v>
      </c>
      <c r="AM141" s="3">
        <v>1</v>
      </c>
      <c r="AW141" s="3">
        <v>2</v>
      </c>
      <c r="AY141" s="3">
        <v>1</v>
      </c>
      <c r="BB141" s="3">
        <v>5</v>
      </c>
      <c r="BK141" s="3">
        <v>2</v>
      </c>
      <c r="BM141" s="3">
        <v>8</v>
      </c>
      <c r="BN141" s="3">
        <v>7</v>
      </c>
      <c r="BQ141" s="3">
        <v>6</v>
      </c>
      <c r="BZ141" s="3">
        <v>42</v>
      </c>
      <c r="CC141" s="3">
        <v>2</v>
      </c>
      <c r="CD141" s="3">
        <v>1</v>
      </c>
      <c r="CJ141" s="3">
        <v>10</v>
      </c>
      <c r="CK141" s="3">
        <v>64</v>
      </c>
      <c r="CL141" s="3">
        <v>11</v>
      </c>
      <c r="CN141" s="3">
        <v>6</v>
      </c>
      <c r="CO141" s="3">
        <v>29</v>
      </c>
      <c r="CQ141" s="3">
        <v>1</v>
      </c>
      <c r="DA141" s="3">
        <v>1</v>
      </c>
      <c r="DE141" s="3">
        <v>1</v>
      </c>
      <c r="DF141" s="3">
        <v>8</v>
      </c>
      <c r="DG141" s="3">
        <v>30</v>
      </c>
      <c r="DM141" s="3">
        <v>34</v>
      </c>
      <c r="EK141" s="3">
        <v>1</v>
      </c>
      <c r="EL141" s="3">
        <v>1</v>
      </c>
      <c r="EU141" s="3"/>
      <c r="EV141" s="3">
        <v>25</v>
      </c>
      <c r="EX141" s="3">
        <v>150</v>
      </c>
      <c r="FJ141" s="3"/>
      <c r="FK141" s="3"/>
      <c r="FL141" s="3">
        <v>1</v>
      </c>
      <c r="FS141" s="3">
        <v>13</v>
      </c>
      <c r="FT141" s="3">
        <v>2</v>
      </c>
      <c r="GH141" s="3">
        <f t="shared" si="68"/>
        <v>32</v>
      </c>
      <c r="GI141" s="3">
        <f t="shared" si="69"/>
        <v>23</v>
      </c>
      <c r="GJ141" s="3">
        <f t="shared" si="70"/>
        <v>19</v>
      </c>
      <c r="GK141" s="3">
        <f t="shared" si="71"/>
        <v>636</v>
      </c>
      <c r="GL141" s="3">
        <f t="shared" si="72"/>
        <v>650</v>
      </c>
      <c r="GM141" s="3">
        <f t="shared" si="73"/>
        <v>14</v>
      </c>
    </row>
    <row r="142" spans="1:217" ht="13" x14ac:dyDescent="0.15">
      <c r="A142" s="13">
        <v>43134</v>
      </c>
      <c r="B142" s="3" t="s">
        <v>201</v>
      </c>
      <c r="C142" s="16">
        <f t="shared" si="13"/>
        <v>136</v>
      </c>
      <c r="D142" s="3">
        <v>21.25544</v>
      </c>
      <c r="E142" s="3">
        <v>-157.810303</v>
      </c>
      <c r="F142" s="3" t="s">
        <v>197</v>
      </c>
      <c r="G142" s="14">
        <v>0.48958333333333331</v>
      </c>
      <c r="H142" s="14">
        <v>0.5625</v>
      </c>
      <c r="I142" s="3">
        <v>3</v>
      </c>
      <c r="J142" s="3">
        <v>13</v>
      </c>
      <c r="K142" s="3" t="s">
        <v>198</v>
      </c>
      <c r="L142" s="3">
        <v>13</v>
      </c>
      <c r="M142" s="3">
        <v>35</v>
      </c>
      <c r="N142" s="3" t="s">
        <v>408</v>
      </c>
      <c r="P142" s="3">
        <v>35</v>
      </c>
      <c r="R142" s="3">
        <v>11</v>
      </c>
      <c r="AE142" s="3">
        <v>1</v>
      </c>
      <c r="AF142" s="3">
        <v>1</v>
      </c>
      <c r="AI142" s="3">
        <v>4</v>
      </c>
      <c r="BE142" s="3">
        <v>3</v>
      </c>
      <c r="BM142" s="3">
        <v>29</v>
      </c>
      <c r="BQ142" s="3">
        <v>8</v>
      </c>
      <c r="BV142" s="3">
        <v>6</v>
      </c>
      <c r="BY142" s="3">
        <v>10</v>
      </c>
      <c r="BZ142" s="3">
        <v>6</v>
      </c>
      <c r="CP142" s="3"/>
      <c r="CQ142" s="3"/>
      <c r="CR142" s="3"/>
      <c r="CS142" s="3">
        <v>4</v>
      </c>
      <c r="DF142" s="3"/>
      <c r="DG142" s="3">
        <v>1</v>
      </c>
      <c r="DM142" s="3">
        <v>58</v>
      </c>
      <c r="DR142" s="3"/>
      <c r="DS142" s="3">
        <v>28</v>
      </c>
      <c r="DT142" s="3"/>
      <c r="DU142" s="3"/>
      <c r="DV142" s="3">
        <v>9</v>
      </c>
      <c r="EA142" s="3">
        <v>1</v>
      </c>
      <c r="EC142" s="3">
        <v>3</v>
      </c>
      <c r="EE142" s="3"/>
      <c r="EF142" s="3"/>
      <c r="EG142" s="3"/>
      <c r="EH142" s="3"/>
      <c r="EI142" s="3"/>
      <c r="EJ142" s="3">
        <v>145</v>
      </c>
      <c r="EL142" s="3"/>
      <c r="EM142" s="3"/>
      <c r="EN142" s="3">
        <v>4</v>
      </c>
      <c r="FB142" s="3">
        <v>47</v>
      </c>
      <c r="FC142" s="3">
        <v>2</v>
      </c>
      <c r="FI142" s="3">
        <v>5</v>
      </c>
      <c r="FR142" s="3">
        <v>84</v>
      </c>
      <c r="FS142" s="3">
        <v>139</v>
      </c>
      <c r="GG142" s="3">
        <v>1</v>
      </c>
      <c r="GH142" s="3">
        <f t="shared" si="68"/>
        <v>25</v>
      </c>
      <c r="GI142" s="3">
        <f t="shared" si="69"/>
        <v>20</v>
      </c>
      <c r="GJ142" s="3">
        <f t="shared" si="70"/>
        <v>14</v>
      </c>
      <c r="GK142" s="3">
        <f t="shared" si="71"/>
        <v>610</v>
      </c>
      <c r="GL142" s="3">
        <f t="shared" si="72"/>
        <v>875</v>
      </c>
      <c r="GM142" s="3">
        <f t="shared" si="73"/>
        <v>265</v>
      </c>
    </row>
    <row r="143" spans="1:217" ht="13" x14ac:dyDescent="0.15">
      <c r="A143" s="19">
        <v>43147</v>
      </c>
      <c r="B143" s="20" t="s">
        <v>201</v>
      </c>
      <c r="C143" s="16">
        <f t="shared" si="13"/>
        <v>137</v>
      </c>
      <c r="D143" s="20">
        <v>21.25544</v>
      </c>
      <c r="E143" s="20">
        <v>-157.810303</v>
      </c>
      <c r="F143" s="20" t="s">
        <v>389</v>
      </c>
      <c r="G143" s="21">
        <v>0.45833333333333331</v>
      </c>
      <c r="H143" s="21">
        <v>0.52083333333333337</v>
      </c>
      <c r="I143" s="20">
        <v>10</v>
      </c>
      <c r="J143" s="20">
        <v>15</v>
      </c>
      <c r="K143" s="20" t="s">
        <v>198</v>
      </c>
      <c r="L143" s="20">
        <v>5</v>
      </c>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c r="DB143" s="20"/>
      <c r="DC143" s="20"/>
      <c r="DD143" s="20"/>
      <c r="DE143" s="20"/>
      <c r="DF143" s="20"/>
      <c r="DG143" s="20"/>
      <c r="DH143" s="20"/>
      <c r="DI143" s="20"/>
      <c r="DJ143" s="20"/>
      <c r="DK143" s="20"/>
      <c r="DL143" s="20"/>
      <c r="DM143" s="20"/>
      <c r="DN143" s="20"/>
      <c r="DO143" s="20"/>
      <c r="DP143" s="20"/>
      <c r="DQ143" s="20"/>
      <c r="DR143" s="20"/>
      <c r="DS143" s="20"/>
      <c r="DT143" s="20"/>
      <c r="DU143" s="20"/>
      <c r="DV143" s="20"/>
      <c r="DW143" s="20"/>
      <c r="DX143" s="20"/>
      <c r="DY143" s="20"/>
      <c r="DZ143" s="20"/>
      <c r="EA143" s="20"/>
      <c r="EB143" s="20"/>
      <c r="EC143" s="20"/>
      <c r="ED143" s="20"/>
      <c r="EE143" s="20"/>
      <c r="EF143" s="20"/>
      <c r="EG143" s="20"/>
      <c r="EH143" s="20"/>
      <c r="EI143" s="20"/>
      <c r="EJ143" s="20"/>
      <c r="EK143" s="20"/>
      <c r="EL143" s="20"/>
      <c r="EM143" s="20"/>
      <c r="EN143" s="20"/>
      <c r="EO143" s="20"/>
      <c r="EP143" s="20"/>
      <c r="EQ143" s="20"/>
      <c r="ER143" s="20"/>
      <c r="ES143" s="20"/>
      <c r="ET143" s="20"/>
      <c r="EU143" s="20"/>
      <c r="EV143" s="20"/>
      <c r="EW143" s="20"/>
      <c r="EX143" s="20"/>
      <c r="EY143" s="20"/>
      <c r="EZ143" s="20"/>
      <c r="FA143" s="20"/>
      <c r="FB143" s="20"/>
      <c r="FC143" s="20"/>
      <c r="FD143" s="20"/>
      <c r="FE143" s="20"/>
      <c r="FF143" s="20"/>
      <c r="FG143" s="20"/>
      <c r="FH143" s="20"/>
      <c r="FI143" s="20"/>
      <c r="FJ143" s="20"/>
      <c r="FK143" s="20"/>
      <c r="FL143" s="20"/>
      <c r="FM143" s="20"/>
      <c r="FN143" s="20"/>
      <c r="FO143" s="20"/>
      <c r="FP143" s="20"/>
      <c r="FQ143" s="20"/>
      <c r="FR143" s="20"/>
      <c r="FS143" s="20"/>
      <c r="FT143" s="20"/>
      <c r="FU143" s="20"/>
      <c r="FV143" s="20"/>
      <c r="FW143" s="20"/>
      <c r="FX143" s="20"/>
      <c r="FY143" s="20"/>
      <c r="FZ143" s="20"/>
      <c r="GA143" s="20"/>
      <c r="GB143" s="20"/>
      <c r="GC143" s="20"/>
      <c r="GD143" s="20"/>
      <c r="GE143" s="20"/>
      <c r="GF143" s="20"/>
      <c r="GG143" s="20"/>
      <c r="GH143" s="20"/>
      <c r="GI143" s="20"/>
      <c r="GJ143" s="20"/>
      <c r="GK143" s="20"/>
      <c r="GL143" s="20"/>
      <c r="GM143" s="20"/>
      <c r="GN143" s="20"/>
      <c r="GO143" s="20"/>
      <c r="GP143" s="20"/>
      <c r="GQ143" s="20"/>
      <c r="GR143" s="20"/>
      <c r="GS143" s="20"/>
      <c r="GT143" s="20"/>
      <c r="GU143" s="20"/>
      <c r="GV143" s="20"/>
      <c r="GW143" s="20"/>
      <c r="GX143" s="20"/>
      <c r="GY143" s="20"/>
      <c r="GZ143" s="20"/>
      <c r="HA143" s="20"/>
      <c r="HB143" s="20"/>
      <c r="HC143" s="20"/>
      <c r="HD143" s="20"/>
      <c r="HE143" s="20"/>
      <c r="HF143" s="20"/>
      <c r="HG143" s="20"/>
      <c r="HH143" s="20"/>
      <c r="HI143" s="20"/>
    </row>
    <row r="144" spans="1:217" ht="13" x14ac:dyDescent="0.15">
      <c r="A144" s="13">
        <v>43148</v>
      </c>
      <c r="B144" s="3" t="s">
        <v>244</v>
      </c>
      <c r="C144" s="16">
        <f t="shared" si="13"/>
        <v>138</v>
      </c>
      <c r="D144" s="3">
        <v>21.310611999999999</v>
      </c>
      <c r="E144" s="3">
        <v>-158.00441000000001</v>
      </c>
      <c r="F144" s="3" t="s">
        <v>197</v>
      </c>
      <c r="G144" s="14">
        <v>0.49861111111111112</v>
      </c>
      <c r="H144" s="14">
        <v>0.56874999999999998</v>
      </c>
      <c r="I144" s="3">
        <v>3</v>
      </c>
      <c r="J144" s="3">
        <v>11</v>
      </c>
      <c r="K144" s="3" t="s">
        <v>198</v>
      </c>
      <c r="L144" s="3">
        <v>11</v>
      </c>
      <c r="M144" s="3">
        <v>29</v>
      </c>
      <c r="N144" s="3" t="s">
        <v>409</v>
      </c>
      <c r="P144" s="3">
        <v>29</v>
      </c>
      <c r="R144" s="3">
        <v>7</v>
      </c>
      <c r="Y144" s="3"/>
      <c r="Z144" s="3"/>
      <c r="AA144" s="3"/>
      <c r="AB144" s="3">
        <v>1</v>
      </c>
      <c r="AE144" s="3">
        <v>19</v>
      </c>
      <c r="AI144" s="3">
        <v>13</v>
      </c>
      <c r="AJ144" s="3"/>
      <c r="AK144" s="3"/>
      <c r="AL144" s="3"/>
      <c r="AM144" s="3">
        <v>7</v>
      </c>
      <c r="AQ144" s="3"/>
      <c r="AR144" s="3">
        <v>2</v>
      </c>
      <c r="AS144" s="3">
        <v>4</v>
      </c>
      <c r="BA144" s="3"/>
      <c r="BB144" s="3">
        <v>5</v>
      </c>
      <c r="BC144" s="3">
        <v>2</v>
      </c>
      <c r="BE144" s="3">
        <v>1</v>
      </c>
      <c r="BM144" s="3">
        <v>30</v>
      </c>
      <c r="BQ144" s="3">
        <v>6</v>
      </c>
      <c r="BU144" s="3">
        <v>4</v>
      </c>
      <c r="BV144" s="3">
        <v>10</v>
      </c>
      <c r="BW144" s="3">
        <v>8</v>
      </c>
      <c r="BX144" s="3">
        <v>7</v>
      </c>
      <c r="BY144" s="3">
        <v>13</v>
      </c>
      <c r="BZ144" s="3">
        <v>36</v>
      </c>
      <c r="CP144" s="3"/>
      <c r="CQ144" s="3"/>
      <c r="CR144" s="3">
        <v>5</v>
      </c>
      <c r="CS144" s="3">
        <v>2</v>
      </c>
      <c r="CT144" s="3">
        <v>3</v>
      </c>
      <c r="CV144" s="3">
        <v>1</v>
      </c>
      <c r="DD144" s="3">
        <v>5</v>
      </c>
      <c r="DF144" s="3"/>
      <c r="DG144" s="3">
        <v>1</v>
      </c>
      <c r="DK144" s="3"/>
      <c r="DL144" s="3">
        <v>2</v>
      </c>
      <c r="DM144" s="3">
        <v>7</v>
      </c>
      <c r="DO144" s="3">
        <v>6</v>
      </c>
      <c r="DT144" s="3"/>
      <c r="DU144" s="3"/>
      <c r="DV144" s="3">
        <v>18</v>
      </c>
      <c r="EC144" s="3">
        <v>4</v>
      </c>
      <c r="EE144" s="3"/>
      <c r="EF144" s="3"/>
      <c r="EG144" s="3"/>
      <c r="EH144" s="3"/>
      <c r="EI144" s="3"/>
      <c r="EJ144" s="3">
        <v>161</v>
      </c>
      <c r="EO144" s="3">
        <v>8</v>
      </c>
      <c r="FS144" s="3">
        <v>154</v>
      </c>
      <c r="FV144" s="3"/>
      <c r="FW144" s="3">
        <v>1</v>
      </c>
      <c r="GH144" s="3">
        <f t="shared" ref="GH144:GH147" si="74">COUNT(R144:GG144)</f>
        <v>33</v>
      </c>
      <c r="GI144" s="3">
        <f t="shared" ref="GI144:GI147" si="75">COUNTIF(R144:GG144,"&gt;=2")</f>
        <v>28</v>
      </c>
      <c r="GJ144" s="3">
        <f t="shared" ref="GJ144:GJ147" si="76">COUNTIF(R144:GG144,"&gt;=5")</f>
        <v>20</v>
      </c>
      <c r="GK144" s="3">
        <f t="shared" ref="GK144:GK147" si="77">SUM(R144:GG144)</f>
        <v>553</v>
      </c>
      <c r="GL144" s="3">
        <f t="shared" ref="GL144:GL147" si="78">25*P144</f>
        <v>725</v>
      </c>
      <c r="GM144" s="3">
        <f t="shared" ref="GM144:GM147" si="79">GL144-GK144</f>
        <v>172</v>
      </c>
    </row>
    <row r="145" spans="1:217" ht="13" x14ac:dyDescent="0.15">
      <c r="A145" s="24">
        <v>43160</v>
      </c>
      <c r="B145" s="25" t="s">
        <v>219</v>
      </c>
      <c r="C145" s="16">
        <f t="shared" si="13"/>
        <v>139</v>
      </c>
      <c r="D145" s="25">
        <v>21.295798999999999</v>
      </c>
      <c r="E145" s="25">
        <v>-158.10369900000001</v>
      </c>
      <c r="F145" s="25" t="s">
        <v>333</v>
      </c>
      <c r="G145" s="26">
        <v>0.375</v>
      </c>
      <c r="H145" s="26">
        <v>0.4513888888888889</v>
      </c>
      <c r="I145" s="25">
        <v>10</v>
      </c>
      <c r="J145" s="25">
        <v>10</v>
      </c>
      <c r="K145" s="25" t="s">
        <v>318</v>
      </c>
      <c r="L145" s="25">
        <v>5</v>
      </c>
      <c r="M145" s="25">
        <v>46</v>
      </c>
      <c r="N145" s="25" t="s">
        <v>410</v>
      </c>
      <c r="O145" s="25"/>
      <c r="P145" s="25"/>
      <c r="Q145" s="25"/>
      <c r="R145" s="25">
        <v>4</v>
      </c>
      <c r="S145" s="25"/>
      <c r="T145" s="25"/>
      <c r="U145" s="25"/>
      <c r="V145" s="25"/>
      <c r="W145" s="25"/>
      <c r="X145" s="25">
        <v>4</v>
      </c>
      <c r="Y145" s="25"/>
      <c r="Z145" s="25">
        <v>12</v>
      </c>
      <c r="AA145" s="25"/>
      <c r="AB145" s="25">
        <v>10</v>
      </c>
      <c r="AC145" s="25">
        <v>20</v>
      </c>
      <c r="AD145" s="25"/>
      <c r="AE145" s="25">
        <v>5</v>
      </c>
      <c r="AF145" s="25"/>
      <c r="AG145" s="25"/>
      <c r="AH145" s="25"/>
      <c r="AI145" s="25">
        <v>10</v>
      </c>
      <c r="AJ145" s="25"/>
      <c r="AK145" s="25"/>
      <c r="AL145" s="25"/>
      <c r="AM145" s="25"/>
      <c r="AN145" s="25">
        <v>11</v>
      </c>
      <c r="AO145" s="25"/>
      <c r="AP145" s="25"/>
      <c r="AQ145" s="25"/>
      <c r="AR145" s="25"/>
      <c r="AS145" s="25"/>
      <c r="AT145" s="25"/>
      <c r="AU145" s="25"/>
      <c r="AV145" s="25"/>
      <c r="AW145" s="25"/>
      <c r="AX145" s="25"/>
      <c r="AY145" s="25"/>
      <c r="AZ145" s="25"/>
      <c r="BA145" s="25"/>
      <c r="BB145" s="25"/>
      <c r="BC145" s="25">
        <v>33</v>
      </c>
      <c r="BD145" s="25">
        <v>8</v>
      </c>
      <c r="BE145" s="25">
        <v>6</v>
      </c>
      <c r="BF145" s="25"/>
      <c r="BG145" s="25"/>
      <c r="BH145" s="25"/>
      <c r="BI145" s="25"/>
      <c r="BJ145" s="25"/>
      <c r="BK145" s="25"/>
      <c r="BL145" s="25"/>
      <c r="BM145" s="25">
        <v>14</v>
      </c>
      <c r="BN145" s="25">
        <v>45</v>
      </c>
      <c r="BO145" s="25"/>
      <c r="BP145" s="25"/>
      <c r="BQ145" s="25">
        <v>42</v>
      </c>
      <c r="BR145" s="25"/>
      <c r="BS145" s="25"/>
      <c r="BT145" s="25"/>
      <c r="BU145" s="25"/>
      <c r="BV145" s="25">
        <v>44</v>
      </c>
      <c r="BW145" s="25"/>
      <c r="BX145" s="25"/>
      <c r="BY145" s="25"/>
      <c r="BZ145" s="25">
        <v>25</v>
      </c>
      <c r="CA145" s="25"/>
      <c r="CB145" s="25"/>
      <c r="CC145" s="25"/>
      <c r="CD145" s="25"/>
      <c r="CE145" s="25"/>
      <c r="CF145" s="25"/>
      <c r="CG145" s="25"/>
      <c r="CH145" s="25"/>
      <c r="CI145" s="25"/>
      <c r="CJ145" s="25"/>
      <c r="CK145" s="25"/>
      <c r="CL145" s="25"/>
      <c r="CM145" s="25"/>
      <c r="CN145" s="25"/>
      <c r="CO145" s="25"/>
      <c r="CP145" s="25"/>
      <c r="CQ145" s="25"/>
      <c r="CR145" s="25"/>
      <c r="CS145" s="25">
        <v>51</v>
      </c>
      <c r="CT145" s="25"/>
      <c r="CU145" s="25">
        <v>1</v>
      </c>
      <c r="CV145" s="25"/>
      <c r="CW145" s="25"/>
      <c r="CX145" s="25"/>
      <c r="CY145" s="25"/>
      <c r="CZ145" s="25"/>
      <c r="DA145" s="25"/>
      <c r="DB145" s="25"/>
      <c r="DC145" s="25"/>
      <c r="DD145" s="25">
        <v>3</v>
      </c>
      <c r="DE145" s="25"/>
      <c r="DF145" s="25"/>
      <c r="DG145" s="25">
        <v>1</v>
      </c>
      <c r="DH145" s="25"/>
      <c r="DI145" s="25"/>
      <c r="DJ145" s="25"/>
      <c r="DK145" s="25"/>
      <c r="DL145" s="25"/>
      <c r="DM145" s="25">
        <v>23</v>
      </c>
      <c r="DN145" s="25">
        <v>1</v>
      </c>
      <c r="DO145" s="25">
        <v>1</v>
      </c>
      <c r="DP145" s="25">
        <v>1</v>
      </c>
      <c r="DQ145" s="25"/>
      <c r="DR145" s="25"/>
      <c r="DS145" s="25">
        <v>5</v>
      </c>
      <c r="DT145" s="25"/>
      <c r="DU145" s="25"/>
      <c r="DV145" s="25">
        <v>4</v>
      </c>
      <c r="DW145" s="25"/>
      <c r="DX145" s="25"/>
      <c r="DY145" s="25"/>
      <c r="DZ145" s="25"/>
      <c r="EA145" s="25"/>
      <c r="EB145" s="25"/>
      <c r="EC145" s="25">
        <v>40</v>
      </c>
      <c r="ED145" s="25"/>
      <c r="EE145" s="25"/>
      <c r="EF145" s="25"/>
      <c r="EG145" s="25"/>
      <c r="EH145" s="25"/>
      <c r="EI145" s="25"/>
      <c r="EJ145" s="25">
        <v>310</v>
      </c>
      <c r="EK145" s="25"/>
      <c r="EL145" s="25"/>
      <c r="EM145" s="25"/>
      <c r="EN145" s="25"/>
      <c r="EO145" s="25"/>
      <c r="EP145" s="25"/>
      <c r="EQ145" s="25"/>
      <c r="ER145" s="25"/>
      <c r="ES145" s="25"/>
      <c r="ET145" s="25"/>
      <c r="EU145" s="25"/>
      <c r="EV145" s="25"/>
      <c r="EW145" s="25"/>
      <c r="EX145" s="25"/>
      <c r="EY145" s="25"/>
      <c r="EZ145" s="25"/>
      <c r="FA145" s="25"/>
      <c r="FB145" s="25">
        <v>15</v>
      </c>
      <c r="FC145" s="25"/>
      <c r="FD145" s="25"/>
      <c r="FE145" s="25"/>
      <c r="FF145" s="25">
        <v>3</v>
      </c>
      <c r="FG145" s="25"/>
      <c r="FH145" s="25"/>
      <c r="FI145" s="25">
        <v>15</v>
      </c>
      <c r="FJ145" s="25"/>
      <c r="FK145" s="25"/>
      <c r="FL145" s="25"/>
      <c r="FM145" s="25"/>
      <c r="FN145" s="25"/>
      <c r="FO145" s="25"/>
      <c r="FP145" s="25"/>
      <c r="FQ145" s="25"/>
      <c r="FR145" s="25"/>
      <c r="FS145" s="25">
        <v>76</v>
      </c>
      <c r="FT145" s="25"/>
      <c r="FU145" s="25"/>
      <c r="FV145" s="25"/>
      <c r="FW145" s="25"/>
      <c r="FX145" s="25"/>
      <c r="FY145" s="25"/>
      <c r="FZ145" s="25"/>
      <c r="GA145" s="25"/>
      <c r="GB145" s="25"/>
      <c r="GC145" s="25"/>
      <c r="GD145" s="25"/>
      <c r="GE145" s="25"/>
      <c r="GF145" s="25"/>
      <c r="GG145" s="25">
        <v>1</v>
      </c>
      <c r="GH145" s="25">
        <f t="shared" si="74"/>
        <v>33</v>
      </c>
      <c r="GI145" s="25">
        <f t="shared" si="75"/>
        <v>27</v>
      </c>
      <c r="GJ145" s="25">
        <f t="shared" si="76"/>
        <v>22</v>
      </c>
      <c r="GK145" s="25">
        <f t="shared" si="77"/>
        <v>844</v>
      </c>
      <c r="GL145" s="25">
        <f t="shared" si="78"/>
        <v>0</v>
      </c>
      <c r="GM145" s="25">
        <f t="shared" si="79"/>
        <v>-844</v>
      </c>
      <c r="GN145" s="25"/>
      <c r="GO145" s="25"/>
      <c r="GP145" s="25"/>
      <c r="GQ145" s="25"/>
      <c r="GR145" s="25"/>
      <c r="GS145" s="25"/>
      <c r="GT145" s="25"/>
      <c r="GU145" s="25"/>
      <c r="GV145" s="25"/>
      <c r="GW145" s="25"/>
      <c r="GX145" s="25"/>
      <c r="GY145" s="25"/>
      <c r="GZ145" s="25"/>
      <c r="HA145" s="25"/>
      <c r="HB145" s="25"/>
      <c r="HC145" s="25"/>
      <c r="HD145" s="25"/>
      <c r="HE145" s="25"/>
      <c r="HF145" s="25"/>
      <c r="HG145" s="25"/>
      <c r="HH145" s="25"/>
      <c r="HI145" s="25"/>
    </row>
    <row r="146" spans="1:217" ht="13" x14ac:dyDescent="0.15">
      <c r="A146" s="13">
        <v>43160</v>
      </c>
      <c r="B146" s="3" t="s">
        <v>233</v>
      </c>
      <c r="C146" s="16">
        <f t="shared" si="13"/>
        <v>140</v>
      </c>
      <c r="D146" s="23">
        <v>21.066799</v>
      </c>
      <c r="E146" s="23">
        <v>-156.804993</v>
      </c>
      <c r="F146" s="3" t="s">
        <v>286</v>
      </c>
      <c r="G146" s="14">
        <v>0.39583333333333331</v>
      </c>
      <c r="H146" s="14">
        <v>0.43888888888888888</v>
      </c>
      <c r="I146" s="3">
        <v>4</v>
      </c>
      <c r="J146" s="3">
        <v>9</v>
      </c>
      <c r="K146" s="3" t="s">
        <v>198</v>
      </c>
      <c r="L146" s="3">
        <v>9</v>
      </c>
      <c r="M146" s="3">
        <v>28</v>
      </c>
      <c r="N146" s="3" t="s">
        <v>412</v>
      </c>
      <c r="P146" s="3">
        <v>28</v>
      </c>
      <c r="Y146" s="3"/>
      <c r="Z146" s="3">
        <v>7</v>
      </c>
      <c r="AQ146" s="3"/>
      <c r="BA146" s="3"/>
      <c r="BB146" s="3">
        <v>15</v>
      </c>
      <c r="BI146" s="3"/>
      <c r="BJ146" s="3"/>
      <c r="BK146" s="3"/>
      <c r="BM146" s="3">
        <v>70</v>
      </c>
      <c r="BV146" s="3"/>
      <c r="BZ146" s="3">
        <v>1</v>
      </c>
      <c r="CC146" s="3"/>
      <c r="CD146" s="3"/>
      <c r="CE146" s="3"/>
      <c r="CF146" s="3"/>
      <c r="CI146" s="3"/>
      <c r="CO146" s="3">
        <v>5</v>
      </c>
      <c r="DM146" s="3">
        <v>25</v>
      </c>
      <c r="DX146" s="3"/>
      <c r="EE146" s="3"/>
      <c r="EF146" s="3"/>
      <c r="EJ146" s="3">
        <v>101</v>
      </c>
      <c r="EP146" s="3"/>
      <c r="ES146" s="3"/>
      <c r="FB146" s="3">
        <v>4</v>
      </c>
      <c r="FF146" s="3">
        <v>11</v>
      </c>
      <c r="FG146" s="3"/>
      <c r="FH146" s="3">
        <v>1</v>
      </c>
      <c r="FM146" s="3"/>
      <c r="FS146" s="3">
        <v>6</v>
      </c>
      <c r="GH146" s="3">
        <f t="shared" si="74"/>
        <v>11</v>
      </c>
      <c r="GI146" s="3">
        <f t="shared" si="75"/>
        <v>9</v>
      </c>
      <c r="GJ146" s="3">
        <f t="shared" si="76"/>
        <v>8</v>
      </c>
      <c r="GK146" s="3">
        <f t="shared" si="77"/>
        <v>246</v>
      </c>
      <c r="GL146" s="3">
        <f t="shared" si="78"/>
        <v>700</v>
      </c>
      <c r="GM146" s="3">
        <f t="shared" si="79"/>
        <v>454</v>
      </c>
    </row>
    <row r="147" spans="1:217" ht="13" x14ac:dyDescent="0.15">
      <c r="A147" s="13">
        <v>43163</v>
      </c>
      <c r="B147" s="3" t="s">
        <v>293</v>
      </c>
      <c r="C147" s="16">
        <f t="shared" si="13"/>
        <v>141</v>
      </c>
      <c r="D147" s="3">
        <v>19.738602</v>
      </c>
      <c r="E147" s="3">
        <v>-155.03887900000001</v>
      </c>
      <c r="F147" s="3" t="s">
        <v>197</v>
      </c>
      <c r="G147" s="14">
        <v>0.42708333333333331</v>
      </c>
      <c r="H147" s="14">
        <v>0.53125</v>
      </c>
      <c r="I147" s="3">
        <v>3</v>
      </c>
      <c r="J147" s="3">
        <v>21</v>
      </c>
      <c r="K147" s="3" t="s">
        <v>415</v>
      </c>
      <c r="L147" s="3">
        <v>14</v>
      </c>
      <c r="M147" s="3">
        <v>25</v>
      </c>
      <c r="N147" s="3" t="s">
        <v>416</v>
      </c>
      <c r="P147" s="3">
        <v>25</v>
      </c>
      <c r="AQ147" s="3">
        <v>1</v>
      </c>
      <c r="BI147" s="3"/>
      <c r="BJ147" s="3"/>
      <c r="BK147" s="3">
        <v>2</v>
      </c>
      <c r="BM147" s="3">
        <v>79</v>
      </c>
      <c r="BV147" s="3">
        <v>2</v>
      </c>
      <c r="CC147" s="3">
        <v>9</v>
      </c>
      <c r="CD147" s="3">
        <v>2</v>
      </c>
      <c r="CE147" s="3">
        <v>2</v>
      </c>
      <c r="CF147" s="3">
        <v>1</v>
      </c>
      <c r="CI147" s="3">
        <v>1</v>
      </c>
      <c r="CO147" s="3">
        <v>8</v>
      </c>
      <c r="DX147" s="3">
        <v>6</v>
      </c>
      <c r="EE147" s="3"/>
      <c r="EF147" s="3">
        <v>2</v>
      </c>
      <c r="EP147" s="3">
        <v>1</v>
      </c>
      <c r="ES147" s="3">
        <v>5</v>
      </c>
      <c r="FG147" s="3">
        <v>1</v>
      </c>
      <c r="FM147" s="3">
        <v>65</v>
      </c>
      <c r="FS147" s="3">
        <v>236</v>
      </c>
      <c r="GH147" s="3">
        <f t="shared" si="74"/>
        <v>17</v>
      </c>
      <c r="GI147" s="3">
        <f t="shared" si="75"/>
        <v>12</v>
      </c>
      <c r="GJ147" s="3">
        <f t="shared" si="76"/>
        <v>7</v>
      </c>
      <c r="GK147" s="3">
        <f t="shared" si="77"/>
        <v>423</v>
      </c>
      <c r="GL147" s="3">
        <f t="shared" si="78"/>
        <v>625</v>
      </c>
      <c r="GM147" s="3">
        <f t="shared" si="79"/>
        <v>202</v>
      </c>
    </row>
    <row r="148" spans="1:217" ht="13" x14ac:dyDescent="0.15">
      <c r="A148" s="27">
        <v>43175</v>
      </c>
      <c r="B148" s="28" t="s">
        <v>230</v>
      </c>
      <c r="C148" s="16">
        <f t="shared" si="13"/>
        <v>142</v>
      </c>
      <c r="D148" s="28">
        <v>20.753699999999998</v>
      </c>
      <c r="E148" s="28">
        <v>-156.46090699999999</v>
      </c>
      <c r="F148" s="28" t="s">
        <v>513</v>
      </c>
      <c r="G148" s="29">
        <v>0.41666666666666669</v>
      </c>
      <c r="H148" s="29">
        <v>0.5</v>
      </c>
      <c r="I148" s="28">
        <v>5</v>
      </c>
      <c r="J148" s="28">
        <v>20</v>
      </c>
      <c r="K148" s="28" t="s">
        <v>198</v>
      </c>
      <c r="L148" s="28">
        <v>8</v>
      </c>
      <c r="M148" s="28">
        <v>5</v>
      </c>
      <c r="N148" s="28" t="s">
        <v>514</v>
      </c>
      <c r="O148" s="28"/>
      <c r="P148" s="28"/>
      <c r="Q148" s="28"/>
      <c r="R148" s="28">
        <v>1</v>
      </c>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v>3</v>
      </c>
      <c r="BL148" s="28"/>
      <c r="BM148" s="28"/>
      <c r="BN148" s="28"/>
      <c r="BO148" s="28"/>
      <c r="BP148" s="28"/>
      <c r="BQ148" s="28"/>
      <c r="BR148" s="28"/>
      <c r="BS148" s="28"/>
      <c r="BT148" s="28"/>
      <c r="BU148" s="28"/>
      <c r="BV148" s="28"/>
      <c r="BW148" s="28"/>
      <c r="BX148" s="28"/>
      <c r="BY148" s="28"/>
      <c r="BZ148" s="28"/>
      <c r="CA148" s="28"/>
      <c r="CB148" s="28"/>
      <c r="CC148" s="28">
        <v>1</v>
      </c>
      <c r="CD148" s="28">
        <v>1</v>
      </c>
      <c r="CE148" s="28"/>
      <c r="CF148" s="28"/>
      <c r="CG148" s="28"/>
      <c r="CH148" s="28"/>
      <c r="CI148" s="28"/>
      <c r="CJ148" s="28"/>
      <c r="CK148" s="28"/>
      <c r="CL148" s="28"/>
      <c r="CM148" s="28"/>
      <c r="CN148" s="28"/>
      <c r="CO148" s="28"/>
      <c r="CP148" s="28"/>
      <c r="CQ148" s="28"/>
      <c r="CR148" s="28"/>
      <c r="CS148" s="28"/>
      <c r="CT148" s="28"/>
      <c r="CU148" s="28"/>
      <c r="CV148" s="28"/>
      <c r="CW148" s="28"/>
      <c r="CX148" s="28"/>
      <c r="CY148" s="28"/>
      <c r="CZ148" s="28"/>
      <c r="DA148" s="28"/>
      <c r="DB148" s="28"/>
      <c r="DC148" s="28"/>
      <c r="DD148" s="28"/>
      <c r="DE148" s="28"/>
      <c r="DF148" s="28"/>
      <c r="DG148" s="28"/>
      <c r="DH148" s="28"/>
      <c r="DI148" s="28"/>
      <c r="DJ148" s="28"/>
      <c r="DK148" s="28"/>
      <c r="DL148" s="28"/>
      <c r="DM148" s="28"/>
      <c r="DN148" s="28"/>
      <c r="DO148" s="28"/>
      <c r="DP148" s="28"/>
      <c r="DQ148" s="28"/>
      <c r="DR148" s="28"/>
      <c r="DS148" s="28"/>
      <c r="DT148" s="28"/>
      <c r="DU148" s="28"/>
      <c r="DV148" s="28"/>
      <c r="DW148" s="28"/>
      <c r="DX148" s="28"/>
      <c r="DY148" s="28"/>
      <c r="DZ148" s="28"/>
      <c r="EA148" s="28"/>
      <c r="EB148" s="28"/>
      <c r="EC148" s="28"/>
      <c r="ED148" s="28"/>
      <c r="EE148" s="28"/>
      <c r="EF148" s="28"/>
      <c r="EG148" s="28"/>
      <c r="EH148" s="28"/>
      <c r="EI148" s="28"/>
      <c r="EJ148" s="28"/>
      <c r="EK148" s="28"/>
      <c r="EL148" s="28"/>
      <c r="EM148" s="28"/>
      <c r="EN148" s="28"/>
      <c r="EO148" s="28"/>
      <c r="EP148" s="28"/>
      <c r="EQ148" s="28"/>
      <c r="ER148" s="28"/>
      <c r="ES148" s="28"/>
      <c r="ET148" s="28"/>
      <c r="EU148" s="28"/>
      <c r="EV148" s="28"/>
      <c r="EW148" s="28"/>
      <c r="EX148" s="28">
        <v>1</v>
      </c>
      <c r="EY148" s="28"/>
      <c r="EZ148" s="28"/>
      <c r="FA148" s="28"/>
      <c r="FB148" s="28"/>
      <c r="FC148" s="28"/>
      <c r="FD148" s="28"/>
      <c r="FE148" s="28"/>
      <c r="FF148" s="28"/>
      <c r="FG148" s="28"/>
      <c r="FH148" s="28"/>
      <c r="FI148" s="28"/>
      <c r="FJ148" s="28"/>
      <c r="FK148" s="28"/>
      <c r="FL148" s="28"/>
      <c r="FM148" s="28"/>
      <c r="FN148" s="28"/>
      <c r="FO148" s="28"/>
      <c r="FP148" s="28"/>
      <c r="FQ148" s="28"/>
      <c r="FR148" s="28"/>
      <c r="FS148" s="28">
        <v>1</v>
      </c>
      <c r="FT148" s="28"/>
      <c r="FU148" s="28"/>
      <c r="FV148" s="28"/>
      <c r="FW148" s="28"/>
      <c r="FX148" s="28"/>
      <c r="FY148" s="28"/>
      <c r="FZ148" s="28"/>
      <c r="GA148" s="28"/>
      <c r="GB148" s="28"/>
      <c r="GC148" s="28"/>
      <c r="GD148" s="28"/>
      <c r="GE148" s="28"/>
      <c r="GF148" s="28"/>
      <c r="GG148" s="28"/>
      <c r="GH148" s="28"/>
      <c r="GI148" s="28"/>
      <c r="GJ148" s="28"/>
      <c r="GK148" s="28"/>
      <c r="GL148" s="28"/>
      <c r="GM148" s="28"/>
      <c r="GN148" s="28"/>
      <c r="GO148" s="28"/>
      <c r="GP148" s="28"/>
      <c r="GQ148" s="28"/>
      <c r="GR148" s="28"/>
      <c r="GS148" s="28"/>
      <c r="GT148" s="28"/>
      <c r="GU148" s="28"/>
      <c r="GV148" s="28"/>
      <c r="GW148" s="28"/>
      <c r="GX148" s="28"/>
      <c r="GY148" s="28"/>
      <c r="GZ148" s="28"/>
      <c r="HA148" s="28"/>
      <c r="HB148" s="28"/>
      <c r="HC148" s="28"/>
      <c r="HD148" s="28"/>
      <c r="HE148" s="28"/>
      <c r="HF148" s="28"/>
      <c r="HG148" s="28"/>
      <c r="HH148" s="28"/>
      <c r="HI148" s="28"/>
    </row>
    <row r="149" spans="1:217" ht="13" x14ac:dyDescent="0.15">
      <c r="A149" s="13">
        <v>43207</v>
      </c>
      <c r="B149" s="3" t="s">
        <v>244</v>
      </c>
      <c r="C149" s="16">
        <f t="shared" si="13"/>
        <v>143</v>
      </c>
      <c r="D149" s="3">
        <v>21.310611999999999</v>
      </c>
      <c r="E149" s="3">
        <v>-158.00441000000001</v>
      </c>
      <c r="F149" s="3" t="s">
        <v>326</v>
      </c>
      <c r="G149" s="14">
        <v>0.38541666666666669</v>
      </c>
      <c r="H149" s="14">
        <v>0.44444444444444442</v>
      </c>
      <c r="I149" s="3">
        <v>9</v>
      </c>
      <c r="J149" s="3">
        <v>8</v>
      </c>
      <c r="K149" s="3" t="s">
        <v>198</v>
      </c>
      <c r="L149" s="3">
        <v>5</v>
      </c>
      <c r="M149" s="3">
        <v>30</v>
      </c>
      <c r="N149" s="3" t="s">
        <v>417</v>
      </c>
      <c r="O149" s="3" t="s">
        <v>396</v>
      </c>
      <c r="P149" s="3">
        <v>30</v>
      </c>
      <c r="U149" s="3"/>
      <c r="V149" s="3"/>
      <c r="W149" s="3"/>
      <c r="X149" s="3">
        <v>2</v>
      </c>
      <c r="AA149" s="3"/>
      <c r="AB149" s="3">
        <v>22</v>
      </c>
      <c r="AE149" s="3">
        <v>6</v>
      </c>
      <c r="AI149" s="3">
        <v>7</v>
      </c>
      <c r="BC149" s="3">
        <v>2</v>
      </c>
      <c r="BE149" s="3">
        <v>24</v>
      </c>
      <c r="BM149" s="3">
        <v>27</v>
      </c>
      <c r="BV149" s="3">
        <v>9</v>
      </c>
      <c r="BZ149" s="3">
        <v>10</v>
      </c>
      <c r="CJ149" s="3"/>
      <c r="CK149" s="3">
        <v>19</v>
      </c>
      <c r="CS149" s="3">
        <v>1</v>
      </c>
      <c r="DM149" s="3">
        <v>7</v>
      </c>
      <c r="DO149" s="3">
        <v>1</v>
      </c>
      <c r="DT149" s="3"/>
      <c r="DU149" s="3"/>
      <c r="DV149" s="3">
        <v>21</v>
      </c>
      <c r="DZ149" s="3">
        <v>1</v>
      </c>
      <c r="EC149" s="3">
        <v>5</v>
      </c>
      <c r="EG149" s="3"/>
      <c r="EH149" s="3"/>
      <c r="EI149" s="3"/>
      <c r="EJ149" s="3">
        <v>306</v>
      </c>
      <c r="FB149" s="3">
        <v>11</v>
      </c>
      <c r="FI149" s="3">
        <v>1</v>
      </c>
      <c r="FS149" s="3">
        <v>90</v>
      </c>
      <c r="FV149" s="3"/>
      <c r="FW149" s="3">
        <v>4</v>
      </c>
      <c r="GH149" s="3">
        <f>COUNT(R149:GG149)</f>
        <v>21</v>
      </c>
      <c r="GI149" s="3">
        <f>COUNTIF(R149:GG149,"&gt;=2")</f>
        <v>17</v>
      </c>
      <c r="GJ149" s="3">
        <f>COUNTIF(R149:GG149,"&gt;=5")</f>
        <v>14</v>
      </c>
      <c r="GK149" s="3">
        <f>SUM(R149:GG149)</f>
        <v>576</v>
      </c>
      <c r="GL149" s="3">
        <f>25*P149</f>
        <v>750</v>
      </c>
      <c r="GM149" s="3">
        <f>GL149-GK149</f>
        <v>174</v>
      </c>
    </row>
    <row r="150" spans="1:217" ht="13" x14ac:dyDescent="0.15">
      <c r="A150" s="27">
        <v>43208</v>
      </c>
      <c r="B150" s="28" t="s">
        <v>515</v>
      </c>
      <c r="C150" s="16">
        <f t="shared" si="13"/>
        <v>144</v>
      </c>
      <c r="D150" s="28">
        <v>19.135919999999999</v>
      </c>
      <c r="E150" s="28">
        <v>-155.504684</v>
      </c>
      <c r="F150" s="28" t="s">
        <v>383</v>
      </c>
      <c r="G150" s="29">
        <v>0.41111111111111109</v>
      </c>
      <c r="H150" s="29">
        <v>0.4513888888888889</v>
      </c>
      <c r="I150" s="28">
        <v>5</v>
      </c>
      <c r="J150" s="28">
        <v>20</v>
      </c>
      <c r="K150" s="28" t="s">
        <v>198</v>
      </c>
      <c r="L150" s="28">
        <v>5</v>
      </c>
      <c r="M150" s="28">
        <v>25</v>
      </c>
      <c r="N150" s="28"/>
      <c r="O150" s="28"/>
      <c r="P150" s="28"/>
      <c r="Q150" s="28"/>
      <c r="R150" s="28"/>
      <c r="S150" s="28"/>
      <c r="T150" s="28">
        <v>9</v>
      </c>
      <c r="U150" s="28"/>
      <c r="V150" s="28"/>
      <c r="W150" s="28"/>
      <c r="X150" s="28"/>
      <c r="Y150" s="28"/>
      <c r="Z150" s="28"/>
      <c r="AA150" s="28"/>
      <c r="AB150" s="28">
        <v>13</v>
      </c>
      <c r="AC150" s="28"/>
      <c r="AD150" s="28"/>
      <c r="AE150" s="28"/>
      <c r="AF150" s="28">
        <v>3</v>
      </c>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v>18</v>
      </c>
      <c r="BC150" s="28"/>
      <c r="BD150" s="28"/>
      <c r="BE150" s="28"/>
      <c r="BF150" s="28"/>
      <c r="BG150" s="28"/>
      <c r="BH150" s="28"/>
      <c r="BI150" s="28"/>
      <c r="BJ150" s="28"/>
      <c r="BK150" s="28"/>
      <c r="BL150" s="28"/>
      <c r="BM150" s="28">
        <v>14</v>
      </c>
      <c r="BN150" s="28"/>
      <c r="BO150" s="28"/>
      <c r="BP150" s="28"/>
      <c r="BQ150" s="28"/>
      <c r="BR150" s="28"/>
      <c r="BS150" s="28"/>
      <c r="BT150" s="28"/>
      <c r="BU150" s="28"/>
      <c r="BV150" s="28"/>
      <c r="BW150" s="28"/>
      <c r="BX150" s="28"/>
      <c r="BY150" s="28"/>
      <c r="BZ150" s="28"/>
      <c r="CA150" s="28"/>
      <c r="CB150" s="28"/>
      <c r="CC150" s="28">
        <v>1</v>
      </c>
      <c r="CD150" s="28"/>
      <c r="CE150" s="28">
        <v>2</v>
      </c>
      <c r="CF150" s="28"/>
      <c r="CG150" s="28"/>
      <c r="CH150" s="28"/>
      <c r="CI150" s="28"/>
      <c r="CJ150" s="28"/>
      <c r="CK150" s="28"/>
      <c r="CL150" s="28"/>
      <c r="CM150" s="28"/>
      <c r="CN150" s="28"/>
      <c r="CO150" s="28"/>
      <c r="CP150" s="28"/>
      <c r="CQ150" s="28"/>
      <c r="CR150" s="28"/>
      <c r="CS150" s="28"/>
      <c r="CT150" s="28"/>
      <c r="CU150" s="28"/>
      <c r="CV150" s="28"/>
      <c r="CW150" s="28"/>
      <c r="CX150" s="28"/>
      <c r="CY150" s="28"/>
      <c r="CZ150" s="28"/>
      <c r="DA150" s="28"/>
      <c r="DB150" s="28"/>
      <c r="DC150" s="28"/>
      <c r="DD150" s="28"/>
      <c r="DE150" s="28"/>
      <c r="DF150" s="28"/>
      <c r="DG150" s="28"/>
      <c r="DH150" s="28">
        <v>38</v>
      </c>
      <c r="DI150" s="28"/>
      <c r="DJ150" s="28"/>
      <c r="DK150" s="28"/>
      <c r="DL150" s="28"/>
      <c r="DM150" s="28"/>
      <c r="DN150" s="28"/>
      <c r="DO150" s="28"/>
      <c r="DP150" s="28">
        <v>14</v>
      </c>
      <c r="DQ150" s="28"/>
      <c r="DR150" s="28"/>
      <c r="DS150" s="28"/>
      <c r="DT150" s="28"/>
      <c r="DU150" s="28"/>
      <c r="DV150" s="28"/>
      <c r="DW150" s="28"/>
      <c r="DX150" s="28"/>
      <c r="DY150" s="28"/>
      <c r="DZ150" s="28"/>
      <c r="EA150" s="28"/>
      <c r="EB150" s="28"/>
      <c r="EC150" s="28"/>
      <c r="ED150" s="28"/>
      <c r="EE150" s="28"/>
      <c r="EF150" s="28">
        <v>5</v>
      </c>
      <c r="EG150" s="28"/>
      <c r="EH150" s="28"/>
      <c r="EI150" s="28"/>
      <c r="EJ150" s="28"/>
      <c r="EK150" s="28"/>
      <c r="EL150" s="28"/>
      <c r="EM150" s="28"/>
      <c r="EN150" s="28"/>
      <c r="EO150" s="28"/>
      <c r="EP150" s="28"/>
      <c r="EQ150" s="28"/>
      <c r="ER150" s="28"/>
      <c r="ES150" s="28"/>
      <c r="ET150" s="28"/>
      <c r="EU150" s="28"/>
      <c r="EV150" s="28"/>
      <c r="EW150" s="28"/>
      <c r="EX150" s="28">
        <v>16</v>
      </c>
      <c r="EY150" s="28"/>
      <c r="EZ150" s="28"/>
      <c r="FA150" s="28"/>
      <c r="FB150" s="28"/>
      <c r="FC150" s="28"/>
      <c r="FD150" s="28"/>
      <c r="FE150" s="28"/>
      <c r="FF150" s="28"/>
      <c r="FG150" s="28"/>
      <c r="FH150" s="28"/>
      <c r="FI150" s="28"/>
      <c r="FJ150" s="28"/>
      <c r="FK150" s="28"/>
      <c r="FL150" s="28"/>
      <c r="FM150" s="28"/>
      <c r="FN150" s="28"/>
      <c r="FO150" s="28"/>
      <c r="FP150" s="28"/>
      <c r="FQ150" s="28"/>
      <c r="FR150" s="28"/>
      <c r="FS150" s="28">
        <v>458</v>
      </c>
      <c r="FT150" s="28"/>
      <c r="FU150" s="28"/>
      <c r="FV150" s="28"/>
      <c r="FW150" s="28"/>
      <c r="FX150" s="28"/>
      <c r="FY150" s="28"/>
      <c r="FZ150" s="28"/>
      <c r="GA150" s="28"/>
      <c r="GB150" s="28"/>
      <c r="GC150" s="28"/>
      <c r="GD150" s="28"/>
      <c r="GE150" s="28"/>
      <c r="GF150" s="28"/>
      <c r="GG150" s="28"/>
      <c r="GH150" s="28"/>
      <c r="GI150" s="28"/>
      <c r="GJ150" s="28"/>
      <c r="GK150" s="28"/>
      <c r="GL150" s="28"/>
      <c r="GM150" s="28"/>
      <c r="GN150" s="28"/>
      <c r="GO150" s="28"/>
      <c r="GP150" s="28"/>
      <c r="GQ150" s="28"/>
      <c r="GR150" s="28"/>
      <c r="GS150" s="28"/>
      <c r="GT150" s="28"/>
      <c r="GU150" s="28"/>
      <c r="GV150" s="28"/>
      <c r="GW150" s="28"/>
      <c r="GX150" s="28"/>
      <c r="GY150" s="28"/>
      <c r="GZ150" s="28"/>
      <c r="HA150" s="28"/>
      <c r="HB150" s="28"/>
      <c r="HC150" s="28"/>
      <c r="HD150" s="28"/>
      <c r="HE150" s="28"/>
      <c r="HF150" s="28"/>
      <c r="HG150" s="28"/>
      <c r="HH150" s="28"/>
      <c r="HI150" s="28"/>
    </row>
    <row r="151" spans="1:217" ht="13" x14ac:dyDescent="0.15">
      <c r="A151" s="19">
        <v>43209</v>
      </c>
      <c r="B151" s="20" t="s">
        <v>250</v>
      </c>
      <c r="C151" s="16"/>
      <c r="D151" s="20"/>
      <c r="E151" s="20"/>
      <c r="F151" s="20"/>
      <c r="G151" s="21"/>
      <c r="H151" s="21"/>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c r="CL151" s="20"/>
      <c r="CM151" s="20"/>
      <c r="CN151" s="20"/>
      <c r="CO151" s="20"/>
      <c r="CP151" s="20"/>
      <c r="CQ151" s="20"/>
      <c r="CR151" s="20"/>
      <c r="CS151" s="20"/>
      <c r="CT151" s="20"/>
      <c r="CU151" s="20"/>
      <c r="CV151" s="20"/>
      <c r="CW151" s="20"/>
      <c r="CX151" s="20"/>
      <c r="CY151" s="20"/>
      <c r="CZ151" s="20"/>
      <c r="DA151" s="20"/>
      <c r="DB151" s="20"/>
      <c r="DC151" s="20"/>
      <c r="DD151" s="20"/>
      <c r="DE151" s="20"/>
      <c r="DF151" s="20"/>
      <c r="DG151" s="20"/>
      <c r="DH151" s="20"/>
      <c r="DI151" s="20"/>
      <c r="DJ151" s="20"/>
      <c r="DK151" s="20"/>
      <c r="DL151" s="20"/>
      <c r="DM151" s="20"/>
      <c r="DN151" s="20"/>
      <c r="DO151" s="20"/>
      <c r="DP151" s="20"/>
      <c r="DQ151" s="20"/>
      <c r="DR151" s="20"/>
      <c r="DS151" s="20"/>
      <c r="DT151" s="20"/>
      <c r="DU151" s="20"/>
      <c r="DV151" s="20"/>
      <c r="DW151" s="20"/>
      <c r="DX151" s="20"/>
      <c r="DY151" s="20"/>
      <c r="DZ151" s="20"/>
      <c r="EA151" s="20"/>
      <c r="EB151" s="20"/>
      <c r="EC151" s="20"/>
      <c r="ED151" s="20"/>
      <c r="EE151" s="20"/>
      <c r="EF151" s="20"/>
      <c r="EG151" s="20"/>
      <c r="EH151" s="20"/>
      <c r="EI151" s="20"/>
      <c r="EJ151" s="20"/>
      <c r="EK151" s="20"/>
      <c r="EL151" s="20"/>
      <c r="EM151" s="20"/>
      <c r="EN151" s="20"/>
      <c r="EO151" s="20"/>
      <c r="EP151" s="20"/>
      <c r="EQ151" s="20"/>
      <c r="ER151" s="20"/>
      <c r="ES151" s="20"/>
      <c r="ET151" s="20"/>
      <c r="EU151" s="20"/>
      <c r="EV151" s="20"/>
      <c r="EW151" s="20"/>
      <c r="EX151" s="20"/>
      <c r="EY151" s="20"/>
      <c r="EZ151" s="20"/>
      <c r="FA151" s="20"/>
      <c r="FB151" s="20"/>
      <c r="FC151" s="20"/>
      <c r="FD151" s="20"/>
      <c r="FE151" s="20"/>
      <c r="FF151" s="20"/>
      <c r="FG151" s="20"/>
      <c r="FH151" s="20"/>
      <c r="FI151" s="20"/>
      <c r="FJ151" s="20"/>
      <c r="FK151" s="20"/>
      <c r="FL151" s="20"/>
      <c r="FM151" s="20"/>
      <c r="FN151" s="20"/>
      <c r="FO151" s="20"/>
      <c r="FP151" s="20"/>
      <c r="FQ151" s="20"/>
      <c r="FR151" s="20"/>
      <c r="FS151" s="20"/>
      <c r="FT151" s="20"/>
      <c r="FU151" s="20"/>
      <c r="FV151" s="20"/>
      <c r="FW151" s="20"/>
      <c r="FX151" s="20"/>
      <c r="FY151" s="20"/>
      <c r="FZ151" s="20"/>
      <c r="GA151" s="20"/>
      <c r="GB151" s="20"/>
      <c r="GC151" s="20"/>
      <c r="GD151" s="20"/>
      <c r="GE151" s="20"/>
      <c r="GF151" s="20"/>
      <c r="GG151" s="20"/>
      <c r="GH151" s="20"/>
      <c r="GI151" s="20"/>
      <c r="GJ151" s="20"/>
      <c r="GK151" s="20"/>
      <c r="GL151" s="20"/>
      <c r="GM151" s="20"/>
      <c r="GN151" s="20"/>
      <c r="GO151" s="20"/>
      <c r="GP151" s="20"/>
      <c r="GQ151" s="20"/>
      <c r="GR151" s="20"/>
      <c r="GS151" s="20"/>
      <c r="GT151" s="20"/>
      <c r="GU151" s="20"/>
      <c r="GV151" s="20"/>
      <c r="GW151" s="20"/>
      <c r="GX151" s="20"/>
      <c r="GY151" s="20"/>
      <c r="GZ151" s="20"/>
      <c r="HA151" s="20"/>
      <c r="HB151" s="20"/>
      <c r="HC151" s="20"/>
      <c r="HD151" s="20"/>
      <c r="HE151" s="20"/>
      <c r="HF151" s="20"/>
      <c r="HG151" s="20"/>
      <c r="HH151" s="20"/>
      <c r="HI151" s="20"/>
    </row>
    <row r="152" spans="1:217" ht="13" x14ac:dyDescent="0.15">
      <c r="A152" s="27">
        <v>43211</v>
      </c>
      <c r="B152" s="28" t="s">
        <v>293</v>
      </c>
      <c r="C152" s="16">
        <v>145</v>
      </c>
      <c r="D152" s="28">
        <v>19.738602</v>
      </c>
      <c r="E152" s="28">
        <v>-155.03887900000001</v>
      </c>
      <c r="F152" s="28" t="s">
        <v>520</v>
      </c>
      <c r="G152" s="29">
        <v>0.47916666666666669</v>
      </c>
      <c r="H152" s="29">
        <v>4.1666666666666664E-2</v>
      </c>
      <c r="I152" s="28">
        <v>1</v>
      </c>
      <c r="J152" s="28">
        <v>18</v>
      </c>
      <c r="K152" s="28" t="s">
        <v>277</v>
      </c>
      <c r="L152" s="28">
        <v>10</v>
      </c>
      <c r="M152" s="28">
        <v>5</v>
      </c>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v>3</v>
      </c>
      <c r="BN152" s="28"/>
      <c r="BO152" s="28"/>
      <c r="BP152" s="28"/>
      <c r="BQ152" s="28"/>
      <c r="BR152" s="28"/>
      <c r="BS152" s="28"/>
      <c r="BT152" s="28"/>
      <c r="BU152" s="28"/>
      <c r="BV152" s="28"/>
      <c r="BW152" s="28"/>
      <c r="BX152" s="28"/>
      <c r="BY152" s="28"/>
      <c r="BZ152" s="28"/>
      <c r="CA152" s="28"/>
      <c r="CB152" s="28"/>
      <c r="CC152" s="28">
        <v>5</v>
      </c>
      <c r="CD152" s="28"/>
      <c r="CE152" s="28"/>
      <c r="CF152" s="28"/>
      <c r="CG152" s="28"/>
      <c r="CH152" s="28"/>
      <c r="CI152" s="28"/>
      <c r="CJ152" s="28"/>
      <c r="CK152" s="28"/>
      <c r="CL152" s="28"/>
      <c r="CM152" s="28"/>
      <c r="CN152" s="28"/>
      <c r="CO152" s="28">
        <v>2</v>
      </c>
      <c r="CP152" s="28"/>
      <c r="CQ152" s="28"/>
      <c r="CR152" s="28"/>
      <c r="CS152" s="28"/>
      <c r="CT152" s="28"/>
      <c r="CU152" s="28"/>
      <c r="CV152" s="28"/>
      <c r="CW152" s="28"/>
      <c r="CX152" s="28"/>
      <c r="CY152" s="28"/>
      <c r="CZ152" s="28"/>
      <c r="DA152" s="28"/>
      <c r="DB152" s="28"/>
      <c r="DC152" s="28"/>
      <c r="DD152" s="28"/>
      <c r="DE152" s="28"/>
      <c r="DF152" s="28"/>
      <c r="DG152" s="28"/>
      <c r="DH152" s="28"/>
      <c r="DI152" s="28"/>
      <c r="DJ152" s="28"/>
      <c r="DK152" s="28"/>
      <c r="DL152" s="28"/>
      <c r="DM152" s="28"/>
      <c r="DN152" s="28"/>
      <c r="DO152" s="28"/>
      <c r="DP152" s="28"/>
      <c r="DQ152" s="28"/>
      <c r="DR152" s="28"/>
      <c r="DS152" s="28"/>
      <c r="DT152" s="28"/>
      <c r="DU152" s="28"/>
      <c r="DV152" s="28"/>
      <c r="DW152" s="28"/>
      <c r="DX152" s="28"/>
      <c r="DY152" s="28"/>
      <c r="DZ152" s="28"/>
      <c r="EA152" s="28"/>
      <c r="EB152" s="28"/>
      <c r="EC152" s="28"/>
      <c r="ED152" s="28"/>
      <c r="EE152" s="28"/>
      <c r="EF152" s="28"/>
      <c r="EG152" s="28"/>
      <c r="EH152" s="28"/>
      <c r="EI152" s="28"/>
      <c r="EJ152" s="28"/>
      <c r="EK152" s="28"/>
      <c r="EL152" s="28"/>
      <c r="EM152" s="28"/>
      <c r="EN152" s="28"/>
      <c r="EO152" s="28"/>
      <c r="EP152" s="28"/>
      <c r="EQ152" s="28"/>
      <c r="ER152" s="28"/>
      <c r="ES152" s="28"/>
      <c r="ET152" s="28"/>
      <c r="EU152" s="28"/>
      <c r="EV152" s="28"/>
      <c r="EW152" s="28"/>
      <c r="EX152" s="28"/>
      <c r="EY152" s="28"/>
      <c r="EZ152" s="28"/>
      <c r="FA152" s="28"/>
      <c r="FB152" s="28"/>
      <c r="FC152" s="28"/>
      <c r="FD152" s="28"/>
      <c r="FE152" s="28"/>
      <c r="FF152" s="28"/>
      <c r="FG152" s="28"/>
      <c r="FH152" s="28"/>
      <c r="FI152" s="28"/>
      <c r="FJ152" s="28"/>
      <c r="FK152" s="28"/>
      <c r="FL152" s="28"/>
      <c r="FM152" s="28"/>
      <c r="FN152" s="28"/>
      <c r="FO152" s="28"/>
      <c r="FP152" s="28"/>
      <c r="FQ152" s="28"/>
      <c r="FR152" s="28"/>
      <c r="FS152" s="28">
        <v>79</v>
      </c>
      <c r="FT152" s="28"/>
      <c r="FU152" s="28"/>
      <c r="FV152" s="28"/>
      <c r="FW152" s="28"/>
      <c r="FX152" s="28"/>
      <c r="FY152" s="28"/>
      <c r="FZ152" s="28"/>
      <c r="GA152" s="28"/>
      <c r="GB152" s="28"/>
      <c r="GC152" s="28"/>
      <c r="GD152" s="28"/>
      <c r="GE152" s="28"/>
      <c r="GF152" s="28"/>
      <c r="GG152" s="28">
        <v>2</v>
      </c>
      <c r="GH152" s="28"/>
      <c r="GI152" s="28"/>
      <c r="GJ152" s="28"/>
      <c r="GK152" s="28"/>
      <c r="GL152" s="28"/>
      <c r="GM152" s="28"/>
      <c r="GN152" s="28"/>
      <c r="GO152" s="28"/>
      <c r="GP152" s="28"/>
      <c r="GQ152" s="28"/>
      <c r="GR152" s="28"/>
      <c r="GS152" s="28"/>
      <c r="GT152" s="28"/>
      <c r="GU152" s="28"/>
      <c r="GV152" s="28"/>
      <c r="GW152" s="28"/>
      <c r="GX152" s="28"/>
      <c r="GY152" s="28"/>
      <c r="GZ152" s="28"/>
      <c r="HA152" s="28"/>
      <c r="HB152" s="28"/>
      <c r="HC152" s="28"/>
      <c r="HD152" s="28"/>
      <c r="HE152" s="28"/>
      <c r="HF152" s="28"/>
      <c r="HG152" s="28"/>
      <c r="HH152" s="28"/>
      <c r="HI152" s="28"/>
    </row>
    <row r="153" spans="1:217" ht="13" x14ac:dyDescent="0.15">
      <c r="A153" s="13">
        <v>43212</v>
      </c>
      <c r="B153" s="3" t="s">
        <v>293</v>
      </c>
      <c r="C153" s="16">
        <f t="shared" ref="C153:C161" si="80">C152+1</f>
        <v>146</v>
      </c>
      <c r="D153" s="3">
        <v>19.738602</v>
      </c>
      <c r="E153" s="3">
        <v>-155.03887900000001</v>
      </c>
      <c r="F153" s="3" t="s">
        <v>418</v>
      </c>
      <c r="G153" s="14">
        <v>0.5541666666666667</v>
      </c>
      <c r="H153" s="14">
        <v>0.64583333333333337</v>
      </c>
      <c r="I153" s="3">
        <v>3</v>
      </c>
      <c r="J153" s="3">
        <v>18</v>
      </c>
      <c r="K153" s="3" t="s">
        <v>415</v>
      </c>
      <c r="L153" s="3">
        <v>10</v>
      </c>
      <c r="M153" s="3">
        <v>23</v>
      </c>
      <c r="N153" s="3" t="s">
        <v>419</v>
      </c>
      <c r="P153" s="3">
        <v>23</v>
      </c>
      <c r="BI153" s="3"/>
      <c r="BJ153" s="3"/>
      <c r="BK153" s="3">
        <v>10</v>
      </c>
      <c r="BM153" s="3">
        <v>1</v>
      </c>
      <c r="CC153" s="3">
        <v>11</v>
      </c>
      <c r="CD153" s="3">
        <v>13</v>
      </c>
      <c r="CV153" s="3">
        <v>2</v>
      </c>
      <c r="FM153" s="3">
        <v>24</v>
      </c>
      <c r="FN153" s="3"/>
      <c r="FO153" s="3"/>
      <c r="FP153" s="3">
        <v>1</v>
      </c>
      <c r="FS153" s="3">
        <v>363</v>
      </c>
      <c r="GH153" s="3">
        <f>COUNT(R153:GG153)</f>
        <v>8</v>
      </c>
      <c r="GI153" s="3">
        <f>COUNTIF(R153:GG153,"&gt;=2")</f>
        <v>6</v>
      </c>
      <c r="GJ153" s="3">
        <f>COUNTIF(R153:GG153,"&gt;=5")</f>
        <v>5</v>
      </c>
      <c r="GK153" s="3">
        <f>SUM(R153:GG153)</f>
        <v>425</v>
      </c>
      <c r="GL153" s="3">
        <f>25*P153</f>
        <v>575</v>
      </c>
      <c r="GM153" s="3">
        <f>GL153-GK153</f>
        <v>150</v>
      </c>
    </row>
    <row r="154" spans="1:217" ht="13" x14ac:dyDescent="0.15">
      <c r="A154" s="27">
        <v>43213</v>
      </c>
      <c r="B154" s="28" t="s">
        <v>219</v>
      </c>
      <c r="C154" s="16">
        <f t="shared" si="80"/>
        <v>147</v>
      </c>
      <c r="D154" s="28">
        <v>21.295798999999999</v>
      </c>
      <c r="E154" s="28">
        <v>-158.10369900000001</v>
      </c>
      <c r="F154" s="28" t="s">
        <v>274</v>
      </c>
      <c r="G154" s="29">
        <v>0.33333333333333331</v>
      </c>
      <c r="H154" s="29">
        <v>0.45833333333333331</v>
      </c>
      <c r="I154" s="28">
        <v>4</v>
      </c>
      <c r="J154" s="28">
        <v>10</v>
      </c>
      <c r="K154" s="28" t="s">
        <v>198</v>
      </c>
      <c r="L154" s="28">
        <v>10</v>
      </c>
      <c r="M154" s="28">
        <v>1</v>
      </c>
      <c r="N154" s="28" t="s">
        <v>522</v>
      </c>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c r="CH154" s="28"/>
      <c r="CI154" s="28"/>
      <c r="CJ154" s="28"/>
      <c r="CK154" s="28"/>
      <c r="CL154" s="28"/>
      <c r="CM154" s="28"/>
      <c r="CN154" s="28"/>
      <c r="CO154" s="28"/>
      <c r="CP154" s="28"/>
      <c r="CQ154" s="28"/>
      <c r="CR154" s="28"/>
      <c r="CS154" s="28"/>
      <c r="CT154" s="28"/>
      <c r="CU154" s="28"/>
      <c r="CV154" s="28"/>
      <c r="CW154" s="28"/>
      <c r="CX154" s="28"/>
      <c r="CY154" s="28"/>
      <c r="CZ154" s="28"/>
      <c r="DA154" s="28"/>
      <c r="DB154" s="28"/>
      <c r="DC154" s="28"/>
      <c r="DD154" s="28"/>
      <c r="DE154" s="28"/>
      <c r="DF154" s="28"/>
      <c r="DG154" s="28"/>
      <c r="DH154" s="28"/>
      <c r="DI154" s="28"/>
      <c r="DJ154" s="28"/>
      <c r="DK154" s="28"/>
      <c r="DL154" s="28"/>
      <c r="DM154" s="28"/>
      <c r="DN154" s="28"/>
      <c r="DO154" s="28"/>
      <c r="DP154" s="28"/>
      <c r="DQ154" s="28"/>
      <c r="DR154" s="28"/>
      <c r="DS154" s="28"/>
      <c r="DT154" s="28"/>
      <c r="DU154" s="28"/>
      <c r="DV154" s="28"/>
      <c r="DW154" s="28"/>
      <c r="DX154" s="28"/>
      <c r="DY154" s="28"/>
      <c r="DZ154" s="28"/>
      <c r="EA154" s="28"/>
      <c r="EB154" s="28"/>
      <c r="EC154" s="28"/>
      <c r="ED154" s="28"/>
      <c r="EE154" s="28"/>
      <c r="EF154" s="28"/>
      <c r="EG154" s="28"/>
      <c r="EH154" s="28"/>
      <c r="EI154" s="28"/>
      <c r="EJ154" s="28"/>
      <c r="EK154" s="28"/>
      <c r="EL154" s="28"/>
      <c r="EM154" s="28"/>
      <c r="EN154" s="28"/>
      <c r="EO154" s="28"/>
      <c r="EP154" s="28"/>
      <c r="EQ154" s="28"/>
      <c r="ER154" s="28"/>
      <c r="ES154" s="28"/>
      <c r="ET154" s="28"/>
      <c r="EU154" s="28"/>
      <c r="EV154" s="28"/>
      <c r="EW154" s="28"/>
      <c r="EX154" s="28"/>
      <c r="EY154" s="28"/>
      <c r="EZ154" s="28"/>
      <c r="FA154" s="28"/>
      <c r="FB154" s="28"/>
      <c r="FC154" s="28"/>
      <c r="FD154" s="28"/>
      <c r="FE154" s="28"/>
      <c r="FF154" s="28"/>
      <c r="FG154" s="28"/>
      <c r="FH154" s="28"/>
      <c r="FI154" s="28"/>
      <c r="FJ154" s="28"/>
      <c r="FK154" s="28"/>
      <c r="FL154" s="28"/>
      <c r="FM154" s="28"/>
      <c r="FN154" s="28"/>
      <c r="FO154" s="28"/>
      <c r="FP154" s="28"/>
      <c r="FQ154" s="28"/>
      <c r="FR154" s="28"/>
      <c r="FS154" s="28">
        <v>3</v>
      </c>
      <c r="FT154" s="28"/>
      <c r="FU154" s="28"/>
      <c r="FV154" s="28"/>
      <c r="FW154" s="28"/>
      <c r="FX154" s="28"/>
      <c r="FY154" s="28"/>
      <c r="FZ154" s="28"/>
      <c r="GA154" s="28"/>
      <c r="GB154" s="28"/>
      <c r="GC154" s="28"/>
      <c r="GD154" s="28"/>
      <c r="GE154" s="28"/>
      <c r="GF154" s="28"/>
      <c r="GG154" s="28"/>
      <c r="GH154" s="28"/>
      <c r="GI154" s="28"/>
      <c r="GJ154" s="28"/>
      <c r="GK154" s="28"/>
      <c r="GL154" s="28"/>
      <c r="GM154" s="28"/>
      <c r="GN154" s="28"/>
      <c r="GO154" s="28"/>
      <c r="GP154" s="28"/>
      <c r="GQ154" s="28"/>
      <c r="GR154" s="28"/>
      <c r="GS154" s="28"/>
      <c r="GT154" s="28"/>
      <c r="GU154" s="28"/>
      <c r="GV154" s="28"/>
      <c r="GW154" s="28"/>
      <c r="GX154" s="28"/>
      <c r="GY154" s="28"/>
      <c r="GZ154" s="28"/>
      <c r="HA154" s="28"/>
      <c r="HB154" s="28"/>
      <c r="HC154" s="28"/>
      <c r="HD154" s="28"/>
      <c r="HE154" s="28"/>
      <c r="HF154" s="28"/>
      <c r="HG154" s="28"/>
      <c r="HH154" s="28"/>
      <c r="HI154" s="28"/>
    </row>
    <row r="155" spans="1:217" ht="13" x14ac:dyDescent="0.15">
      <c r="A155" s="13">
        <v>43214</v>
      </c>
      <c r="B155" s="3" t="s">
        <v>244</v>
      </c>
      <c r="C155" s="16">
        <f t="shared" si="80"/>
        <v>148</v>
      </c>
      <c r="D155" s="3">
        <v>21.310611999999999</v>
      </c>
      <c r="E155" s="3">
        <v>-158.00441000000001</v>
      </c>
      <c r="F155" s="3" t="s">
        <v>326</v>
      </c>
      <c r="G155" s="14">
        <v>0.375</v>
      </c>
      <c r="H155" s="14">
        <v>0.44444444444444442</v>
      </c>
      <c r="I155" s="3">
        <v>6</v>
      </c>
      <c r="J155" s="3">
        <v>8</v>
      </c>
      <c r="K155" s="3" t="s">
        <v>217</v>
      </c>
      <c r="L155" s="3">
        <v>4</v>
      </c>
      <c r="M155" s="3">
        <v>20</v>
      </c>
      <c r="N155" s="3" t="s">
        <v>421</v>
      </c>
      <c r="P155" s="3">
        <v>20</v>
      </c>
      <c r="R155" s="3">
        <v>1</v>
      </c>
      <c r="AA155" s="3"/>
      <c r="AB155" s="3">
        <v>4</v>
      </c>
      <c r="AC155" s="3">
        <v>1</v>
      </c>
      <c r="AE155" s="3">
        <v>3</v>
      </c>
      <c r="AI155" s="3">
        <v>2</v>
      </c>
      <c r="BE155" s="3">
        <v>13</v>
      </c>
      <c r="BV155" s="3">
        <v>13</v>
      </c>
      <c r="BZ155" s="3">
        <v>35</v>
      </c>
      <c r="CO155" s="3">
        <v>1</v>
      </c>
      <c r="CS155" s="3">
        <v>2</v>
      </c>
      <c r="DF155" s="3"/>
      <c r="DG155" s="3">
        <v>4</v>
      </c>
      <c r="DM155" s="3">
        <v>2</v>
      </c>
      <c r="DO155" s="3">
        <v>1</v>
      </c>
      <c r="DT155" s="3"/>
      <c r="DU155" s="3"/>
      <c r="DV155" s="3">
        <v>5</v>
      </c>
      <c r="EC155" s="3">
        <v>3</v>
      </c>
      <c r="EG155" s="3"/>
      <c r="EH155" s="3"/>
      <c r="EI155" s="3">
        <v>25</v>
      </c>
      <c r="EJ155" s="3">
        <v>208</v>
      </c>
      <c r="ET155" s="3"/>
      <c r="EU155" s="3"/>
      <c r="EV155" s="3">
        <v>4</v>
      </c>
      <c r="EW155" s="3">
        <v>1</v>
      </c>
      <c r="FB155" s="3">
        <v>28</v>
      </c>
      <c r="FF155" s="3">
        <v>22</v>
      </c>
      <c r="FR155" s="3">
        <v>3</v>
      </c>
      <c r="FS155" s="3">
        <v>11</v>
      </c>
      <c r="GG155" s="3">
        <v>9</v>
      </c>
      <c r="GH155" s="3">
        <f t="shared" ref="GH155:GH158" si="81">COUNT(R155:GG155)</f>
        <v>24</v>
      </c>
      <c r="GI155" s="3">
        <f t="shared" ref="GI155:GI158" si="82">COUNTIF(R155:GG155,"&gt;=2")</f>
        <v>19</v>
      </c>
      <c r="GJ155" s="3">
        <f t="shared" ref="GJ155:GJ158" si="83">COUNTIF(R155:GG155,"&gt;=5")</f>
        <v>10</v>
      </c>
      <c r="GK155" s="3">
        <f t="shared" ref="GK155:GK158" si="84">SUM(R155:GG155)</f>
        <v>401</v>
      </c>
      <c r="GL155" s="3">
        <f t="shared" ref="GL155:GL158" si="85">25*P155</f>
        <v>500</v>
      </c>
      <c r="GM155" s="3">
        <f t="shared" ref="GM155:GM158" si="86">GL155-GK155</f>
        <v>99</v>
      </c>
    </row>
    <row r="156" spans="1:217" ht="13" x14ac:dyDescent="0.15">
      <c r="A156" s="24">
        <v>43214</v>
      </c>
      <c r="B156" s="25" t="s">
        <v>201</v>
      </c>
      <c r="C156" s="16">
        <f t="shared" si="80"/>
        <v>149</v>
      </c>
      <c r="D156" s="25">
        <v>21.25544</v>
      </c>
      <c r="E156" s="25">
        <v>-157.810303</v>
      </c>
      <c r="F156" s="25" t="s">
        <v>422</v>
      </c>
      <c r="G156" s="26">
        <v>0.38541666666666669</v>
      </c>
      <c r="H156" s="26">
        <v>0.40972222222222221</v>
      </c>
      <c r="I156" s="25">
        <v>7</v>
      </c>
      <c r="J156" s="25">
        <v>12</v>
      </c>
      <c r="K156" s="25" t="s">
        <v>198</v>
      </c>
      <c r="L156" s="25">
        <v>5</v>
      </c>
      <c r="M156" s="25">
        <v>25</v>
      </c>
      <c r="N156" s="25" t="s">
        <v>523</v>
      </c>
      <c r="O156" s="25"/>
      <c r="P156" s="25">
        <v>25</v>
      </c>
      <c r="Q156" s="25"/>
      <c r="R156" s="25"/>
      <c r="S156" s="25"/>
      <c r="T156" s="25"/>
      <c r="U156" s="25"/>
      <c r="V156" s="25"/>
      <c r="W156" s="25"/>
      <c r="X156" s="25"/>
      <c r="Y156" s="25"/>
      <c r="Z156" s="25"/>
      <c r="AA156" s="25"/>
      <c r="AB156" s="25"/>
      <c r="AC156" s="25"/>
      <c r="AD156" s="25"/>
      <c r="AE156" s="25">
        <v>4</v>
      </c>
      <c r="AF156" s="25"/>
      <c r="AG156" s="25"/>
      <c r="AH156" s="25"/>
      <c r="AI156" s="25">
        <v>2</v>
      </c>
      <c r="AJ156" s="25"/>
      <c r="AK156" s="25"/>
      <c r="AL156" s="25"/>
      <c r="AM156" s="25"/>
      <c r="AN156" s="25"/>
      <c r="AO156" s="25"/>
      <c r="AP156" s="25"/>
      <c r="AQ156" s="25"/>
      <c r="AR156" s="25"/>
      <c r="AS156" s="25"/>
      <c r="AT156" s="25"/>
      <c r="AU156" s="25"/>
      <c r="AV156" s="25">
        <v>1</v>
      </c>
      <c r="AW156" s="25"/>
      <c r="AX156" s="25"/>
      <c r="AY156" s="25"/>
      <c r="AZ156" s="25"/>
      <c r="BA156" s="25"/>
      <c r="BB156" s="25">
        <v>3</v>
      </c>
      <c r="BC156" s="25"/>
      <c r="BD156" s="25"/>
      <c r="BE156" s="25">
        <v>1</v>
      </c>
      <c r="BF156" s="25">
        <v>3</v>
      </c>
      <c r="BG156" s="25"/>
      <c r="BH156" s="25"/>
      <c r="BI156" s="25"/>
      <c r="BJ156" s="25"/>
      <c r="BK156" s="25"/>
      <c r="BL156" s="25"/>
      <c r="BM156" s="25">
        <v>4</v>
      </c>
      <c r="BN156" s="25"/>
      <c r="BO156" s="25"/>
      <c r="BP156" s="25"/>
      <c r="BQ156" s="25">
        <v>46</v>
      </c>
      <c r="BR156" s="25"/>
      <c r="BS156" s="25"/>
      <c r="BT156" s="25"/>
      <c r="BU156" s="25"/>
      <c r="BV156" s="25">
        <v>2</v>
      </c>
      <c r="BW156" s="25"/>
      <c r="BX156" s="25"/>
      <c r="BY156" s="25"/>
      <c r="BZ156" s="25">
        <v>11</v>
      </c>
      <c r="CA156" s="25"/>
      <c r="CB156" s="25"/>
      <c r="CC156" s="25"/>
      <c r="CD156" s="25"/>
      <c r="CE156" s="25">
        <v>1</v>
      </c>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v>5</v>
      </c>
      <c r="DN156" s="25"/>
      <c r="DO156" s="25"/>
      <c r="DP156" s="25"/>
      <c r="DQ156" s="25"/>
      <c r="DR156" s="25"/>
      <c r="DS156" s="25">
        <v>5</v>
      </c>
      <c r="DT156" s="25"/>
      <c r="DU156" s="25"/>
      <c r="DV156" s="25"/>
      <c r="DW156" s="25"/>
      <c r="DX156" s="25"/>
      <c r="DY156" s="25"/>
      <c r="DZ156" s="25"/>
      <c r="EA156" s="25"/>
      <c r="EB156" s="25"/>
      <c r="EC156" s="25"/>
      <c r="ED156" s="25"/>
      <c r="EE156" s="25"/>
      <c r="EF156" s="25"/>
      <c r="EG156" s="25"/>
      <c r="EH156" s="25"/>
      <c r="EI156" s="25"/>
      <c r="EJ156" s="25">
        <v>315</v>
      </c>
      <c r="EK156" s="25"/>
      <c r="EL156" s="25"/>
      <c r="EM156" s="25"/>
      <c r="EN156" s="25"/>
      <c r="EO156" s="25"/>
      <c r="EP156" s="25"/>
      <c r="EQ156" s="25"/>
      <c r="ER156" s="25"/>
      <c r="ES156" s="25"/>
      <c r="ET156" s="25"/>
      <c r="EU156" s="25"/>
      <c r="EV156" s="25"/>
      <c r="EW156" s="25"/>
      <c r="EX156" s="25"/>
      <c r="EY156" s="25"/>
      <c r="EZ156" s="25"/>
      <c r="FA156" s="25"/>
      <c r="FB156" s="25">
        <v>5</v>
      </c>
      <c r="FC156" s="25"/>
      <c r="FD156" s="25"/>
      <c r="FE156" s="25"/>
      <c r="FF156" s="25">
        <v>5</v>
      </c>
      <c r="FG156" s="25"/>
      <c r="FH156" s="25"/>
      <c r="FI156" s="25"/>
      <c r="FJ156" s="25"/>
      <c r="FK156" s="25"/>
      <c r="FL156" s="25"/>
      <c r="FM156" s="25"/>
      <c r="FN156" s="25"/>
      <c r="FO156" s="25"/>
      <c r="FP156" s="25"/>
      <c r="FQ156" s="25"/>
      <c r="FR156" s="25">
        <v>34</v>
      </c>
      <c r="FS156" s="25">
        <v>23</v>
      </c>
      <c r="FT156" s="25"/>
      <c r="FU156" s="25"/>
      <c r="FV156" s="25"/>
      <c r="FW156" s="25">
        <v>4</v>
      </c>
      <c r="FX156" s="25"/>
      <c r="FY156" s="25"/>
      <c r="FZ156" s="25"/>
      <c r="GA156" s="25"/>
      <c r="GB156" s="25"/>
      <c r="GC156" s="25">
        <v>2</v>
      </c>
      <c r="GD156" s="25"/>
      <c r="GE156" s="25"/>
      <c r="GF156" s="25"/>
      <c r="GG156" s="25">
        <v>2</v>
      </c>
      <c r="GH156" s="25">
        <f t="shared" si="81"/>
        <v>21</v>
      </c>
      <c r="GI156" s="25">
        <f t="shared" si="82"/>
        <v>18</v>
      </c>
      <c r="GJ156" s="25">
        <f t="shared" si="83"/>
        <v>9</v>
      </c>
      <c r="GK156" s="25">
        <f t="shared" si="84"/>
        <v>478</v>
      </c>
      <c r="GL156" s="25">
        <f t="shared" si="85"/>
        <v>625</v>
      </c>
      <c r="GM156" s="25">
        <f t="shared" si="86"/>
        <v>147</v>
      </c>
      <c r="GN156" s="25"/>
      <c r="GO156" s="25"/>
      <c r="GP156" s="25"/>
      <c r="GQ156" s="25"/>
      <c r="GR156" s="25"/>
      <c r="GS156" s="25"/>
      <c r="GT156" s="25"/>
      <c r="GU156" s="25"/>
      <c r="GV156" s="25"/>
      <c r="GW156" s="25"/>
      <c r="GX156" s="25"/>
      <c r="GY156" s="25"/>
      <c r="GZ156" s="25"/>
      <c r="HA156" s="25"/>
      <c r="HB156" s="25"/>
      <c r="HC156" s="25"/>
      <c r="HD156" s="25"/>
      <c r="HE156" s="25"/>
      <c r="HF156" s="25"/>
      <c r="HG156" s="25"/>
      <c r="HH156" s="25"/>
      <c r="HI156" s="25"/>
    </row>
    <row r="157" spans="1:217" ht="13" x14ac:dyDescent="0.15">
      <c r="A157" s="13">
        <v>43215</v>
      </c>
      <c r="B157" s="3" t="s">
        <v>340</v>
      </c>
      <c r="C157" s="16">
        <f t="shared" si="80"/>
        <v>150</v>
      </c>
      <c r="D157" s="3">
        <v>19.643276</v>
      </c>
      <c r="E157" s="3">
        <v>-156.01019299999999</v>
      </c>
      <c r="F157" s="3" t="s">
        <v>381</v>
      </c>
      <c r="G157" s="14">
        <v>0.31597222222222221</v>
      </c>
      <c r="H157" s="14">
        <v>0.34375</v>
      </c>
      <c r="I157" s="3">
        <v>5</v>
      </c>
      <c r="J157" s="3">
        <v>21</v>
      </c>
      <c r="K157" s="3" t="s">
        <v>198</v>
      </c>
      <c r="L157" s="3">
        <v>11</v>
      </c>
      <c r="M157" s="3">
        <v>50</v>
      </c>
      <c r="N157" s="3" t="s">
        <v>425</v>
      </c>
      <c r="P157" s="3">
        <v>50</v>
      </c>
      <c r="S157" s="3">
        <v>7</v>
      </c>
      <c r="AJ157" s="3"/>
      <c r="AK157" s="3"/>
      <c r="AL157" s="3"/>
      <c r="AM157" s="3">
        <v>371</v>
      </c>
      <c r="BM157" s="3">
        <v>8</v>
      </c>
      <c r="CC157" s="3">
        <v>23</v>
      </c>
      <c r="CD157" s="3">
        <v>7</v>
      </c>
      <c r="EB157" s="3">
        <v>1</v>
      </c>
      <c r="FF157" s="3">
        <v>12</v>
      </c>
      <c r="FM157" s="3">
        <v>7</v>
      </c>
      <c r="FR157" s="3">
        <v>1</v>
      </c>
      <c r="FS157" s="3">
        <v>398</v>
      </c>
      <c r="FT157" s="3">
        <v>6</v>
      </c>
      <c r="GH157" s="3">
        <f t="shared" si="81"/>
        <v>11</v>
      </c>
      <c r="GI157" s="3">
        <f t="shared" si="82"/>
        <v>9</v>
      </c>
      <c r="GJ157" s="3">
        <f t="shared" si="83"/>
        <v>9</v>
      </c>
      <c r="GK157" s="3">
        <f t="shared" si="84"/>
        <v>841</v>
      </c>
      <c r="GL157" s="3">
        <f t="shared" si="85"/>
        <v>1250</v>
      </c>
      <c r="GM157" s="3">
        <f t="shared" si="86"/>
        <v>409</v>
      </c>
    </row>
    <row r="158" spans="1:217" ht="13" x14ac:dyDescent="0.15">
      <c r="A158" s="13">
        <v>43216</v>
      </c>
      <c r="B158" s="3" t="s">
        <v>329</v>
      </c>
      <c r="C158" s="16">
        <f t="shared" si="80"/>
        <v>151</v>
      </c>
      <c r="D158" s="3">
        <v>21.140799999999999</v>
      </c>
      <c r="E158" s="3">
        <v>-157.29011499999999</v>
      </c>
      <c r="F158" s="3" t="s">
        <v>330</v>
      </c>
      <c r="G158" s="14">
        <v>0.39583333333333331</v>
      </c>
      <c r="H158" s="14">
        <v>0.4236111111111111</v>
      </c>
      <c r="I158" s="3">
        <v>5</v>
      </c>
      <c r="J158" s="3">
        <v>9.5</v>
      </c>
      <c r="K158" s="3" t="s">
        <v>318</v>
      </c>
      <c r="L158" s="3">
        <v>5</v>
      </c>
      <c r="M158" s="3">
        <v>23</v>
      </c>
      <c r="N158" s="3" t="s">
        <v>426</v>
      </c>
      <c r="P158" s="3">
        <v>23</v>
      </c>
      <c r="S158" s="3">
        <v>4</v>
      </c>
      <c r="BE158" s="3">
        <v>8</v>
      </c>
      <c r="BZ158" s="3">
        <v>9</v>
      </c>
      <c r="CS158" s="3">
        <v>24</v>
      </c>
      <c r="DM158" s="3">
        <v>4</v>
      </c>
      <c r="DO158" s="3">
        <v>10</v>
      </c>
      <c r="EJ158" s="3">
        <v>34</v>
      </c>
      <c r="FD158" s="3"/>
      <c r="FE158" s="3">
        <v>6</v>
      </c>
      <c r="FQ158" s="3">
        <v>10</v>
      </c>
      <c r="FS158" s="3">
        <v>128</v>
      </c>
      <c r="GH158" s="3">
        <f t="shared" si="81"/>
        <v>10</v>
      </c>
      <c r="GI158" s="3">
        <f t="shared" si="82"/>
        <v>10</v>
      </c>
      <c r="GJ158" s="3">
        <f t="shared" si="83"/>
        <v>8</v>
      </c>
      <c r="GK158" s="3">
        <f t="shared" si="84"/>
        <v>237</v>
      </c>
      <c r="GL158" s="3">
        <f t="shared" si="85"/>
        <v>575</v>
      </c>
      <c r="GM158" s="3">
        <f t="shared" si="86"/>
        <v>338</v>
      </c>
    </row>
    <row r="159" spans="1:217" ht="13" x14ac:dyDescent="0.15">
      <c r="A159" s="27">
        <v>43217</v>
      </c>
      <c r="B159" s="28" t="s">
        <v>377</v>
      </c>
      <c r="C159" s="16">
        <f t="shared" si="80"/>
        <v>152</v>
      </c>
      <c r="D159" s="28">
        <v>20.704999999999998</v>
      </c>
      <c r="E159" s="28">
        <v>-156.446945</v>
      </c>
      <c r="F159" s="28" t="s">
        <v>378</v>
      </c>
      <c r="G159" s="29">
        <v>0.4284722222222222</v>
      </c>
      <c r="H159" s="29">
        <v>0.47361111111111109</v>
      </c>
      <c r="I159" s="28">
        <v>7</v>
      </c>
      <c r="J159" s="28">
        <v>16</v>
      </c>
      <c r="K159" s="28" t="s">
        <v>198</v>
      </c>
      <c r="L159" s="28">
        <v>7</v>
      </c>
      <c r="M159" s="28">
        <v>17</v>
      </c>
      <c r="N159" s="28" t="s">
        <v>524</v>
      </c>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v>2</v>
      </c>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c r="CC159" s="28"/>
      <c r="CD159" s="28"/>
      <c r="CE159" s="28">
        <v>2</v>
      </c>
      <c r="CF159" s="28"/>
      <c r="CG159" s="28"/>
      <c r="CH159" s="28"/>
      <c r="CI159" s="28"/>
      <c r="CJ159" s="28">
        <v>9</v>
      </c>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c r="DH159" s="28"/>
      <c r="DI159" s="28"/>
      <c r="DJ159" s="28"/>
      <c r="DK159" s="28"/>
      <c r="DL159" s="28"/>
      <c r="DM159" s="28"/>
      <c r="DN159" s="28"/>
      <c r="DO159" s="28"/>
      <c r="DP159" s="28"/>
      <c r="DQ159" s="28"/>
      <c r="DR159" s="28"/>
      <c r="DS159" s="28"/>
      <c r="DT159" s="28"/>
      <c r="DU159" s="28"/>
      <c r="DV159" s="28"/>
      <c r="DW159" s="28"/>
      <c r="DX159" s="28"/>
      <c r="DY159" s="28"/>
      <c r="DZ159" s="28"/>
      <c r="EA159" s="28"/>
      <c r="EB159" s="28"/>
      <c r="EC159" s="28"/>
      <c r="ED159" s="28"/>
      <c r="EE159" s="28"/>
      <c r="EF159" s="28"/>
      <c r="EG159" s="28"/>
      <c r="EH159" s="28"/>
      <c r="EI159" s="28"/>
      <c r="EJ159" s="28"/>
      <c r="EK159" s="28"/>
      <c r="EL159" s="28"/>
      <c r="EM159" s="28"/>
      <c r="EN159" s="28"/>
      <c r="EO159" s="28"/>
      <c r="EP159" s="28"/>
      <c r="EQ159" s="28"/>
      <c r="ER159" s="28"/>
      <c r="ES159" s="28"/>
      <c r="ET159" s="28"/>
      <c r="EU159" s="28"/>
      <c r="EV159" s="28">
        <v>1</v>
      </c>
      <c r="EW159" s="28">
        <v>5</v>
      </c>
      <c r="EX159" s="28">
        <v>17</v>
      </c>
      <c r="EY159" s="28"/>
      <c r="EZ159" s="28"/>
      <c r="FA159" s="28"/>
      <c r="FB159" s="28"/>
      <c r="FC159" s="28"/>
      <c r="FD159" s="28"/>
      <c r="FE159" s="28"/>
      <c r="FF159" s="28"/>
      <c r="FG159" s="28"/>
      <c r="FH159" s="28"/>
      <c r="FI159" s="28"/>
      <c r="FJ159" s="28"/>
      <c r="FK159" s="28"/>
      <c r="FL159" s="28"/>
      <c r="FM159" s="28"/>
      <c r="FN159" s="28"/>
      <c r="FO159" s="28"/>
      <c r="FP159" s="28"/>
      <c r="FQ159" s="28"/>
      <c r="FR159" s="28"/>
      <c r="FS159" s="28">
        <v>226</v>
      </c>
      <c r="FT159" s="28"/>
      <c r="FU159" s="28"/>
      <c r="FV159" s="28"/>
      <c r="FW159" s="28"/>
      <c r="FX159" s="28"/>
      <c r="FY159" s="28"/>
      <c r="FZ159" s="28"/>
      <c r="GA159" s="28"/>
      <c r="GB159" s="28"/>
      <c r="GC159" s="28"/>
      <c r="GD159" s="28"/>
      <c r="GE159" s="28"/>
      <c r="GF159" s="28"/>
      <c r="GG159" s="28"/>
      <c r="GH159" s="28"/>
      <c r="GI159" s="28"/>
      <c r="GJ159" s="28"/>
      <c r="GK159" s="28"/>
      <c r="GL159" s="28"/>
      <c r="GM159" s="28"/>
      <c r="GN159" s="28"/>
      <c r="GO159" s="28"/>
      <c r="GP159" s="28"/>
      <c r="GQ159" s="28"/>
      <c r="GR159" s="28"/>
      <c r="GS159" s="28"/>
      <c r="GT159" s="28"/>
      <c r="GU159" s="28"/>
      <c r="GV159" s="28"/>
      <c r="GW159" s="28"/>
      <c r="GX159" s="28"/>
      <c r="GY159" s="28"/>
      <c r="GZ159" s="28"/>
      <c r="HA159" s="28"/>
      <c r="HB159" s="28"/>
      <c r="HC159" s="28"/>
      <c r="HD159" s="28"/>
      <c r="HE159" s="28"/>
      <c r="HF159" s="28"/>
      <c r="HG159" s="28"/>
      <c r="HH159" s="28"/>
      <c r="HI159" s="28"/>
    </row>
    <row r="160" spans="1:217" ht="13" x14ac:dyDescent="0.15">
      <c r="A160" s="27">
        <v>43219</v>
      </c>
      <c r="B160" s="28" t="s">
        <v>374</v>
      </c>
      <c r="C160" s="16">
        <f t="shared" si="80"/>
        <v>153</v>
      </c>
      <c r="D160" s="28">
        <v>20.738001000000001</v>
      </c>
      <c r="E160" s="28">
        <v>-156.895004</v>
      </c>
      <c r="F160" s="28" t="s">
        <v>375</v>
      </c>
      <c r="G160" s="29">
        <v>0.35625000000000001</v>
      </c>
      <c r="H160" s="29">
        <v>0.44791666666666669</v>
      </c>
      <c r="I160" s="28">
        <v>5</v>
      </c>
      <c r="J160" s="28">
        <v>20</v>
      </c>
      <c r="K160" s="28" t="s">
        <v>460</v>
      </c>
      <c r="L160" s="28">
        <v>5</v>
      </c>
      <c r="M160" s="28">
        <v>19</v>
      </c>
      <c r="N160" s="28" t="s">
        <v>525</v>
      </c>
      <c r="O160" s="28"/>
      <c r="P160" s="28"/>
      <c r="Q160" s="28"/>
      <c r="R160" s="28"/>
      <c r="S160" s="28"/>
      <c r="T160" s="28"/>
      <c r="U160" s="28"/>
      <c r="V160" s="28"/>
      <c r="W160" s="28"/>
      <c r="X160" s="28"/>
      <c r="Y160" s="28"/>
      <c r="Z160" s="28"/>
      <c r="AA160" s="28"/>
      <c r="AB160" s="28"/>
      <c r="AC160" s="28"/>
      <c r="AD160" s="28"/>
      <c r="AE160" s="28">
        <v>1</v>
      </c>
      <c r="AF160" s="28"/>
      <c r="AG160" s="28"/>
      <c r="AH160" s="28"/>
      <c r="AI160" s="28"/>
      <c r="AJ160" s="28"/>
      <c r="AK160" s="28"/>
      <c r="AL160" s="28"/>
      <c r="AM160" s="28"/>
      <c r="AN160" s="28">
        <v>4</v>
      </c>
      <c r="AO160" s="28"/>
      <c r="AP160" s="28"/>
      <c r="AQ160" s="28"/>
      <c r="AR160" s="28"/>
      <c r="AS160" s="28"/>
      <c r="AT160" s="28"/>
      <c r="AU160" s="28"/>
      <c r="AV160" s="28"/>
      <c r="AW160" s="28"/>
      <c r="AX160" s="28"/>
      <c r="AY160" s="28"/>
      <c r="AZ160" s="28"/>
      <c r="BA160" s="28"/>
      <c r="BB160" s="28">
        <v>7</v>
      </c>
      <c r="BC160" s="28"/>
      <c r="BD160" s="28"/>
      <c r="BE160" s="28"/>
      <c r="BF160" s="28"/>
      <c r="BG160" s="28"/>
      <c r="BH160" s="28"/>
      <c r="BI160" s="28"/>
      <c r="BJ160" s="28"/>
      <c r="BK160" s="28"/>
      <c r="BL160" s="28"/>
      <c r="BM160" s="28">
        <v>69</v>
      </c>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8"/>
      <c r="DL160" s="28"/>
      <c r="DM160" s="28"/>
      <c r="DN160" s="28"/>
      <c r="DO160" s="28"/>
      <c r="DP160" s="28">
        <v>1</v>
      </c>
      <c r="DQ160" s="28"/>
      <c r="DR160" s="28"/>
      <c r="DS160" s="28"/>
      <c r="DT160" s="28"/>
      <c r="DU160" s="28"/>
      <c r="DV160" s="28"/>
      <c r="DW160" s="28"/>
      <c r="DX160" s="28"/>
      <c r="DY160" s="28"/>
      <c r="DZ160" s="28"/>
      <c r="EA160" s="28"/>
      <c r="EB160" s="28"/>
      <c r="EC160" s="28"/>
      <c r="ED160" s="28"/>
      <c r="EE160" s="28"/>
      <c r="EF160" s="28"/>
      <c r="EG160" s="28"/>
      <c r="EH160" s="28"/>
      <c r="EI160" s="28"/>
      <c r="EJ160" s="28">
        <v>2</v>
      </c>
      <c r="EK160" s="28"/>
      <c r="EL160" s="28"/>
      <c r="EM160" s="28"/>
      <c r="EN160" s="28"/>
      <c r="EO160" s="28"/>
      <c r="EP160" s="28"/>
      <c r="EQ160" s="28"/>
      <c r="ER160" s="28"/>
      <c r="ES160" s="28"/>
      <c r="ET160" s="28"/>
      <c r="EU160" s="28"/>
      <c r="EV160" s="28"/>
      <c r="EW160" s="28"/>
      <c r="EX160" s="28"/>
      <c r="EY160" s="28"/>
      <c r="EZ160" s="28"/>
      <c r="FA160" s="28"/>
      <c r="FB160" s="28"/>
      <c r="FC160" s="28"/>
      <c r="FD160" s="28"/>
      <c r="FE160" s="28"/>
      <c r="FF160" s="28"/>
      <c r="FG160" s="28"/>
      <c r="FH160" s="28"/>
      <c r="FI160" s="28"/>
      <c r="FJ160" s="28"/>
      <c r="FK160" s="28"/>
      <c r="FL160" s="28"/>
      <c r="FM160" s="28"/>
      <c r="FN160" s="28"/>
      <c r="FO160" s="28"/>
      <c r="FP160" s="28"/>
      <c r="FQ160" s="28"/>
      <c r="FR160" s="28"/>
      <c r="FS160" s="28">
        <v>148</v>
      </c>
      <c r="FT160" s="28"/>
      <c r="FU160" s="28"/>
      <c r="FV160" s="28"/>
      <c r="FW160" s="28"/>
      <c r="FX160" s="28"/>
      <c r="FY160" s="28"/>
      <c r="FZ160" s="28"/>
      <c r="GA160" s="28"/>
      <c r="GB160" s="28"/>
      <c r="GC160" s="28"/>
      <c r="GD160" s="28"/>
      <c r="GE160" s="28"/>
      <c r="GF160" s="28"/>
      <c r="GG160" s="28"/>
      <c r="GH160" s="28"/>
      <c r="GI160" s="28"/>
      <c r="GJ160" s="28"/>
      <c r="GK160" s="28"/>
      <c r="GL160" s="28"/>
      <c r="GM160" s="28"/>
      <c r="GN160" s="28"/>
      <c r="GO160" s="28"/>
      <c r="GP160" s="28"/>
      <c r="GQ160" s="28"/>
      <c r="GR160" s="28"/>
      <c r="GS160" s="28"/>
      <c r="GT160" s="28"/>
      <c r="GU160" s="28"/>
      <c r="GV160" s="28"/>
      <c r="GW160" s="28"/>
      <c r="GX160" s="28"/>
      <c r="GY160" s="28"/>
      <c r="GZ160" s="28"/>
      <c r="HA160" s="28"/>
      <c r="HB160" s="28"/>
      <c r="HC160" s="28"/>
      <c r="HD160" s="28"/>
      <c r="HE160" s="28"/>
      <c r="HF160" s="28"/>
      <c r="HG160" s="28"/>
      <c r="HH160" s="28"/>
      <c r="HI160" s="28"/>
    </row>
    <row r="161" spans="1:217" ht="13" x14ac:dyDescent="0.15">
      <c r="A161" s="27">
        <v>43221</v>
      </c>
      <c r="B161" s="28" t="s">
        <v>456</v>
      </c>
      <c r="C161" s="16">
        <f t="shared" si="80"/>
        <v>154</v>
      </c>
      <c r="D161" s="28">
        <v>21.316488</v>
      </c>
      <c r="E161" s="28">
        <v>-157.66426100000001</v>
      </c>
      <c r="F161" s="28" t="s">
        <v>385</v>
      </c>
      <c r="G161" s="29">
        <v>0.38541666666666669</v>
      </c>
      <c r="H161" s="29">
        <v>0.44097222222222221</v>
      </c>
      <c r="I161" s="28">
        <v>6</v>
      </c>
      <c r="J161" s="28">
        <v>57</v>
      </c>
      <c r="K161" s="28" t="s">
        <v>227</v>
      </c>
      <c r="L161" s="28">
        <v>5</v>
      </c>
      <c r="M161" s="28">
        <v>18</v>
      </c>
      <c r="N161" s="28" t="s">
        <v>526</v>
      </c>
      <c r="O161" s="28"/>
      <c r="P161" s="28"/>
      <c r="Q161" s="28"/>
      <c r="R161" s="28"/>
      <c r="S161" s="28"/>
      <c r="T161" s="28"/>
      <c r="U161" s="28"/>
      <c r="V161" s="28"/>
      <c r="W161" s="28"/>
      <c r="X161" s="28"/>
      <c r="Y161" s="28"/>
      <c r="Z161" s="28"/>
      <c r="AA161" s="28"/>
      <c r="AB161" s="28">
        <v>31</v>
      </c>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v>50</v>
      </c>
      <c r="BN161" s="28"/>
      <c r="BO161" s="28"/>
      <c r="BP161" s="28"/>
      <c r="BQ161" s="28"/>
      <c r="BR161" s="28"/>
      <c r="BS161" s="28"/>
      <c r="BT161" s="28"/>
      <c r="BU161" s="28"/>
      <c r="BV161" s="28"/>
      <c r="BW161" s="28"/>
      <c r="BX161" s="28"/>
      <c r="BY161" s="28"/>
      <c r="BZ161" s="28"/>
      <c r="CA161" s="28"/>
      <c r="CB161" s="28"/>
      <c r="CC161" s="28">
        <v>6</v>
      </c>
      <c r="CD161" s="28"/>
      <c r="CE161" s="28"/>
      <c r="CF161" s="28"/>
      <c r="CG161" s="28"/>
      <c r="CH161" s="28">
        <v>3</v>
      </c>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c r="DH161" s="28"/>
      <c r="DI161" s="28"/>
      <c r="DJ161" s="28"/>
      <c r="DK161" s="28"/>
      <c r="DL161" s="28"/>
      <c r="DM161" s="28"/>
      <c r="DN161" s="28"/>
      <c r="DO161" s="28"/>
      <c r="DP161" s="28"/>
      <c r="DQ161" s="28"/>
      <c r="DR161" s="28"/>
      <c r="DS161" s="28"/>
      <c r="DT161" s="28"/>
      <c r="DU161" s="28"/>
      <c r="DV161" s="28"/>
      <c r="DW161" s="28"/>
      <c r="DX161" s="28"/>
      <c r="DY161" s="28"/>
      <c r="DZ161" s="28"/>
      <c r="EA161" s="28"/>
      <c r="EB161" s="28"/>
      <c r="EC161" s="28"/>
      <c r="ED161" s="28"/>
      <c r="EE161" s="28"/>
      <c r="EF161" s="28"/>
      <c r="EG161" s="28"/>
      <c r="EH161" s="28"/>
      <c r="EI161" s="28"/>
      <c r="EJ161" s="28"/>
      <c r="EK161" s="28"/>
      <c r="EL161" s="28"/>
      <c r="EM161" s="28"/>
      <c r="EN161" s="28"/>
      <c r="EO161" s="28"/>
      <c r="EP161" s="28"/>
      <c r="EQ161" s="28"/>
      <c r="ER161" s="28"/>
      <c r="ES161" s="28"/>
      <c r="ET161" s="28"/>
      <c r="EU161" s="28"/>
      <c r="EV161" s="28"/>
      <c r="EW161" s="28"/>
      <c r="EX161" s="28"/>
      <c r="EY161" s="28"/>
      <c r="EZ161" s="28"/>
      <c r="FA161" s="28"/>
      <c r="FB161" s="28"/>
      <c r="FC161" s="28"/>
      <c r="FD161" s="28"/>
      <c r="FE161" s="28"/>
      <c r="FF161" s="28">
        <v>1</v>
      </c>
      <c r="FG161" s="28"/>
      <c r="FH161" s="28"/>
      <c r="FI161" s="28"/>
      <c r="FJ161" s="28"/>
      <c r="FK161" s="28"/>
      <c r="FL161" s="28"/>
      <c r="FM161" s="28"/>
      <c r="FN161" s="28"/>
      <c r="FO161" s="28"/>
      <c r="FP161" s="28"/>
      <c r="FQ161" s="28"/>
      <c r="FR161" s="28"/>
      <c r="FS161" s="28">
        <v>309</v>
      </c>
      <c r="FT161" s="28"/>
      <c r="FU161" s="28"/>
      <c r="FV161" s="28"/>
      <c r="FW161" s="28"/>
      <c r="FX161" s="28"/>
      <c r="FY161" s="28"/>
      <c r="FZ161" s="28"/>
      <c r="GA161" s="28"/>
      <c r="GB161" s="28"/>
      <c r="GC161" s="28"/>
      <c r="GD161" s="28"/>
      <c r="GE161" s="28"/>
      <c r="GF161" s="28"/>
      <c r="GG161" s="28"/>
      <c r="GH161" s="28"/>
      <c r="GI161" s="28"/>
      <c r="GJ161" s="28"/>
      <c r="GK161" s="28"/>
      <c r="GL161" s="28"/>
      <c r="GM161" s="28"/>
      <c r="GN161" s="28"/>
      <c r="GO161" s="28"/>
      <c r="GP161" s="28"/>
      <c r="GQ161" s="28"/>
      <c r="GR161" s="28"/>
      <c r="GS161" s="28"/>
      <c r="GT161" s="28"/>
      <c r="GU161" s="28"/>
      <c r="GV161" s="28"/>
      <c r="GW161" s="28"/>
      <c r="GX161" s="28"/>
      <c r="GY161" s="28"/>
      <c r="GZ161" s="28"/>
      <c r="HA161" s="28"/>
      <c r="HB161" s="28"/>
      <c r="HC161" s="28"/>
      <c r="HD161" s="28"/>
      <c r="HE161" s="28"/>
      <c r="HF161" s="28"/>
      <c r="HG161" s="28"/>
      <c r="HH161" s="28"/>
      <c r="HI161" s="28"/>
    </row>
    <row r="162" spans="1:217" ht="13" x14ac:dyDescent="0.15">
      <c r="A162" s="19">
        <v>43222</v>
      </c>
      <c r="B162" s="20" t="s">
        <v>246</v>
      </c>
      <c r="C162" s="16"/>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c r="DA162" s="20"/>
      <c r="DB162" s="20"/>
      <c r="DC162" s="20"/>
      <c r="DD162" s="20"/>
      <c r="DE162" s="20"/>
      <c r="DF162" s="20"/>
      <c r="DG162" s="20"/>
      <c r="DH162" s="20"/>
      <c r="DI162" s="20"/>
      <c r="DJ162" s="20"/>
      <c r="DK162" s="20"/>
      <c r="DL162" s="20"/>
      <c r="DM162" s="20"/>
      <c r="DN162" s="20"/>
      <c r="DO162" s="20"/>
      <c r="DP162" s="20"/>
      <c r="DQ162" s="20"/>
      <c r="DR162" s="20"/>
      <c r="DS162" s="20"/>
      <c r="DT162" s="20"/>
      <c r="DU162" s="20"/>
      <c r="DV162" s="20"/>
      <c r="DW162" s="20"/>
      <c r="DX162" s="20"/>
      <c r="DY162" s="20"/>
      <c r="DZ162" s="20"/>
      <c r="EA162" s="20"/>
      <c r="EB162" s="20"/>
      <c r="EC162" s="20"/>
      <c r="ED162" s="20"/>
      <c r="EE162" s="20"/>
      <c r="EF162" s="20"/>
      <c r="EG162" s="20"/>
      <c r="EH162" s="20"/>
      <c r="EI162" s="20"/>
      <c r="EJ162" s="20"/>
      <c r="EK162" s="20"/>
      <c r="EL162" s="20"/>
      <c r="EM162" s="20"/>
      <c r="EN162" s="20"/>
      <c r="EO162" s="20"/>
      <c r="EP162" s="20"/>
      <c r="EQ162" s="20"/>
      <c r="ER162" s="20"/>
      <c r="ES162" s="20"/>
      <c r="ET162" s="20"/>
      <c r="EU162" s="20"/>
      <c r="EV162" s="20"/>
      <c r="EW162" s="20"/>
      <c r="EX162" s="20"/>
      <c r="EY162" s="20"/>
      <c r="EZ162" s="20"/>
      <c r="FA162" s="20"/>
      <c r="FB162" s="20"/>
      <c r="FC162" s="20"/>
      <c r="FD162" s="20"/>
      <c r="FE162" s="20"/>
      <c r="FF162" s="20"/>
      <c r="FG162" s="20"/>
      <c r="FH162" s="20"/>
      <c r="FI162" s="20"/>
      <c r="FJ162" s="20"/>
      <c r="FK162" s="20"/>
      <c r="FL162" s="20"/>
      <c r="FM162" s="20"/>
      <c r="FN162" s="20"/>
      <c r="FO162" s="20"/>
      <c r="FP162" s="20"/>
      <c r="FQ162" s="20"/>
      <c r="FR162" s="20"/>
      <c r="FS162" s="20"/>
      <c r="FT162" s="20"/>
      <c r="FU162" s="20"/>
      <c r="FV162" s="20"/>
      <c r="FW162" s="20"/>
      <c r="FX162" s="20"/>
      <c r="FY162" s="20"/>
      <c r="FZ162" s="20"/>
      <c r="GA162" s="20"/>
      <c r="GB162" s="20"/>
      <c r="GC162" s="20"/>
      <c r="GD162" s="20"/>
      <c r="GE162" s="20"/>
      <c r="GF162" s="20"/>
      <c r="GG162" s="20"/>
      <c r="GH162" s="20"/>
      <c r="GI162" s="20"/>
      <c r="GJ162" s="20"/>
      <c r="GK162" s="20"/>
      <c r="GL162" s="20"/>
      <c r="GM162" s="20"/>
      <c r="GN162" s="20"/>
      <c r="GO162" s="20"/>
      <c r="GP162" s="20"/>
      <c r="GQ162" s="20"/>
      <c r="GR162" s="20"/>
      <c r="GS162" s="20"/>
      <c r="GT162" s="20"/>
      <c r="GU162" s="20"/>
      <c r="GV162" s="20"/>
      <c r="GW162" s="20"/>
      <c r="GX162" s="20"/>
      <c r="GY162" s="20"/>
      <c r="GZ162" s="20"/>
      <c r="HA162" s="20"/>
      <c r="HB162" s="20"/>
      <c r="HC162" s="20"/>
      <c r="HD162" s="20"/>
      <c r="HE162" s="20"/>
      <c r="HF162" s="20"/>
      <c r="HG162" s="20"/>
      <c r="HH162" s="20"/>
      <c r="HI162" s="20"/>
    </row>
    <row r="163" spans="1:217" ht="13" x14ac:dyDescent="0.15">
      <c r="A163" s="27">
        <v>43222</v>
      </c>
      <c r="B163" s="28" t="s">
        <v>216</v>
      </c>
      <c r="C163" s="16">
        <v>155</v>
      </c>
      <c r="D163" s="28">
        <v>21.3002</v>
      </c>
      <c r="E163" s="28">
        <v>-157.882599</v>
      </c>
      <c r="F163" s="28" t="s">
        <v>385</v>
      </c>
      <c r="G163" s="29">
        <v>0.38541666666666669</v>
      </c>
      <c r="H163" s="29">
        <v>0.4375</v>
      </c>
      <c r="I163" s="28">
        <v>6</v>
      </c>
      <c r="J163" s="28">
        <v>19</v>
      </c>
      <c r="K163" s="28" t="s">
        <v>198</v>
      </c>
      <c r="L163" s="28">
        <v>5</v>
      </c>
      <c r="M163" s="28">
        <v>27</v>
      </c>
      <c r="N163" s="28" t="s">
        <v>527</v>
      </c>
      <c r="O163" s="28"/>
      <c r="P163" s="28"/>
      <c r="Q163" s="28"/>
      <c r="R163" s="28"/>
      <c r="S163" s="28"/>
      <c r="T163" s="28"/>
      <c r="U163" s="28"/>
      <c r="V163" s="28"/>
      <c r="W163" s="28"/>
      <c r="X163" s="28"/>
      <c r="Y163" s="28"/>
      <c r="Z163" s="28"/>
      <c r="AA163" s="28"/>
      <c r="AB163" s="28"/>
      <c r="AC163" s="28"/>
      <c r="AD163" s="28"/>
      <c r="AE163" s="28">
        <v>5</v>
      </c>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v>5</v>
      </c>
      <c r="BN163" s="28"/>
      <c r="BO163" s="28"/>
      <c r="BP163" s="28"/>
      <c r="BQ163" s="28"/>
      <c r="BR163" s="28"/>
      <c r="BS163" s="28"/>
      <c r="BT163" s="28"/>
      <c r="BU163" s="28"/>
      <c r="BV163" s="28"/>
      <c r="BW163" s="28">
        <v>1</v>
      </c>
      <c r="BX163" s="28"/>
      <c r="BY163" s="28"/>
      <c r="BZ163" s="28"/>
      <c r="CA163" s="28"/>
      <c r="CB163" s="28"/>
      <c r="CC163" s="28">
        <v>9</v>
      </c>
      <c r="CD163" s="28"/>
      <c r="CE163" s="28"/>
      <c r="CF163" s="28"/>
      <c r="CG163" s="28"/>
      <c r="CH163" s="28"/>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c r="DH163" s="28"/>
      <c r="DI163" s="28"/>
      <c r="DJ163" s="28"/>
      <c r="DK163" s="28"/>
      <c r="DL163" s="28"/>
      <c r="DM163" s="28"/>
      <c r="DN163" s="28"/>
      <c r="DO163" s="28"/>
      <c r="DP163" s="28"/>
      <c r="DQ163" s="28"/>
      <c r="DR163" s="28"/>
      <c r="DS163" s="28"/>
      <c r="DT163" s="28"/>
      <c r="DU163" s="28"/>
      <c r="DV163" s="28"/>
      <c r="DW163" s="28"/>
      <c r="DX163" s="28"/>
      <c r="DY163" s="28"/>
      <c r="DZ163" s="28"/>
      <c r="EA163" s="28"/>
      <c r="EB163" s="28"/>
      <c r="EC163" s="28"/>
      <c r="ED163" s="28"/>
      <c r="EE163" s="28"/>
      <c r="EF163" s="28"/>
      <c r="EG163" s="28"/>
      <c r="EH163" s="28"/>
      <c r="EI163" s="28"/>
      <c r="EJ163" s="28">
        <v>8</v>
      </c>
      <c r="EK163" s="28"/>
      <c r="EL163" s="28"/>
      <c r="EM163" s="28"/>
      <c r="EN163" s="28"/>
      <c r="EO163" s="28"/>
      <c r="EP163" s="28"/>
      <c r="EQ163" s="28"/>
      <c r="ER163" s="28"/>
      <c r="ES163" s="28"/>
      <c r="ET163" s="28"/>
      <c r="EU163" s="28"/>
      <c r="EV163" s="28"/>
      <c r="EW163" s="28"/>
      <c r="EX163" s="28"/>
      <c r="EY163" s="28"/>
      <c r="EZ163" s="28"/>
      <c r="FA163" s="28"/>
      <c r="FB163" s="28"/>
      <c r="FC163" s="28"/>
      <c r="FD163" s="28"/>
      <c r="FE163" s="28"/>
      <c r="FF163" s="28">
        <v>47</v>
      </c>
      <c r="FG163" s="28"/>
      <c r="FH163" s="28"/>
      <c r="FI163" s="28"/>
      <c r="FJ163" s="28"/>
      <c r="FK163" s="28"/>
      <c r="FL163" s="28"/>
      <c r="FM163" s="28"/>
      <c r="FN163" s="28"/>
      <c r="FO163" s="28"/>
      <c r="FP163" s="28"/>
      <c r="FQ163" s="28"/>
      <c r="FR163" s="28"/>
      <c r="FS163" s="28">
        <v>363</v>
      </c>
      <c r="FT163" s="28"/>
      <c r="FU163" s="28"/>
      <c r="FV163" s="28"/>
      <c r="FW163" s="28"/>
      <c r="FX163" s="28"/>
      <c r="FY163" s="28"/>
      <c r="FZ163" s="28"/>
      <c r="GA163" s="28"/>
      <c r="GB163" s="28"/>
      <c r="GC163" s="28"/>
      <c r="GD163" s="28"/>
      <c r="GE163" s="28"/>
      <c r="GF163" s="28"/>
      <c r="GG163" s="28"/>
      <c r="GH163" s="28"/>
      <c r="GI163" s="28"/>
      <c r="GJ163" s="28"/>
      <c r="GK163" s="28"/>
      <c r="GL163" s="28"/>
      <c r="GM163" s="28"/>
      <c r="GN163" s="28"/>
      <c r="GO163" s="28"/>
      <c r="GP163" s="28"/>
      <c r="GQ163" s="28"/>
      <c r="GR163" s="28"/>
      <c r="GS163" s="28"/>
      <c r="GT163" s="28"/>
      <c r="GU163" s="28"/>
      <c r="GV163" s="28"/>
      <c r="GW163" s="28"/>
      <c r="GX163" s="28"/>
      <c r="GY163" s="28"/>
      <c r="GZ163" s="28"/>
      <c r="HA163" s="28"/>
      <c r="HB163" s="28"/>
      <c r="HC163" s="28"/>
      <c r="HD163" s="28"/>
      <c r="HE163" s="28"/>
      <c r="HF163" s="28"/>
      <c r="HG163" s="28"/>
      <c r="HH163" s="28"/>
      <c r="HI163" s="28"/>
    </row>
    <row r="164" spans="1:217" ht="13" x14ac:dyDescent="0.15">
      <c r="A164" s="13">
        <v>43230</v>
      </c>
      <c r="B164" s="3" t="s">
        <v>201</v>
      </c>
      <c r="C164" s="16">
        <f t="shared" ref="C164:C168" si="87">C163+1</f>
        <v>156</v>
      </c>
      <c r="D164" s="3">
        <v>21.25544</v>
      </c>
      <c r="E164" s="3">
        <v>-157.810303</v>
      </c>
      <c r="F164" s="3" t="s">
        <v>299</v>
      </c>
      <c r="G164" s="14">
        <v>0.3611111111111111</v>
      </c>
      <c r="H164" s="14">
        <v>0.40277777777777779</v>
      </c>
      <c r="I164" s="3">
        <v>5</v>
      </c>
      <c r="J164" s="3">
        <v>16</v>
      </c>
      <c r="K164" s="3" t="s">
        <v>217</v>
      </c>
      <c r="L164" s="3">
        <v>8</v>
      </c>
      <c r="M164" s="3">
        <v>25</v>
      </c>
      <c r="N164" s="3" t="s">
        <v>427</v>
      </c>
      <c r="P164" s="3">
        <v>25</v>
      </c>
      <c r="S164" s="3">
        <v>1</v>
      </c>
      <c r="BA164" s="3"/>
      <c r="BB164" s="3">
        <v>6</v>
      </c>
      <c r="BN164" s="3">
        <v>5</v>
      </c>
      <c r="BQ164" s="3">
        <v>8</v>
      </c>
      <c r="BZ164" s="3">
        <v>13</v>
      </c>
      <c r="DF164" s="3"/>
      <c r="DG164" s="3">
        <v>6</v>
      </c>
      <c r="DM164" s="3">
        <v>8</v>
      </c>
      <c r="DP164" s="3">
        <v>3</v>
      </c>
      <c r="DT164" s="3"/>
      <c r="DU164" s="3"/>
      <c r="DV164" s="3">
        <v>2</v>
      </c>
      <c r="EE164" s="3"/>
      <c r="EF164" s="3">
        <v>7</v>
      </c>
      <c r="EJ164" s="3">
        <v>208</v>
      </c>
      <c r="EY164" s="3"/>
      <c r="EZ164" s="3">
        <v>1</v>
      </c>
      <c r="FB164" s="3">
        <v>51</v>
      </c>
      <c r="FR164" s="3">
        <v>38</v>
      </c>
      <c r="FS164" s="3">
        <v>51</v>
      </c>
      <c r="GH164" s="3">
        <f t="shared" ref="GH164:GH165" si="88">COUNT(R164:GG164)</f>
        <v>15</v>
      </c>
      <c r="GI164" s="3">
        <f t="shared" ref="GI164:GI165" si="89">COUNTIF(R164:GG164,"&gt;=2")</f>
        <v>13</v>
      </c>
      <c r="GJ164" s="3">
        <f t="shared" ref="GJ164:GJ165" si="90">COUNTIF(R164:GG164,"&gt;=5")</f>
        <v>11</v>
      </c>
      <c r="GK164" s="3">
        <f t="shared" ref="GK164:GK165" si="91">SUM(R164:GG164)</f>
        <v>408</v>
      </c>
      <c r="GL164" s="3">
        <f t="shared" ref="GL164:GL165" si="92">25*P164</f>
        <v>625</v>
      </c>
      <c r="GM164" s="3">
        <f t="shared" ref="GM164:GM165" si="93">GL164-GK164</f>
        <v>217</v>
      </c>
    </row>
    <row r="165" spans="1:217" ht="13" x14ac:dyDescent="0.15">
      <c r="A165" s="13">
        <v>43231</v>
      </c>
      <c r="B165" s="3" t="s">
        <v>201</v>
      </c>
      <c r="C165" s="16">
        <f t="shared" si="87"/>
        <v>157</v>
      </c>
      <c r="D165" s="3">
        <v>21.25544</v>
      </c>
      <c r="E165" s="3">
        <v>-157.810303</v>
      </c>
      <c r="F165" s="3" t="s">
        <v>299</v>
      </c>
      <c r="G165" s="14">
        <v>0.375</v>
      </c>
      <c r="H165" s="14">
        <v>0.40972222222222221</v>
      </c>
      <c r="I165" s="3">
        <v>5</v>
      </c>
      <c r="J165" s="3">
        <v>16</v>
      </c>
      <c r="K165" s="3" t="s">
        <v>198</v>
      </c>
      <c r="L165" s="3">
        <v>7</v>
      </c>
      <c r="M165" s="3">
        <v>26</v>
      </c>
      <c r="N165" s="3" t="s">
        <v>430</v>
      </c>
      <c r="P165" s="3">
        <v>26</v>
      </c>
      <c r="R165" s="3">
        <v>3</v>
      </c>
      <c r="AA165" s="3"/>
      <c r="AB165" s="3">
        <v>6</v>
      </c>
      <c r="AI165" s="3">
        <v>6</v>
      </c>
      <c r="AJ165" s="3"/>
      <c r="AK165" s="3">
        <v>1</v>
      </c>
      <c r="AU165" s="3">
        <v>1</v>
      </c>
      <c r="BI165" s="3"/>
      <c r="BJ165" s="3"/>
      <c r="BK165" s="3">
        <v>1</v>
      </c>
      <c r="BM165" s="3">
        <v>29</v>
      </c>
      <c r="BQ165" s="3">
        <v>12</v>
      </c>
      <c r="BV165" s="3">
        <v>1</v>
      </c>
      <c r="BZ165" s="3">
        <v>3</v>
      </c>
      <c r="DE165" s="3">
        <v>2</v>
      </c>
      <c r="DK165" s="3">
        <v>2</v>
      </c>
      <c r="DM165" s="3">
        <v>11</v>
      </c>
      <c r="DO165" s="3">
        <v>3</v>
      </c>
      <c r="DR165" s="3"/>
      <c r="DS165" s="3">
        <v>1</v>
      </c>
      <c r="EC165" s="3">
        <v>2</v>
      </c>
      <c r="EE165" s="3"/>
      <c r="EF165" s="3">
        <v>3</v>
      </c>
      <c r="EJ165" s="3">
        <v>143</v>
      </c>
      <c r="EY165" s="3"/>
      <c r="EZ165" s="3">
        <v>2</v>
      </c>
      <c r="FB165" s="3">
        <v>51</v>
      </c>
      <c r="FR165" s="3">
        <v>42</v>
      </c>
      <c r="FS165" s="3">
        <v>121</v>
      </c>
      <c r="FV165" s="3"/>
      <c r="FW165" s="3">
        <v>3</v>
      </c>
      <c r="GB165" s="3">
        <v>8</v>
      </c>
      <c r="GH165" s="3">
        <f t="shared" si="88"/>
        <v>24</v>
      </c>
      <c r="GI165" s="3">
        <f t="shared" si="89"/>
        <v>19</v>
      </c>
      <c r="GJ165" s="3">
        <f t="shared" si="90"/>
        <v>10</v>
      </c>
      <c r="GK165" s="3">
        <f t="shared" si="91"/>
        <v>457</v>
      </c>
      <c r="GL165" s="3">
        <f t="shared" si="92"/>
        <v>650</v>
      </c>
      <c r="GM165" s="3">
        <f t="shared" si="93"/>
        <v>193</v>
      </c>
    </row>
    <row r="166" spans="1:217" ht="13" x14ac:dyDescent="0.15">
      <c r="A166" s="27">
        <v>43232</v>
      </c>
      <c r="B166" s="28" t="s">
        <v>374</v>
      </c>
      <c r="C166" s="16">
        <f t="shared" si="87"/>
        <v>158</v>
      </c>
      <c r="D166" s="28">
        <v>20.738001000000001</v>
      </c>
      <c r="E166" s="28">
        <v>-156.895004</v>
      </c>
      <c r="F166" s="28" t="s">
        <v>391</v>
      </c>
      <c r="G166" s="29">
        <v>0.37152777777777779</v>
      </c>
      <c r="H166" s="29">
        <v>0.42083333333333334</v>
      </c>
      <c r="I166" s="28">
        <v>3</v>
      </c>
      <c r="J166" s="28">
        <v>25</v>
      </c>
      <c r="K166" s="28" t="s">
        <v>198</v>
      </c>
      <c r="L166" s="28">
        <v>13</v>
      </c>
      <c r="M166" s="28">
        <v>18</v>
      </c>
      <c r="N166" s="28" t="s">
        <v>528</v>
      </c>
      <c r="O166" s="28"/>
      <c r="P166" s="28"/>
      <c r="Q166" s="28"/>
      <c r="R166" s="28"/>
      <c r="S166" s="28"/>
      <c r="T166" s="28"/>
      <c r="U166" s="28"/>
      <c r="V166" s="28"/>
      <c r="W166" s="28"/>
      <c r="X166" s="28"/>
      <c r="Y166" s="28"/>
      <c r="Z166" s="28"/>
      <c r="AA166" s="28"/>
      <c r="AB166" s="28"/>
      <c r="AC166" s="28"/>
      <c r="AD166" s="28">
        <v>20</v>
      </c>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v>301</v>
      </c>
      <c r="BN166" s="28"/>
      <c r="BO166" s="28"/>
      <c r="BP166" s="28"/>
      <c r="BQ166" s="28"/>
      <c r="BR166" s="28"/>
      <c r="BS166" s="28"/>
      <c r="BT166" s="28"/>
      <c r="BU166" s="28"/>
      <c r="BV166" s="28"/>
      <c r="BW166" s="28"/>
      <c r="BX166" s="28"/>
      <c r="BY166" s="28">
        <v>13</v>
      </c>
      <c r="BZ166" s="28"/>
      <c r="CA166" s="28"/>
      <c r="CB166" s="28"/>
      <c r="CC166" s="28">
        <v>6</v>
      </c>
      <c r="CD166" s="28"/>
      <c r="CE166" s="28"/>
      <c r="CF166" s="28"/>
      <c r="CG166" s="28"/>
      <c r="CH166" s="28">
        <v>3</v>
      </c>
      <c r="CI166" s="28"/>
      <c r="CJ166" s="28"/>
      <c r="CK166" s="28"/>
      <c r="CL166" s="28"/>
      <c r="CM166" s="28"/>
      <c r="CN166" s="28"/>
      <c r="CO166" s="28"/>
      <c r="CP166" s="28"/>
      <c r="CQ166" s="28"/>
      <c r="CR166" s="28"/>
      <c r="CS166" s="28"/>
      <c r="CT166" s="28"/>
      <c r="CU166" s="28"/>
      <c r="CV166" s="28"/>
      <c r="CW166" s="28"/>
      <c r="CX166" s="28"/>
      <c r="CY166" s="28"/>
      <c r="CZ166" s="28"/>
      <c r="DA166" s="28"/>
      <c r="DB166" s="28"/>
      <c r="DC166" s="28"/>
      <c r="DD166" s="28"/>
      <c r="DE166" s="28"/>
      <c r="DF166" s="28"/>
      <c r="DG166" s="28">
        <v>11</v>
      </c>
      <c r="DH166" s="28"/>
      <c r="DI166" s="28"/>
      <c r="DJ166" s="28"/>
      <c r="DK166" s="28"/>
      <c r="DL166" s="28"/>
      <c r="DM166" s="28"/>
      <c r="DN166" s="28"/>
      <c r="DO166" s="28"/>
      <c r="DP166" s="28"/>
      <c r="DQ166" s="28"/>
      <c r="DR166" s="28"/>
      <c r="DS166" s="28"/>
      <c r="DT166" s="28"/>
      <c r="DU166" s="28"/>
      <c r="DV166" s="28"/>
      <c r="DW166" s="28"/>
      <c r="DX166" s="28"/>
      <c r="DY166" s="28"/>
      <c r="DZ166" s="28"/>
      <c r="EA166" s="28"/>
      <c r="EB166" s="28"/>
      <c r="EC166" s="28"/>
      <c r="ED166" s="28"/>
      <c r="EE166" s="28"/>
      <c r="EF166" s="28"/>
      <c r="EG166" s="28"/>
      <c r="EH166" s="28"/>
      <c r="EI166" s="28"/>
      <c r="EJ166" s="28">
        <v>6</v>
      </c>
      <c r="EK166" s="28"/>
      <c r="EL166" s="28"/>
      <c r="EM166" s="28"/>
      <c r="EN166" s="28"/>
      <c r="EO166" s="28"/>
      <c r="EP166" s="28"/>
      <c r="EQ166" s="28"/>
      <c r="ER166" s="28"/>
      <c r="ES166" s="28"/>
      <c r="ET166" s="28"/>
      <c r="EU166" s="28"/>
      <c r="EV166" s="28"/>
      <c r="EW166" s="28"/>
      <c r="EX166" s="28"/>
      <c r="EY166" s="28"/>
      <c r="EZ166" s="28">
        <v>8</v>
      </c>
      <c r="FA166" s="28"/>
      <c r="FB166" s="28">
        <v>1</v>
      </c>
      <c r="FC166" s="28"/>
      <c r="FD166" s="28"/>
      <c r="FE166" s="28"/>
      <c r="FF166" s="28"/>
      <c r="FG166" s="28"/>
      <c r="FH166" s="28"/>
      <c r="FI166" s="28"/>
      <c r="FJ166" s="28"/>
      <c r="FK166" s="28"/>
      <c r="FL166" s="28"/>
      <c r="FM166" s="28"/>
      <c r="FN166" s="28"/>
      <c r="FO166" s="28"/>
      <c r="FP166" s="28"/>
      <c r="FQ166" s="28"/>
      <c r="FR166" s="28">
        <v>29</v>
      </c>
      <c r="FS166" s="28"/>
      <c r="FT166" s="28"/>
      <c r="FU166" s="28"/>
      <c r="FV166" s="28"/>
      <c r="FW166" s="28"/>
      <c r="FX166" s="28"/>
      <c r="FY166" s="28"/>
      <c r="FZ166" s="28"/>
      <c r="GA166" s="28"/>
      <c r="GB166" s="28"/>
      <c r="GC166" s="28"/>
      <c r="GD166" s="28"/>
      <c r="GE166" s="28"/>
      <c r="GF166" s="28"/>
      <c r="GG166" s="28"/>
      <c r="GH166" s="28"/>
      <c r="GI166" s="28"/>
      <c r="GJ166" s="28"/>
      <c r="GK166" s="28"/>
      <c r="GL166" s="28"/>
      <c r="GM166" s="28"/>
      <c r="GN166" s="28"/>
      <c r="GO166" s="28"/>
      <c r="GP166" s="28"/>
      <c r="GQ166" s="28"/>
      <c r="GR166" s="28"/>
      <c r="GS166" s="28"/>
      <c r="GT166" s="28"/>
      <c r="GU166" s="28"/>
      <c r="GV166" s="28"/>
      <c r="GW166" s="28"/>
      <c r="GX166" s="28"/>
      <c r="GY166" s="28"/>
      <c r="GZ166" s="28"/>
      <c r="HA166" s="28"/>
      <c r="HB166" s="28"/>
      <c r="HC166" s="28"/>
      <c r="HD166" s="28"/>
      <c r="HE166" s="28"/>
      <c r="HF166" s="28"/>
      <c r="HG166" s="28"/>
      <c r="HH166" s="28"/>
      <c r="HI166" s="28"/>
    </row>
    <row r="167" spans="1:217" ht="13" x14ac:dyDescent="0.15">
      <c r="A167" s="24">
        <v>43234</v>
      </c>
      <c r="B167" s="25" t="s">
        <v>216</v>
      </c>
      <c r="C167" s="16">
        <f t="shared" si="87"/>
        <v>159</v>
      </c>
      <c r="D167" s="25">
        <v>21.3002</v>
      </c>
      <c r="E167" s="25">
        <v>-157.882599</v>
      </c>
      <c r="F167" s="25" t="s">
        <v>272</v>
      </c>
      <c r="G167" s="26">
        <v>0.38263888888888886</v>
      </c>
      <c r="H167" s="26">
        <v>0.41944444444444445</v>
      </c>
      <c r="I167" s="25">
        <v>6</v>
      </c>
      <c r="J167" s="25">
        <v>26</v>
      </c>
      <c r="K167" s="25" t="s">
        <v>198</v>
      </c>
      <c r="L167" s="25">
        <v>5</v>
      </c>
      <c r="M167" s="25">
        <v>27</v>
      </c>
      <c r="N167" s="25" t="s">
        <v>431</v>
      </c>
      <c r="O167" s="25"/>
      <c r="P167" s="25"/>
      <c r="Q167" s="25"/>
      <c r="R167" s="25"/>
      <c r="S167" s="25"/>
      <c r="T167" s="25"/>
      <c r="U167" s="25"/>
      <c r="V167" s="25"/>
      <c r="W167" s="25"/>
      <c r="X167" s="25"/>
      <c r="Y167" s="25"/>
      <c r="Z167" s="25"/>
      <c r="AA167" s="25"/>
      <c r="AB167" s="25"/>
      <c r="AC167" s="25"/>
      <c r="AD167" s="25"/>
      <c r="AE167" s="25"/>
      <c r="AF167" s="25"/>
      <c r="AG167" s="25"/>
      <c r="AH167" s="25"/>
      <c r="AI167" s="25">
        <v>1</v>
      </c>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v>1</v>
      </c>
      <c r="BF167" s="25"/>
      <c r="BG167" s="25"/>
      <c r="BH167" s="25">
        <v>1</v>
      </c>
      <c r="BI167" s="25"/>
      <c r="BJ167" s="25">
        <v>1</v>
      </c>
      <c r="BK167" s="25"/>
      <c r="BL167" s="25">
        <v>1</v>
      </c>
      <c r="BM167" s="25">
        <v>10</v>
      </c>
      <c r="BN167" s="25"/>
      <c r="BO167" s="25"/>
      <c r="BP167" s="25"/>
      <c r="BQ167" s="25">
        <v>8</v>
      </c>
      <c r="BR167" s="25"/>
      <c r="BS167" s="25"/>
      <c r="BT167" s="25"/>
      <c r="BU167" s="25"/>
      <c r="BV167" s="25">
        <v>2</v>
      </c>
      <c r="BW167" s="25"/>
      <c r="BX167" s="25"/>
      <c r="BY167" s="25"/>
      <c r="BZ167" s="25"/>
      <c r="CA167" s="25"/>
      <c r="CB167" s="25"/>
      <c r="CC167" s="25"/>
      <c r="CD167" s="25"/>
      <c r="CE167" s="25">
        <v>1</v>
      </c>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c r="DO167" s="25"/>
      <c r="DP167" s="25"/>
      <c r="DQ167" s="25"/>
      <c r="DR167" s="25"/>
      <c r="DS167" s="25"/>
      <c r="DT167" s="25"/>
      <c r="DU167" s="25"/>
      <c r="DV167" s="25"/>
      <c r="DW167" s="25"/>
      <c r="DX167" s="25"/>
      <c r="DY167" s="25"/>
      <c r="DZ167" s="25"/>
      <c r="EA167" s="25"/>
      <c r="EB167" s="25"/>
      <c r="EC167" s="25">
        <v>3</v>
      </c>
      <c r="ED167" s="25"/>
      <c r="EE167" s="25"/>
      <c r="EF167" s="25"/>
      <c r="EG167" s="25"/>
      <c r="EH167" s="25"/>
      <c r="EI167" s="25"/>
      <c r="EJ167" s="25">
        <v>2</v>
      </c>
      <c r="EK167" s="25"/>
      <c r="EL167" s="25"/>
      <c r="EM167" s="25"/>
      <c r="EN167" s="25"/>
      <c r="EO167" s="25"/>
      <c r="EP167" s="25"/>
      <c r="EQ167" s="25"/>
      <c r="ER167" s="25"/>
      <c r="ES167" s="25"/>
      <c r="ET167" s="25"/>
      <c r="EU167" s="25"/>
      <c r="EV167" s="25"/>
      <c r="EW167" s="25"/>
      <c r="EX167" s="25">
        <v>1</v>
      </c>
      <c r="EY167" s="25"/>
      <c r="EZ167" s="25"/>
      <c r="FA167" s="25"/>
      <c r="FB167" s="25"/>
      <c r="FC167" s="25"/>
      <c r="FD167" s="25"/>
      <c r="FE167" s="25"/>
      <c r="FF167" s="25"/>
      <c r="FG167" s="25"/>
      <c r="FH167" s="25"/>
      <c r="FI167" s="25"/>
      <c r="FJ167" s="25"/>
      <c r="FK167" s="25"/>
      <c r="FL167" s="25">
        <v>1</v>
      </c>
      <c r="FM167" s="25"/>
      <c r="FN167" s="25"/>
      <c r="FO167" s="25"/>
      <c r="FP167" s="25"/>
      <c r="FQ167" s="25"/>
      <c r="FR167" s="25"/>
      <c r="FS167" s="25">
        <v>508</v>
      </c>
      <c r="FT167" s="25"/>
      <c r="FU167" s="25"/>
      <c r="FV167" s="25"/>
      <c r="FW167" s="25"/>
      <c r="FX167" s="25"/>
      <c r="FY167" s="25"/>
      <c r="FZ167" s="25"/>
      <c r="GA167" s="25"/>
      <c r="GB167" s="25"/>
      <c r="GC167" s="25"/>
      <c r="GD167" s="25"/>
      <c r="GE167" s="25"/>
      <c r="GF167" s="25"/>
      <c r="GG167" s="25"/>
      <c r="GH167" s="25">
        <f>COUNT(R167:GG167)</f>
        <v>14</v>
      </c>
      <c r="GI167" s="25">
        <f>COUNTIF(R167:GG167,"&gt;=2")</f>
        <v>6</v>
      </c>
      <c r="GJ167" s="25">
        <f>COUNTIF(R167:GG167,"&gt;=5")</f>
        <v>3</v>
      </c>
      <c r="GK167" s="25">
        <f>SUM(R167:GG167)</f>
        <v>541</v>
      </c>
      <c r="GL167" s="25">
        <f>25*P167</f>
        <v>0</v>
      </c>
      <c r="GM167" s="25">
        <f>GL167-GK167</f>
        <v>-541</v>
      </c>
      <c r="GN167" s="25"/>
      <c r="GO167" s="25"/>
      <c r="GP167" s="25"/>
      <c r="GQ167" s="25"/>
      <c r="GR167" s="25"/>
      <c r="GS167" s="25"/>
      <c r="GT167" s="25"/>
      <c r="GU167" s="25"/>
      <c r="GV167" s="25"/>
      <c r="GW167" s="25"/>
      <c r="GX167" s="25"/>
      <c r="GY167" s="25"/>
      <c r="GZ167" s="25"/>
      <c r="HA167" s="25"/>
      <c r="HB167" s="25"/>
      <c r="HC167" s="25"/>
      <c r="HD167" s="25"/>
      <c r="HE167" s="25"/>
      <c r="HF167" s="25"/>
      <c r="HG167" s="25"/>
      <c r="HH167" s="25"/>
      <c r="HI167" s="25"/>
    </row>
    <row r="168" spans="1:217" ht="13" x14ac:dyDescent="0.15">
      <c r="A168" s="27">
        <v>43235</v>
      </c>
      <c r="B168" s="28" t="s">
        <v>216</v>
      </c>
      <c r="C168" s="16">
        <f t="shared" si="87"/>
        <v>160</v>
      </c>
      <c r="D168" s="28">
        <v>21.3002</v>
      </c>
      <c r="E168" s="28">
        <v>-157.882599</v>
      </c>
      <c r="F168" s="28" t="s">
        <v>272</v>
      </c>
      <c r="G168" s="29">
        <v>0.38263888888888886</v>
      </c>
      <c r="H168" s="29">
        <v>0.40833333333333333</v>
      </c>
      <c r="I168" s="28">
        <v>6</v>
      </c>
      <c r="J168" s="28">
        <v>30</v>
      </c>
      <c r="K168" s="28" t="s">
        <v>198</v>
      </c>
      <c r="L168" s="28">
        <v>5</v>
      </c>
      <c r="M168" s="28">
        <v>26</v>
      </c>
      <c r="N168" s="28" t="s">
        <v>529</v>
      </c>
      <c r="O168" s="28"/>
      <c r="P168" s="28"/>
      <c r="Q168" s="28"/>
      <c r="R168" s="28"/>
      <c r="S168" s="28"/>
      <c r="T168" s="28"/>
      <c r="U168" s="28"/>
      <c r="V168" s="28"/>
      <c r="W168" s="28"/>
      <c r="X168" s="28"/>
      <c r="Y168" s="28"/>
      <c r="Z168" s="28"/>
      <c r="AA168" s="28"/>
      <c r="AB168" s="28"/>
      <c r="AC168" s="28"/>
      <c r="AD168" s="28"/>
      <c r="AE168" s="28"/>
      <c r="AF168" s="28"/>
      <c r="AG168" s="28"/>
      <c r="AH168" s="28"/>
      <c r="AI168" s="28">
        <v>1</v>
      </c>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v>42</v>
      </c>
      <c r="BR168" s="28"/>
      <c r="BS168" s="28"/>
      <c r="BT168" s="28"/>
      <c r="BU168" s="28"/>
      <c r="BV168" s="28"/>
      <c r="BW168" s="28"/>
      <c r="BX168" s="28"/>
      <c r="BY168" s="28"/>
      <c r="BZ168" s="28"/>
      <c r="CA168" s="28"/>
      <c r="CB168" s="28"/>
      <c r="CC168" s="28"/>
      <c r="CD168" s="28"/>
      <c r="CE168" s="28">
        <v>1</v>
      </c>
      <c r="CF168" s="28"/>
      <c r="CG168" s="28"/>
      <c r="CH168" s="28"/>
      <c r="CI168" s="28"/>
      <c r="CJ168" s="28"/>
      <c r="CK168" s="28"/>
      <c r="CL168" s="28"/>
      <c r="CM168" s="28"/>
      <c r="CN168" s="28"/>
      <c r="CO168" s="28"/>
      <c r="CP168" s="28"/>
      <c r="CQ168" s="28"/>
      <c r="CR168" s="28"/>
      <c r="CS168" s="28"/>
      <c r="CT168" s="28"/>
      <c r="CU168" s="28">
        <v>1</v>
      </c>
      <c r="CV168" s="28"/>
      <c r="CW168" s="28"/>
      <c r="CX168" s="28"/>
      <c r="CY168" s="28"/>
      <c r="CZ168" s="28"/>
      <c r="DA168" s="28"/>
      <c r="DB168" s="28"/>
      <c r="DC168" s="28"/>
      <c r="DD168" s="28"/>
      <c r="DE168" s="28"/>
      <c r="DF168" s="28"/>
      <c r="DG168" s="28"/>
      <c r="DH168" s="28"/>
      <c r="DI168" s="28"/>
      <c r="DJ168" s="28"/>
      <c r="DK168" s="28"/>
      <c r="DL168" s="28"/>
      <c r="DM168" s="28"/>
      <c r="DN168" s="28">
        <v>1</v>
      </c>
      <c r="DO168" s="28"/>
      <c r="DP168" s="28"/>
      <c r="DQ168" s="28"/>
      <c r="DR168" s="28"/>
      <c r="DS168" s="28"/>
      <c r="DT168" s="28"/>
      <c r="DU168" s="28"/>
      <c r="DV168" s="28"/>
      <c r="DW168" s="28"/>
      <c r="DX168" s="28"/>
      <c r="DY168" s="28"/>
      <c r="DZ168" s="28"/>
      <c r="EA168" s="28"/>
      <c r="EB168" s="28"/>
      <c r="EC168" s="28">
        <v>3</v>
      </c>
      <c r="ED168" s="28"/>
      <c r="EE168" s="28"/>
      <c r="EF168" s="28"/>
      <c r="EG168" s="28"/>
      <c r="EH168" s="28"/>
      <c r="EI168" s="28">
        <v>1</v>
      </c>
      <c r="EJ168" s="28">
        <v>1</v>
      </c>
      <c r="EK168" s="28"/>
      <c r="EL168" s="28"/>
      <c r="EM168" s="28"/>
      <c r="EN168" s="28"/>
      <c r="EO168" s="28"/>
      <c r="EP168" s="28"/>
      <c r="EQ168" s="28"/>
      <c r="ER168" s="28"/>
      <c r="ES168" s="28"/>
      <c r="ET168" s="28"/>
      <c r="EU168" s="28"/>
      <c r="EV168" s="28"/>
      <c r="EW168" s="28"/>
      <c r="EX168" s="28"/>
      <c r="EY168" s="28"/>
      <c r="EZ168" s="28"/>
      <c r="FA168" s="28"/>
      <c r="FB168" s="28"/>
      <c r="FC168" s="28"/>
      <c r="FD168" s="28"/>
      <c r="FE168" s="28"/>
      <c r="FF168" s="28"/>
      <c r="FG168" s="28"/>
      <c r="FH168" s="28"/>
      <c r="FI168" s="28"/>
      <c r="FJ168" s="28"/>
      <c r="FK168" s="28"/>
      <c r="FL168" s="28"/>
      <c r="FM168" s="28"/>
      <c r="FN168" s="28"/>
      <c r="FO168" s="28"/>
      <c r="FP168" s="28"/>
      <c r="FQ168" s="28"/>
      <c r="FR168" s="28"/>
      <c r="FS168" s="28">
        <v>394</v>
      </c>
      <c r="FT168" s="28"/>
      <c r="FU168" s="28"/>
      <c r="FV168" s="28"/>
      <c r="FW168" s="28"/>
      <c r="FX168" s="28"/>
      <c r="FY168" s="28"/>
      <c r="FZ168" s="28"/>
      <c r="GA168" s="28"/>
      <c r="GB168" s="28"/>
      <c r="GC168" s="28"/>
      <c r="GD168" s="28"/>
      <c r="GE168" s="28"/>
      <c r="GF168" s="28"/>
      <c r="GG168" s="28"/>
      <c r="GH168" s="28"/>
      <c r="GI168" s="28"/>
      <c r="GJ168" s="28"/>
      <c r="GK168" s="28"/>
      <c r="GL168" s="28"/>
      <c r="GM168" s="28"/>
      <c r="GN168" s="28"/>
      <c r="GO168" s="28"/>
      <c r="GP168" s="28"/>
      <c r="GQ168" s="28"/>
      <c r="GR168" s="28"/>
      <c r="GS168" s="28"/>
      <c r="GT168" s="28"/>
      <c r="GU168" s="28"/>
      <c r="GV168" s="28"/>
      <c r="GW168" s="28"/>
      <c r="GX168" s="28"/>
      <c r="GY168" s="28"/>
      <c r="GZ168" s="28"/>
      <c r="HA168" s="28"/>
      <c r="HB168" s="28"/>
      <c r="HC168" s="28"/>
      <c r="HD168" s="28"/>
      <c r="HE168" s="28"/>
      <c r="HF168" s="28"/>
      <c r="HG168" s="28"/>
      <c r="HH168" s="28"/>
      <c r="HI168" s="28"/>
    </row>
    <row r="169" spans="1:217" ht="13" x14ac:dyDescent="0.15">
      <c r="A169" s="19">
        <v>43235</v>
      </c>
      <c r="B169" s="20" t="s">
        <v>467</v>
      </c>
      <c r="C169" s="16"/>
      <c r="D169" s="20"/>
      <c r="E169" s="20"/>
      <c r="F169" s="20"/>
      <c r="G169" s="21"/>
      <c r="H169" s="21"/>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c r="DA169" s="20"/>
      <c r="DB169" s="20"/>
      <c r="DC169" s="20"/>
      <c r="DD169" s="20"/>
      <c r="DE169" s="20"/>
      <c r="DF169" s="20"/>
      <c r="DG169" s="20"/>
      <c r="DH169" s="20"/>
      <c r="DI169" s="20"/>
      <c r="DJ169" s="20"/>
      <c r="DK169" s="20"/>
      <c r="DL169" s="20"/>
      <c r="DM169" s="20"/>
      <c r="DN169" s="20"/>
      <c r="DO169" s="20"/>
      <c r="DP169" s="20"/>
      <c r="DQ169" s="20"/>
      <c r="DR169" s="20"/>
      <c r="DS169" s="20"/>
      <c r="DT169" s="20"/>
      <c r="DU169" s="20"/>
      <c r="DV169" s="20"/>
      <c r="DW169" s="20"/>
      <c r="DX169" s="20"/>
      <c r="DY169" s="20"/>
      <c r="DZ169" s="20"/>
      <c r="EA169" s="20"/>
      <c r="EB169" s="20"/>
      <c r="EC169" s="20"/>
      <c r="ED169" s="20"/>
      <c r="EE169" s="20"/>
      <c r="EF169" s="20"/>
      <c r="EG169" s="20"/>
      <c r="EH169" s="20"/>
      <c r="EI169" s="20"/>
      <c r="EJ169" s="20"/>
      <c r="EK169" s="20"/>
      <c r="EL169" s="20"/>
      <c r="EM169" s="20"/>
      <c r="EN169" s="20"/>
      <c r="EO169" s="20"/>
      <c r="EP169" s="20"/>
      <c r="EQ169" s="20"/>
      <c r="ER169" s="20"/>
      <c r="ES169" s="20"/>
      <c r="ET169" s="20"/>
      <c r="EU169" s="20"/>
      <c r="EV169" s="20"/>
      <c r="EW169" s="20"/>
      <c r="EX169" s="20"/>
      <c r="EY169" s="20"/>
      <c r="EZ169" s="20"/>
      <c r="FA169" s="20"/>
      <c r="FB169" s="20"/>
      <c r="FC169" s="20"/>
      <c r="FD169" s="20"/>
      <c r="FE169" s="20"/>
      <c r="FF169" s="20"/>
      <c r="FG169" s="20"/>
      <c r="FH169" s="20"/>
      <c r="FI169" s="20"/>
      <c r="FJ169" s="20"/>
      <c r="FK169" s="20"/>
      <c r="FL169" s="20"/>
      <c r="FM169" s="20"/>
      <c r="FN169" s="20"/>
      <c r="FO169" s="20"/>
      <c r="FP169" s="20"/>
      <c r="FQ169" s="20"/>
      <c r="FR169" s="20"/>
      <c r="FS169" s="20"/>
      <c r="FT169" s="20"/>
      <c r="FU169" s="20"/>
      <c r="FV169" s="20"/>
      <c r="FW169" s="20"/>
      <c r="FX169" s="20"/>
      <c r="FY169" s="20"/>
      <c r="FZ169" s="20"/>
      <c r="GA169" s="20"/>
      <c r="GB169" s="20"/>
      <c r="GC169" s="20"/>
      <c r="GD169" s="20"/>
      <c r="GE169" s="20"/>
      <c r="GF169" s="20"/>
      <c r="GG169" s="20"/>
      <c r="GH169" s="20"/>
      <c r="GI169" s="20"/>
      <c r="GJ169" s="20"/>
      <c r="GK169" s="20"/>
      <c r="GL169" s="20"/>
      <c r="GM169" s="20"/>
      <c r="GN169" s="20"/>
      <c r="GO169" s="20"/>
      <c r="GP169" s="20"/>
      <c r="GQ169" s="20"/>
      <c r="GR169" s="20"/>
      <c r="GS169" s="20"/>
      <c r="GT169" s="20"/>
      <c r="GU169" s="20"/>
      <c r="GV169" s="20"/>
      <c r="GW169" s="20"/>
      <c r="GX169" s="20"/>
      <c r="GY169" s="20"/>
      <c r="GZ169" s="20"/>
      <c r="HA169" s="20"/>
      <c r="HB169" s="20"/>
      <c r="HC169" s="20"/>
      <c r="HD169" s="20"/>
      <c r="HE169" s="20"/>
      <c r="HF169" s="20"/>
      <c r="HG169" s="20"/>
      <c r="HH169" s="20"/>
      <c r="HI169" s="20"/>
    </row>
    <row r="170" spans="1:217" ht="13" x14ac:dyDescent="0.15">
      <c r="A170" s="27">
        <v>43236</v>
      </c>
      <c r="B170" s="28" t="s">
        <v>259</v>
      </c>
      <c r="C170" s="16">
        <v>161</v>
      </c>
      <c r="D170" s="28">
        <v>19.737894000000001</v>
      </c>
      <c r="E170" s="28">
        <v>-155.03405799999999</v>
      </c>
      <c r="F170" s="28" t="s">
        <v>358</v>
      </c>
      <c r="G170" s="29">
        <v>0.375</v>
      </c>
      <c r="H170" s="29">
        <v>0.41666666666666669</v>
      </c>
      <c r="I170" s="28">
        <v>7</v>
      </c>
      <c r="J170" s="28">
        <v>20</v>
      </c>
      <c r="K170" s="28" t="s">
        <v>198</v>
      </c>
      <c r="L170" s="28">
        <v>4</v>
      </c>
      <c r="M170" s="28">
        <v>16</v>
      </c>
      <c r="N170" s="28" t="s">
        <v>530</v>
      </c>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v>35</v>
      </c>
      <c r="BI170" s="28"/>
      <c r="BJ170" s="28"/>
      <c r="BK170" s="28">
        <v>4</v>
      </c>
      <c r="BL170" s="28"/>
      <c r="BM170" s="28">
        <v>68</v>
      </c>
      <c r="BN170" s="28"/>
      <c r="BO170" s="28"/>
      <c r="BP170" s="28"/>
      <c r="BQ170" s="28"/>
      <c r="BR170" s="28"/>
      <c r="BS170" s="28"/>
      <c r="BT170" s="28"/>
      <c r="BU170" s="28"/>
      <c r="BV170" s="28"/>
      <c r="BW170" s="28"/>
      <c r="BX170" s="28"/>
      <c r="BY170" s="28"/>
      <c r="BZ170" s="28"/>
      <c r="CA170" s="28"/>
      <c r="CB170" s="28"/>
      <c r="CC170" s="28">
        <v>2</v>
      </c>
      <c r="CD170" s="28"/>
      <c r="CE170" s="28"/>
      <c r="CF170" s="28"/>
      <c r="CG170" s="28"/>
      <c r="CH170" s="28"/>
      <c r="CI170" s="28"/>
      <c r="CJ170" s="28"/>
      <c r="CK170" s="28"/>
      <c r="CL170" s="28"/>
      <c r="CM170" s="28"/>
      <c r="CN170" s="28"/>
      <c r="CO170" s="28"/>
      <c r="CP170" s="28"/>
      <c r="CQ170" s="28"/>
      <c r="CR170" s="28"/>
      <c r="CS170" s="28"/>
      <c r="CT170" s="28"/>
      <c r="CU170" s="28">
        <v>1</v>
      </c>
      <c r="CV170" s="28">
        <v>10</v>
      </c>
      <c r="CW170" s="28"/>
      <c r="CX170" s="28"/>
      <c r="CY170" s="28"/>
      <c r="CZ170" s="28"/>
      <c r="DA170" s="28"/>
      <c r="DB170" s="28"/>
      <c r="DC170" s="28"/>
      <c r="DD170" s="28"/>
      <c r="DE170" s="28"/>
      <c r="DF170" s="28"/>
      <c r="DG170" s="28"/>
      <c r="DH170" s="28">
        <v>4</v>
      </c>
      <c r="DI170" s="28"/>
      <c r="DJ170" s="28">
        <v>6</v>
      </c>
      <c r="DK170" s="28"/>
      <c r="DL170" s="28"/>
      <c r="DM170" s="28"/>
      <c r="DN170" s="28"/>
      <c r="DO170" s="28"/>
      <c r="DP170" s="28">
        <v>4</v>
      </c>
      <c r="DQ170" s="28"/>
      <c r="DR170" s="28"/>
      <c r="DS170" s="28"/>
      <c r="DT170" s="28"/>
      <c r="DU170" s="28"/>
      <c r="DV170" s="28"/>
      <c r="DW170" s="28"/>
      <c r="DX170" s="28"/>
      <c r="DY170" s="28"/>
      <c r="DZ170" s="28"/>
      <c r="EA170" s="28"/>
      <c r="EB170" s="28"/>
      <c r="EC170" s="28">
        <v>7</v>
      </c>
      <c r="ED170" s="28">
        <v>13</v>
      </c>
      <c r="EE170" s="28"/>
      <c r="EF170" s="28"/>
      <c r="EG170" s="28"/>
      <c r="EH170" s="28"/>
      <c r="EI170" s="28"/>
      <c r="EJ170" s="28"/>
      <c r="EK170" s="28"/>
      <c r="EL170" s="28"/>
      <c r="EM170" s="28"/>
      <c r="EN170" s="28"/>
      <c r="EO170" s="28"/>
      <c r="EP170" s="28"/>
      <c r="EQ170" s="28"/>
      <c r="ER170" s="28"/>
      <c r="ES170" s="28"/>
      <c r="ET170" s="28"/>
      <c r="EU170" s="28"/>
      <c r="EV170" s="28"/>
      <c r="EW170" s="28"/>
      <c r="EX170" s="28"/>
      <c r="EY170" s="28"/>
      <c r="EZ170" s="28"/>
      <c r="FA170" s="28"/>
      <c r="FB170" s="28"/>
      <c r="FC170" s="28">
        <v>3</v>
      </c>
      <c r="FD170" s="28"/>
      <c r="FE170" s="28"/>
      <c r="FF170" s="28"/>
      <c r="FG170" s="28"/>
      <c r="FH170" s="28"/>
      <c r="FI170" s="28"/>
      <c r="FJ170" s="28"/>
      <c r="FK170" s="28"/>
      <c r="FL170" s="28"/>
      <c r="FM170" s="28">
        <v>12</v>
      </c>
      <c r="FN170" s="28"/>
      <c r="FO170" s="28"/>
      <c r="FP170" s="28"/>
      <c r="FQ170" s="28"/>
      <c r="FR170" s="28"/>
      <c r="FS170" s="28">
        <v>56</v>
      </c>
      <c r="FT170" s="28"/>
      <c r="FU170" s="28"/>
      <c r="FV170" s="28"/>
      <c r="FW170" s="28">
        <v>1</v>
      </c>
      <c r="FX170" s="28"/>
      <c r="FY170" s="28"/>
      <c r="FZ170" s="28"/>
      <c r="GA170" s="28"/>
      <c r="GB170" s="28"/>
      <c r="GC170" s="28"/>
      <c r="GD170" s="28"/>
      <c r="GE170" s="28"/>
      <c r="GF170" s="28"/>
      <c r="GG170" s="28">
        <v>1</v>
      </c>
      <c r="GH170" s="28"/>
      <c r="GI170" s="28"/>
      <c r="GJ170" s="28"/>
      <c r="GK170" s="28"/>
      <c r="GL170" s="28"/>
      <c r="GM170" s="28"/>
      <c r="GN170" s="28"/>
      <c r="GO170" s="28"/>
      <c r="GP170" s="28"/>
      <c r="GQ170" s="28"/>
      <c r="GR170" s="28"/>
      <c r="GS170" s="28"/>
      <c r="GT170" s="28"/>
      <c r="GU170" s="28"/>
      <c r="GV170" s="28"/>
      <c r="GW170" s="28"/>
      <c r="GX170" s="28"/>
      <c r="GY170" s="28"/>
      <c r="GZ170" s="28"/>
      <c r="HA170" s="28"/>
      <c r="HB170" s="28"/>
      <c r="HC170" s="28"/>
      <c r="HD170" s="28"/>
      <c r="HE170" s="28"/>
      <c r="HF170" s="28"/>
      <c r="HG170" s="28"/>
      <c r="HH170" s="28"/>
      <c r="HI170" s="28"/>
    </row>
    <row r="171" spans="1:217" ht="13" x14ac:dyDescent="0.15">
      <c r="A171" s="13">
        <v>43236</v>
      </c>
      <c r="B171" s="3" t="s">
        <v>266</v>
      </c>
      <c r="C171" s="16">
        <f t="shared" ref="C171:C174" si="94">C170+1</f>
        <v>162</v>
      </c>
      <c r="D171" s="3">
        <v>22.060683999999998</v>
      </c>
      <c r="E171" s="3">
        <v>-159.318512</v>
      </c>
      <c r="F171" s="3" t="s">
        <v>347</v>
      </c>
      <c r="G171" s="14">
        <v>0.40625</v>
      </c>
      <c r="H171" s="14">
        <v>0.45555555555555555</v>
      </c>
      <c r="I171" s="3">
        <v>10</v>
      </c>
      <c r="J171" s="3">
        <v>7</v>
      </c>
      <c r="K171" s="3" t="s">
        <v>198</v>
      </c>
      <c r="L171" s="3">
        <v>10</v>
      </c>
      <c r="M171" s="3">
        <v>69</v>
      </c>
      <c r="N171" s="3" t="s">
        <v>433</v>
      </c>
      <c r="P171" s="3">
        <v>69</v>
      </c>
      <c r="U171" s="3"/>
      <c r="V171" s="3"/>
      <c r="W171" s="3"/>
      <c r="X171" s="3">
        <v>1</v>
      </c>
      <c r="AA171" s="3"/>
      <c r="AB171" s="3">
        <v>3</v>
      </c>
      <c r="AC171" s="3">
        <v>1</v>
      </c>
      <c r="AD171" s="3">
        <v>11</v>
      </c>
      <c r="AI171" s="3">
        <v>1</v>
      </c>
      <c r="AL171" s="3"/>
      <c r="AM171" s="3">
        <v>52</v>
      </c>
      <c r="AN171" s="3">
        <v>1</v>
      </c>
      <c r="AT171" s="3">
        <v>2</v>
      </c>
      <c r="BA171" s="3"/>
      <c r="BB171" s="3">
        <v>3</v>
      </c>
      <c r="BE171" s="3">
        <v>5</v>
      </c>
      <c r="BK171" s="3">
        <v>15</v>
      </c>
      <c r="BN171" s="3">
        <v>21</v>
      </c>
      <c r="BT171" s="3">
        <v>7</v>
      </c>
      <c r="BV171" s="3">
        <v>43</v>
      </c>
      <c r="BW171" s="3">
        <v>4</v>
      </c>
      <c r="BZ171" s="3">
        <v>4</v>
      </c>
      <c r="CD171" s="3">
        <v>7</v>
      </c>
      <c r="CF171" s="3">
        <v>3</v>
      </c>
      <c r="CJ171" s="3"/>
      <c r="CK171" s="3">
        <v>2</v>
      </c>
      <c r="CS171" s="3">
        <v>5</v>
      </c>
      <c r="DD171" s="3">
        <v>1</v>
      </c>
      <c r="DF171" s="3"/>
      <c r="DG171" s="3">
        <v>2</v>
      </c>
      <c r="DM171" s="3">
        <v>16</v>
      </c>
      <c r="DR171" s="3"/>
      <c r="DS171" s="3">
        <v>71</v>
      </c>
      <c r="DT171" s="3"/>
      <c r="DU171" s="3"/>
      <c r="DV171" s="3">
        <v>37</v>
      </c>
      <c r="EA171" s="3">
        <v>3</v>
      </c>
      <c r="EJ171" s="3">
        <v>193</v>
      </c>
      <c r="ET171" s="3"/>
      <c r="EU171" s="3"/>
      <c r="EV171" s="3">
        <v>1</v>
      </c>
      <c r="FB171" s="3">
        <v>6</v>
      </c>
      <c r="FF171" s="3">
        <v>19</v>
      </c>
      <c r="FR171" s="3">
        <v>26</v>
      </c>
      <c r="FS171" s="3">
        <v>649</v>
      </c>
      <c r="GA171" s="3">
        <v>5</v>
      </c>
      <c r="GE171" s="3"/>
      <c r="GF171" s="3">
        <v>1</v>
      </c>
      <c r="GG171" s="3">
        <v>4</v>
      </c>
      <c r="GH171" s="3">
        <f>COUNT(R171:GG171)</f>
        <v>35</v>
      </c>
      <c r="GI171" s="3">
        <f>COUNTIF(R171:GG171,"&gt;=2")</f>
        <v>28</v>
      </c>
      <c r="GJ171" s="3">
        <f>COUNTIF(R171:GG171,"&gt;=5")</f>
        <v>18</v>
      </c>
      <c r="GK171" s="3">
        <f>SUM(R171:GG171)</f>
        <v>1225</v>
      </c>
      <c r="GL171" s="3">
        <f>25*P171</f>
        <v>1725</v>
      </c>
      <c r="GM171" s="3">
        <f>GL171-GK171</f>
        <v>500</v>
      </c>
    </row>
    <row r="172" spans="1:217" ht="13" x14ac:dyDescent="0.15">
      <c r="A172" s="27">
        <v>43237</v>
      </c>
      <c r="B172" s="28" t="s">
        <v>216</v>
      </c>
      <c r="C172" s="16">
        <f t="shared" si="94"/>
        <v>163</v>
      </c>
      <c r="D172" s="28">
        <v>21.3002</v>
      </c>
      <c r="E172" s="28">
        <v>-157.882599</v>
      </c>
      <c r="F172" s="28" t="s">
        <v>413</v>
      </c>
      <c r="G172" s="29">
        <v>0.375</v>
      </c>
      <c r="H172" s="29">
        <v>0.45833333333333331</v>
      </c>
      <c r="I172" s="28">
        <v>7</v>
      </c>
      <c r="J172" s="28">
        <v>15</v>
      </c>
      <c r="K172" s="28" t="s">
        <v>198</v>
      </c>
      <c r="L172" s="28">
        <v>5</v>
      </c>
      <c r="M172" s="28">
        <v>26</v>
      </c>
      <c r="N172" s="28" t="s">
        <v>531</v>
      </c>
      <c r="O172" s="28"/>
      <c r="P172" s="28"/>
      <c r="Q172" s="28"/>
      <c r="R172" s="28"/>
      <c r="S172" s="28"/>
      <c r="T172" s="28"/>
      <c r="U172" s="28"/>
      <c r="V172" s="28"/>
      <c r="W172" s="28"/>
      <c r="X172" s="28"/>
      <c r="Y172" s="28"/>
      <c r="Z172" s="28">
        <v>5</v>
      </c>
      <c r="AA172" s="28"/>
      <c r="AB172" s="28">
        <v>74</v>
      </c>
      <c r="AC172" s="28">
        <v>1</v>
      </c>
      <c r="AD172" s="28"/>
      <c r="AE172" s="28"/>
      <c r="AF172" s="28"/>
      <c r="AG172" s="28"/>
      <c r="AH172" s="28"/>
      <c r="AI172" s="28"/>
      <c r="AJ172" s="28"/>
      <c r="AK172" s="28"/>
      <c r="AL172" s="28"/>
      <c r="AM172" s="28">
        <v>1</v>
      </c>
      <c r="AN172" s="28"/>
      <c r="AO172" s="28"/>
      <c r="AP172" s="28"/>
      <c r="AQ172" s="28"/>
      <c r="AR172" s="28"/>
      <c r="AS172" s="28"/>
      <c r="AT172" s="28"/>
      <c r="AU172" s="28"/>
      <c r="AV172" s="28"/>
      <c r="AW172" s="28"/>
      <c r="AX172" s="28"/>
      <c r="AY172" s="28"/>
      <c r="AZ172" s="28"/>
      <c r="BA172" s="28"/>
      <c r="BB172" s="28"/>
      <c r="BC172" s="28">
        <v>2</v>
      </c>
      <c r="BD172" s="28"/>
      <c r="BE172" s="28">
        <v>7</v>
      </c>
      <c r="BF172" s="28"/>
      <c r="BG172" s="28"/>
      <c r="BH172" s="28"/>
      <c r="BI172" s="28"/>
      <c r="BJ172" s="28"/>
      <c r="BK172" s="28"/>
      <c r="BL172" s="28"/>
      <c r="BM172" s="28">
        <v>1</v>
      </c>
      <c r="BN172" s="28"/>
      <c r="BO172" s="28"/>
      <c r="BP172" s="28"/>
      <c r="BQ172" s="28"/>
      <c r="BR172" s="28"/>
      <c r="BS172" s="28"/>
      <c r="BT172" s="28">
        <v>2</v>
      </c>
      <c r="BU172" s="28"/>
      <c r="BV172" s="28"/>
      <c r="BW172" s="28"/>
      <c r="BX172" s="28"/>
      <c r="BY172" s="28"/>
      <c r="BZ172" s="28">
        <v>17</v>
      </c>
      <c r="CA172" s="28"/>
      <c r="CB172" s="28"/>
      <c r="CC172" s="28"/>
      <c r="CD172" s="28"/>
      <c r="CE172" s="28"/>
      <c r="CF172" s="28">
        <v>2</v>
      </c>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c r="DG172" s="28">
        <v>1</v>
      </c>
      <c r="DH172" s="28"/>
      <c r="DI172" s="28"/>
      <c r="DJ172" s="28"/>
      <c r="DK172" s="28"/>
      <c r="DL172" s="28"/>
      <c r="DM172" s="28"/>
      <c r="DN172" s="28"/>
      <c r="DO172" s="28"/>
      <c r="DP172" s="28"/>
      <c r="DQ172" s="28"/>
      <c r="DR172" s="28"/>
      <c r="DS172" s="28"/>
      <c r="DT172" s="28"/>
      <c r="DU172" s="28"/>
      <c r="DV172" s="28"/>
      <c r="DW172" s="28"/>
      <c r="DX172" s="28"/>
      <c r="DY172" s="28"/>
      <c r="DZ172" s="28"/>
      <c r="EA172" s="28"/>
      <c r="EB172" s="28"/>
      <c r="EC172" s="28">
        <v>5</v>
      </c>
      <c r="ED172" s="28"/>
      <c r="EE172" s="28"/>
      <c r="EF172" s="28"/>
      <c r="EG172" s="28"/>
      <c r="EH172" s="28"/>
      <c r="EI172" s="28"/>
      <c r="EJ172" s="28"/>
      <c r="EK172" s="28"/>
      <c r="EL172" s="28"/>
      <c r="EM172" s="28"/>
      <c r="EN172" s="28"/>
      <c r="EO172" s="28"/>
      <c r="EP172" s="28"/>
      <c r="EQ172" s="28"/>
      <c r="ER172" s="28"/>
      <c r="ES172" s="28"/>
      <c r="ET172" s="28"/>
      <c r="EU172" s="28"/>
      <c r="EV172" s="28"/>
      <c r="EW172" s="28"/>
      <c r="EX172" s="28"/>
      <c r="EY172" s="28"/>
      <c r="EZ172" s="28"/>
      <c r="FA172" s="28"/>
      <c r="FB172" s="28"/>
      <c r="FC172" s="28"/>
      <c r="FD172" s="28"/>
      <c r="FE172" s="28"/>
      <c r="FF172" s="28"/>
      <c r="FG172" s="28"/>
      <c r="FH172" s="28"/>
      <c r="FI172" s="28"/>
      <c r="FJ172" s="28"/>
      <c r="FK172" s="28"/>
      <c r="FL172" s="28"/>
      <c r="FM172" s="28"/>
      <c r="FN172" s="28"/>
      <c r="FO172" s="28"/>
      <c r="FP172" s="28"/>
      <c r="FQ172" s="28"/>
      <c r="FR172" s="28"/>
      <c r="FS172" s="28">
        <v>138</v>
      </c>
      <c r="FT172" s="28"/>
      <c r="FU172" s="28"/>
      <c r="FV172" s="28"/>
      <c r="FW172" s="28"/>
      <c r="FX172" s="28"/>
      <c r="FY172" s="28"/>
      <c r="FZ172" s="28"/>
      <c r="GA172" s="28"/>
      <c r="GB172" s="28"/>
      <c r="GC172" s="28"/>
      <c r="GD172" s="28"/>
      <c r="GE172" s="28"/>
      <c r="GF172" s="28"/>
      <c r="GG172" s="28"/>
      <c r="GH172" s="28"/>
      <c r="GI172" s="28"/>
      <c r="GJ172" s="28"/>
      <c r="GK172" s="28"/>
      <c r="GL172" s="28"/>
      <c r="GM172" s="28"/>
      <c r="GN172" s="28"/>
      <c r="GO172" s="28"/>
      <c r="GP172" s="28"/>
      <c r="GQ172" s="28"/>
      <c r="GR172" s="28"/>
      <c r="GS172" s="28"/>
      <c r="GT172" s="28"/>
      <c r="GU172" s="28"/>
      <c r="GV172" s="28"/>
      <c r="GW172" s="28"/>
      <c r="GX172" s="28"/>
      <c r="GY172" s="28"/>
      <c r="GZ172" s="28"/>
      <c r="HA172" s="28"/>
      <c r="HB172" s="28"/>
      <c r="HC172" s="28"/>
      <c r="HD172" s="28"/>
      <c r="HE172" s="28"/>
      <c r="HF172" s="28"/>
      <c r="HG172" s="28"/>
      <c r="HH172" s="28"/>
      <c r="HI172" s="28"/>
    </row>
    <row r="173" spans="1:217" ht="13" x14ac:dyDescent="0.15">
      <c r="A173" s="13">
        <v>43238</v>
      </c>
      <c r="B173" s="3" t="s">
        <v>201</v>
      </c>
      <c r="C173" s="16">
        <f t="shared" si="94"/>
        <v>164</v>
      </c>
      <c r="D173" s="3">
        <v>21.25544</v>
      </c>
      <c r="E173" s="3">
        <v>-157.810303</v>
      </c>
      <c r="F173" s="3" t="s">
        <v>325</v>
      </c>
      <c r="G173" s="14">
        <v>0.42708333333333331</v>
      </c>
      <c r="H173" s="14">
        <v>0.46736111111111112</v>
      </c>
      <c r="I173" s="3">
        <v>5</v>
      </c>
      <c r="J173" s="3">
        <v>10</v>
      </c>
      <c r="K173" s="3" t="s">
        <v>318</v>
      </c>
      <c r="L173" s="3">
        <v>5</v>
      </c>
      <c r="M173" s="3">
        <v>25</v>
      </c>
      <c r="P173" s="3">
        <v>25</v>
      </c>
      <c r="R173" s="3">
        <v>5</v>
      </c>
      <c r="AI173" s="3">
        <v>18</v>
      </c>
      <c r="AL173" s="3">
        <v>1</v>
      </c>
      <c r="AO173" s="3"/>
      <c r="AP173" s="3">
        <v>1</v>
      </c>
      <c r="AZ173" s="3">
        <v>1</v>
      </c>
      <c r="BC173" s="3">
        <v>1</v>
      </c>
      <c r="BL173" s="3">
        <v>1</v>
      </c>
      <c r="BM173" s="3">
        <v>8</v>
      </c>
      <c r="BQ173" s="3">
        <v>14</v>
      </c>
      <c r="BW173" s="3">
        <v>3</v>
      </c>
      <c r="BX173" s="3">
        <v>1</v>
      </c>
      <c r="CI173" s="3">
        <v>1</v>
      </c>
      <c r="CJ173" s="3"/>
      <c r="CK173" s="3">
        <v>1</v>
      </c>
      <c r="CS173" s="3">
        <v>1</v>
      </c>
      <c r="DD173" s="3">
        <v>8</v>
      </c>
      <c r="DF173" s="3"/>
      <c r="DG173" s="3">
        <v>2</v>
      </c>
      <c r="DR173" s="3"/>
      <c r="DS173" s="3">
        <v>7</v>
      </c>
      <c r="DT173" s="3"/>
      <c r="DU173" s="3"/>
      <c r="DV173" s="3">
        <v>5</v>
      </c>
      <c r="DZ173" s="3">
        <v>1</v>
      </c>
      <c r="EC173" s="3">
        <v>1</v>
      </c>
      <c r="EJ173" s="3">
        <v>156</v>
      </c>
      <c r="EX173" s="3">
        <v>2</v>
      </c>
      <c r="FB173" s="3">
        <v>1</v>
      </c>
      <c r="FM173" s="3">
        <v>5</v>
      </c>
      <c r="FS173" s="3">
        <v>320</v>
      </c>
      <c r="GH173" s="3">
        <f t="shared" ref="GH173:GH174" si="95">COUNT(R173:GG173)</f>
        <v>25</v>
      </c>
      <c r="GI173" s="3">
        <f t="shared" ref="GI173:GI174" si="96">COUNTIF(R173:GG173,"&gt;=2")</f>
        <v>13</v>
      </c>
      <c r="GJ173" s="3">
        <f t="shared" ref="GJ173:GJ174" si="97">COUNTIF(R173:GG173,"&gt;=5")</f>
        <v>10</v>
      </c>
      <c r="GK173" s="3">
        <f t="shared" ref="GK173:GK174" si="98">SUM(R173:GG173)</f>
        <v>565</v>
      </c>
      <c r="GL173" s="3">
        <f t="shared" ref="GL173:GL174" si="99">25*P173</f>
        <v>625</v>
      </c>
      <c r="GM173" s="3">
        <f t="shared" ref="GM173:GM174" si="100">GL173-GK173</f>
        <v>60</v>
      </c>
    </row>
    <row r="174" spans="1:217" ht="13" x14ac:dyDescent="0.15">
      <c r="A174" s="24">
        <v>43238</v>
      </c>
      <c r="B174" s="25" t="s">
        <v>259</v>
      </c>
      <c r="C174" s="16">
        <f t="shared" si="94"/>
        <v>165</v>
      </c>
      <c r="D174" s="25">
        <v>19.737894000000001</v>
      </c>
      <c r="E174" s="25">
        <v>-155.03405799999999</v>
      </c>
      <c r="F174" s="25" t="s">
        <v>358</v>
      </c>
      <c r="G174" s="26">
        <v>0.3888888888888889</v>
      </c>
      <c r="H174" s="26">
        <v>0.41666666666666669</v>
      </c>
      <c r="I174" s="25">
        <v>7</v>
      </c>
      <c r="J174" s="25">
        <v>20</v>
      </c>
      <c r="K174" s="25" t="s">
        <v>198</v>
      </c>
      <c r="L174" s="25">
        <v>12</v>
      </c>
      <c r="M174" s="25">
        <v>52</v>
      </c>
      <c r="N174" s="25" t="s">
        <v>434</v>
      </c>
      <c r="O174" s="25"/>
      <c r="P174" s="25"/>
      <c r="Q174" s="25"/>
      <c r="R174" s="25"/>
      <c r="S174" s="25">
        <v>6</v>
      </c>
      <c r="T174" s="25"/>
      <c r="U174" s="25"/>
      <c r="V174" s="25"/>
      <c r="W174" s="25"/>
      <c r="X174" s="25"/>
      <c r="Y174" s="25"/>
      <c r="Z174" s="25"/>
      <c r="AA174" s="25"/>
      <c r="AB174" s="25"/>
      <c r="AC174" s="25"/>
      <c r="AD174" s="25"/>
      <c r="AE174" s="25"/>
      <c r="AF174" s="25">
        <v>15</v>
      </c>
      <c r="AG174" s="25">
        <v>49</v>
      </c>
      <c r="AH174" s="25"/>
      <c r="AI174" s="25"/>
      <c r="AJ174" s="25"/>
      <c r="AK174" s="25"/>
      <c r="AL174" s="25">
        <v>5</v>
      </c>
      <c r="AM174" s="25"/>
      <c r="AN174" s="25"/>
      <c r="AO174" s="25"/>
      <c r="AP174" s="25">
        <v>1</v>
      </c>
      <c r="AQ174" s="25"/>
      <c r="AR174" s="25"/>
      <c r="AS174" s="25"/>
      <c r="AT174" s="25"/>
      <c r="AU174" s="25"/>
      <c r="AV174" s="25"/>
      <c r="AW174" s="25"/>
      <c r="AX174" s="25"/>
      <c r="AY174" s="25"/>
      <c r="AZ174" s="25"/>
      <c r="BA174" s="25"/>
      <c r="BB174" s="25">
        <v>11</v>
      </c>
      <c r="BC174" s="25"/>
      <c r="BD174" s="25"/>
      <c r="BE174" s="25"/>
      <c r="BF174" s="25"/>
      <c r="BG174" s="25"/>
      <c r="BH174" s="25"/>
      <c r="BI174" s="25"/>
      <c r="BJ174" s="25"/>
      <c r="BK174" s="25">
        <v>6</v>
      </c>
      <c r="BL174" s="25">
        <v>4</v>
      </c>
      <c r="BM174" s="25">
        <v>155</v>
      </c>
      <c r="BN174" s="25"/>
      <c r="BO174" s="25"/>
      <c r="BP174" s="25"/>
      <c r="BQ174" s="25"/>
      <c r="BR174" s="25"/>
      <c r="BS174" s="25"/>
      <c r="BT174" s="25"/>
      <c r="BU174" s="25"/>
      <c r="BV174" s="25"/>
      <c r="BW174" s="25"/>
      <c r="BX174" s="25"/>
      <c r="BY174" s="25"/>
      <c r="BZ174" s="25"/>
      <c r="CA174" s="25"/>
      <c r="CB174" s="25"/>
      <c r="CC174" s="25">
        <v>31</v>
      </c>
      <c r="CD174" s="25">
        <v>1</v>
      </c>
      <c r="CE174" s="25"/>
      <c r="CF174" s="25"/>
      <c r="CG174" s="25"/>
      <c r="CH174" s="25"/>
      <c r="CI174" s="25"/>
      <c r="CJ174" s="25"/>
      <c r="CK174" s="25"/>
      <c r="CL174" s="25"/>
      <c r="CM174" s="25"/>
      <c r="CN174" s="25"/>
      <c r="CO174" s="25"/>
      <c r="CP174" s="25"/>
      <c r="CQ174" s="25"/>
      <c r="CR174" s="25"/>
      <c r="CS174" s="25"/>
      <c r="CT174" s="25"/>
      <c r="CU174" s="25">
        <v>6</v>
      </c>
      <c r="CV174" s="25"/>
      <c r="CW174" s="25"/>
      <c r="CX174" s="25"/>
      <c r="CY174" s="25"/>
      <c r="CZ174" s="25"/>
      <c r="DA174" s="25"/>
      <c r="DB174" s="25"/>
      <c r="DC174" s="25"/>
      <c r="DD174" s="25"/>
      <c r="DE174" s="25"/>
      <c r="DF174" s="25"/>
      <c r="DG174" s="25"/>
      <c r="DH174" s="25">
        <v>8</v>
      </c>
      <c r="DI174" s="25"/>
      <c r="DJ174" s="25"/>
      <c r="DK174" s="25"/>
      <c r="DL174" s="25"/>
      <c r="DM174" s="25"/>
      <c r="DN174" s="25"/>
      <c r="DO174" s="25"/>
      <c r="DP174" s="25"/>
      <c r="DQ174" s="25"/>
      <c r="DR174" s="25"/>
      <c r="DS174" s="25"/>
      <c r="DT174" s="25"/>
      <c r="DU174" s="25"/>
      <c r="DV174" s="25"/>
      <c r="DW174" s="25"/>
      <c r="DX174" s="25"/>
      <c r="DY174" s="25"/>
      <c r="DZ174" s="25"/>
      <c r="EA174" s="25"/>
      <c r="EB174" s="25"/>
      <c r="EC174" s="25"/>
      <c r="ED174" s="25">
        <v>52</v>
      </c>
      <c r="EE174" s="25"/>
      <c r="EF174" s="25"/>
      <c r="EG174" s="25"/>
      <c r="EH174" s="25"/>
      <c r="EI174" s="25">
        <v>1</v>
      </c>
      <c r="EJ174" s="25"/>
      <c r="EK174" s="25"/>
      <c r="EL174" s="25"/>
      <c r="EM174" s="25"/>
      <c r="EN174" s="25"/>
      <c r="EO174" s="25"/>
      <c r="EP174" s="25"/>
      <c r="EQ174" s="25"/>
      <c r="ER174" s="25"/>
      <c r="ES174" s="25"/>
      <c r="ET174" s="25"/>
      <c r="EU174" s="25"/>
      <c r="EV174" s="25"/>
      <c r="EW174" s="25"/>
      <c r="EX174" s="25">
        <v>25</v>
      </c>
      <c r="EY174" s="25"/>
      <c r="EZ174" s="25"/>
      <c r="FA174" s="25"/>
      <c r="FB174" s="25"/>
      <c r="FC174" s="25">
        <v>2</v>
      </c>
      <c r="FD174" s="25"/>
      <c r="FE174" s="25"/>
      <c r="FF174" s="25">
        <v>45</v>
      </c>
      <c r="FG174" s="25"/>
      <c r="FH174" s="25"/>
      <c r="FI174" s="25"/>
      <c r="FJ174" s="25"/>
      <c r="FK174" s="25"/>
      <c r="FL174" s="25"/>
      <c r="FM174" s="25">
        <v>31</v>
      </c>
      <c r="FN174" s="25"/>
      <c r="FO174" s="25"/>
      <c r="FP174" s="25"/>
      <c r="FQ174" s="25">
        <v>3</v>
      </c>
      <c r="FR174" s="25"/>
      <c r="FS174" s="25">
        <v>485</v>
      </c>
      <c r="FT174" s="25">
        <v>32</v>
      </c>
      <c r="FU174" s="25"/>
      <c r="FV174" s="25"/>
      <c r="FW174" s="25">
        <v>25</v>
      </c>
      <c r="FX174" s="25"/>
      <c r="FY174" s="25"/>
      <c r="FZ174" s="25"/>
      <c r="GA174" s="25">
        <v>67</v>
      </c>
      <c r="GB174" s="25"/>
      <c r="GC174" s="25"/>
      <c r="GD174" s="25"/>
      <c r="GE174" s="25"/>
      <c r="GF174" s="25">
        <v>4</v>
      </c>
      <c r="GG174" s="25">
        <v>1</v>
      </c>
      <c r="GH174" s="25">
        <f t="shared" si="95"/>
        <v>26</v>
      </c>
      <c r="GI174" s="25">
        <f t="shared" si="96"/>
        <v>22</v>
      </c>
      <c r="GJ174" s="25">
        <f t="shared" si="97"/>
        <v>18</v>
      </c>
      <c r="GK174" s="25">
        <f t="shared" si="98"/>
        <v>1071</v>
      </c>
      <c r="GL174" s="25">
        <f t="shared" si="99"/>
        <v>0</v>
      </c>
      <c r="GM174" s="25">
        <f t="shared" si="100"/>
        <v>-1071</v>
      </c>
      <c r="GN174" s="25"/>
      <c r="GO174" s="25"/>
      <c r="GP174" s="25"/>
      <c r="GQ174" s="25"/>
      <c r="GR174" s="25"/>
      <c r="GS174" s="25"/>
      <c r="GT174" s="25"/>
      <c r="GU174" s="25"/>
      <c r="GV174" s="25"/>
      <c r="GW174" s="25"/>
      <c r="GX174" s="25"/>
      <c r="GY174" s="25"/>
      <c r="GZ174" s="25"/>
      <c r="HA174" s="25"/>
      <c r="HB174" s="25"/>
      <c r="HC174" s="25"/>
      <c r="HD174" s="25"/>
      <c r="HE174" s="25"/>
      <c r="HF174" s="25"/>
      <c r="HG174" s="25"/>
      <c r="HH174" s="25"/>
      <c r="HI174" s="25"/>
    </row>
    <row r="175" spans="1:217" ht="13" x14ac:dyDescent="0.15">
      <c r="A175" s="19">
        <v>43238</v>
      </c>
      <c r="B175" s="20" t="s">
        <v>246</v>
      </c>
      <c r="C175" s="16"/>
      <c r="D175" s="20"/>
      <c r="E175" s="20"/>
      <c r="F175" s="20"/>
      <c r="G175" s="21"/>
      <c r="H175" s="21"/>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c r="CL175" s="20"/>
      <c r="CM175" s="20"/>
      <c r="CN175" s="20"/>
      <c r="CO175" s="20"/>
      <c r="CP175" s="20"/>
      <c r="CQ175" s="20"/>
      <c r="CR175" s="20"/>
      <c r="CS175" s="20"/>
      <c r="CT175" s="20"/>
      <c r="CU175" s="20"/>
      <c r="CV175" s="20"/>
      <c r="CW175" s="20"/>
      <c r="CX175" s="20"/>
      <c r="CY175" s="20"/>
      <c r="CZ175" s="20"/>
      <c r="DA175" s="20"/>
      <c r="DB175" s="20"/>
      <c r="DC175" s="20"/>
      <c r="DD175" s="20"/>
      <c r="DE175" s="20"/>
      <c r="DF175" s="20"/>
      <c r="DG175" s="20"/>
      <c r="DH175" s="20"/>
      <c r="DI175" s="20"/>
      <c r="DJ175" s="20"/>
      <c r="DK175" s="20"/>
      <c r="DL175" s="20"/>
      <c r="DM175" s="20"/>
      <c r="DN175" s="20"/>
      <c r="DO175" s="20"/>
      <c r="DP175" s="20"/>
      <c r="DQ175" s="20"/>
      <c r="DR175" s="20"/>
      <c r="DS175" s="20"/>
      <c r="DT175" s="20"/>
      <c r="DU175" s="20"/>
      <c r="DV175" s="20"/>
      <c r="DW175" s="20"/>
      <c r="DX175" s="20"/>
      <c r="DY175" s="20"/>
      <c r="DZ175" s="20"/>
      <c r="EA175" s="20"/>
      <c r="EB175" s="20"/>
      <c r="EC175" s="20"/>
      <c r="ED175" s="20"/>
      <c r="EE175" s="20"/>
      <c r="EF175" s="20"/>
      <c r="EG175" s="20"/>
      <c r="EH175" s="20"/>
      <c r="EI175" s="20"/>
      <c r="EJ175" s="20"/>
      <c r="EK175" s="20"/>
      <c r="EL175" s="20"/>
      <c r="EM175" s="20"/>
      <c r="EN175" s="20"/>
      <c r="EO175" s="20"/>
      <c r="EP175" s="20"/>
      <c r="EQ175" s="20"/>
      <c r="ER175" s="20"/>
      <c r="ES175" s="20"/>
      <c r="ET175" s="20"/>
      <c r="EU175" s="20"/>
      <c r="EV175" s="20"/>
      <c r="EW175" s="20"/>
      <c r="EX175" s="20"/>
      <c r="EY175" s="20"/>
      <c r="EZ175" s="20"/>
      <c r="FA175" s="20"/>
      <c r="FB175" s="20"/>
      <c r="FC175" s="20"/>
      <c r="FD175" s="20"/>
      <c r="FE175" s="20"/>
      <c r="FF175" s="20"/>
      <c r="FG175" s="20"/>
      <c r="FH175" s="20"/>
      <c r="FI175" s="20"/>
      <c r="FJ175" s="20"/>
      <c r="FK175" s="20"/>
      <c r="FL175" s="20"/>
      <c r="FM175" s="20"/>
      <c r="FN175" s="20"/>
      <c r="FO175" s="20"/>
      <c r="FP175" s="20"/>
      <c r="FQ175" s="20"/>
      <c r="FR175" s="20"/>
      <c r="FS175" s="20"/>
      <c r="FT175" s="20"/>
      <c r="FU175" s="20"/>
      <c r="FV175" s="20"/>
      <c r="FW175" s="20"/>
      <c r="FX175" s="20"/>
      <c r="FY175" s="20"/>
      <c r="FZ175" s="20"/>
      <c r="GA175" s="20"/>
      <c r="GB175" s="20"/>
      <c r="GC175" s="20"/>
      <c r="GD175" s="20"/>
      <c r="GE175" s="20"/>
      <c r="GF175" s="20"/>
      <c r="GG175" s="20"/>
      <c r="GH175" s="20"/>
      <c r="GI175" s="20"/>
      <c r="GJ175" s="20"/>
      <c r="GK175" s="20"/>
      <c r="GL175" s="20"/>
      <c r="GM175" s="20"/>
      <c r="GN175" s="20"/>
      <c r="GO175" s="20"/>
      <c r="GP175" s="20"/>
      <c r="GQ175" s="20"/>
      <c r="GR175" s="20"/>
      <c r="GS175" s="20"/>
      <c r="GT175" s="20"/>
      <c r="GU175" s="20"/>
      <c r="GV175" s="20"/>
      <c r="GW175" s="20"/>
      <c r="GX175" s="20"/>
      <c r="GY175" s="20"/>
      <c r="GZ175" s="20"/>
      <c r="HA175" s="20"/>
      <c r="HB175" s="20"/>
      <c r="HC175" s="20"/>
      <c r="HD175" s="20"/>
      <c r="HE175" s="20"/>
      <c r="HF175" s="20"/>
      <c r="HG175" s="20"/>
      <c r="HH175" s="20"/>
      <c r="HI175" s="20"/>
    </row>
    <row r="176" spans="1:217" ht="13" x14ac:dyDescent="0.15">
      <c r="A176" s="27">
        <v>43239</v>
      </c>
      <c r="B176" s="28" t="s">
        <v>369</v>
      </c>
      <c r="C176" s="16">
        <v>166</v>
      </c>
      <c r="D176" s="28">
        <v>21.888725000000001</v>
      </c>
      <c r="E176" s="28">
        <v>-159.41641200000001</v>
      </c>
      <c r="F176" s="28" t="s">
        <v>321</v>
      </c>
      <c r="G176" s="29">
        <v>0.45694444444444443</v>
      </c>
      <c r="H176" s="29">
        <v>0.47569444444444442</v>
      </c>
      <c r="I176" s="28">
        <v>3</v>
      </c>
      <c r="J176" s="28">
        <v>4.5</v>
      </c>
      <c r="K176" s="28" t="s">
        <v>314</v>
      </c>
      <c r="L176" s="28">
        <v>10</v>
      </c>
      <c r="M176" s="28">
        <v>9</v>
      </c>
      <c r="N176" s="28" t="s">
        <v>532</v>
      </c>
      <c r="O176" s="28"/>
      <c r="P176" s="28"/>
      <c r="Q176" s="28"/>
      <c r="R176" s="28"/>
      <c r="S176" s="28"/>
      <c r="T176" s="28"/>
      <c r="U176" s="28"/>
      <c r="V176" s="28"/>
      <c r="W176" s="28"/>
      <c r="X176" s="28"/>
      <c r="Y176" s="28"/>
      <c r="Z176" s="28"/>
      <c r="AA176" s="28"/>
      <c r="AB176" s="28">
        <v>25</v>
      </c>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v>6</v>
      </c>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c r="CP176" s="28"/>
      <c r="CQ176" s="28"/>
      <c r="CR176" s="28"/>
      <c r="CS176" s="28"/>
      <c r="CT176" s="28"/>
      <c r="CU176" s="28"/>
      <c r="CV176" s="28"/>
      <c r="CW176" s="28"/>
      <c r="CX176" s="28"/>
      <c r="CY176" s="28"/>
      <c r="CZ176" s="28"/>
      <c r="DA176" s="28"/>
      <c r="DB176" s="28"/>
      <c r="DC176" s="28"/>
      <c r="DD176" s="28"/>
      <c r="DE176" s="28"/>
      <c r="DF176" s="28"/>
      <c r="DG176" s="28"/>
      <c r="DH176" s="28"/>
      <c r="DI176" s="28"/>
      <c r="DJ176" s="28"/>
      <c r="DK176" s="28"/>
      <c r="DL176" s="28"/>
      <c r="DM176" s="28"/>
      <c r="DN176" s="28"/>
      <c r="DO176" s="28"/>
      <c r="DP176" s="28"/>
      <c r="DQ176" s="28"/>
      <c r="DR176" s="28"/>
      <c r="DS176" s="28">
        <v>56</v>
      </c>
      <c r="DT176" s="28"/>
      <c r="DU176" s="28"/>
      <c r="DV176" s="28"/>
      <c r="DW176" s="28"/>
      <c r="DX176" s="28"/>
      <c r="DY176" s="28"/>
      <c r="DZ176" s="28"/>
      <c r="EA176" s="28"/>
      <c r="EB176" s="28"/>
      <c r="EC176" s="28"/>
      <c r="ED176" s="28"/>
      <c r="EE176" s="28"/>
      <c r="EF176" s="28"/>
      <c r="EG176" s="28"/>
      <c r="EH176" s="28"/>
      <c r="EI176" s="28"/>
      <c r="EJ176" s="28"/>
      <c r="EK176" s="28"/>
      <c r="EL176" s="28"/>
      <c r="EM176" s="28"/>
      <c r="EN176" s="28"/>
      <c r="EO176" s="28"/>
      <c r="EP176" s="28"/>
      <c r="EQ176" s="28"/>
      <c r="ER176" s="28"/>
      <c r="ES176" s="28"/>
      <c r="ET176" s="28"/>
      <c r="EU176" s="28"/>
      <c r="EV176" s="28"/>
      <c r="EW176" s="28"/>
      <c r="EX176" s="28"/>
      <c r="EY176" s="28"/>
      <c r="EZ176" s="28"/>
      <c r="FA176" s="28"/>
      <c r="FB176" s="28">
        <v>1</v>
      </c>
      <c r="FC176" s="28"/>
      <c r="FD176" s="28"/>
      <c r="FE176" s="28"/>
      <c r="FF176" s="28"/>
      <c r="FG176" s="28"/>
      <c r="FH176" s="28"/>
      <c r="FI176" s="28"/>
      <c r="FJ176" s="28"/>
      <c r="FK176" s="28"/>
      <c r="FL176" s="28"/>
      <c r="FM176" s="28"/>
      <c r="FN176" s="28"/>
      <c r="FO176" s="28"/>
      <c r="FP176" s="28"/>
      <c r="FQ176" s="28"/>
      <c r="FR176" s="28"/>
      <c r="FS176" s="28">
        <v>1</v>
      </c>
      <c r="FT176" s="28"/>
      <c r="FU176" s="28">
        <v>22</v>
      </c>
      <c r="FV176" s="28"/>
      <c r="FW176" s="28">
        <v>7</v>
      </c>
      <c r="FX176" s="28"/>
      <c r="FY176" s="28"/>
      <c r="FZ176" s="28"/>
      <c r="GA176" s="28"/>
      <c r="GB176" s="28"/>
      <c r="GC176" s="28"/>
      <c r="GD176" s="28"/>
      <c r="GE176" s="28"/>
      <c r="GF176" s="28"/>
      <c r="GG176" s="28"/>
      <c r="GH176" s="28"/>
      <c r="GI176" s="28"/>
      <c r="GJ176" s="28"/>
      <c r="GK176" s="28"/>
      <c r="GL176" s="28"/>
      <c r="GM176" s="28"/>
      <c r="GN176" s="28"/>
      <c r="GO176" s="28"/>
      <c r="GP176" s="28"/>
      <c r="GQ176" s="28"/>
      <c r="GR176" s="28"/>
      <c r="GS176" s="28"/>
      <c r="GT176" s="28"/>
      <c r="GU176" s="28"/>
      <c r="GV176" s="28"/>
      <c r="GW176" s="28"/>
      <c r="GX176" s="28"/>
      <c r="GY176" s="28"/>
      <c r="GZ176" s="28"/>
      <c r="HA176" s="28"/>
      <c r="HB176" s="28"/>
      <c r="HC176" s="28"/>
      <c r="HD176" s="28"/>
      <c r="HE176" s="28"/>
      <c r="HF176" s="28"/>
      <c r="HG176" s="28"/>
      <c r="HH176" s="28"/>
      <c r="HI176" s="28"/>
    </row>
    <row r="177" spans="1:217" ht="13" x14ac:dyDescent="0.15">
      <c r="A177" s="27">
        <v>43241</v>
      </c>
      <c r="B177" s="28" t="s">
        <v>230</v>
      </c>
      <c r="C177" s="16">
        <f>C176+1</f>
        <v>167</v>
      </c>
      <c r="D177" s="28">
        <v>20.753699999999998</v>
      </c>
      <c r="E177" s="28">
        <v>-156.46090699999999</v>
      </c>
      <c r="F177" s="28" t="s">
        <v>397</v>
      </c>
      <c r="G177" s="29">
        <v>0.46875</v>
      </c>
      <c r="H177" s="29">
        <v>0.54166666666666663</v>
      </c>
      <c r="I177" s="28">
        <v>5</v>
      </c>
      <c r="J177" s="28">
        <v>12</v>
      </c>
      <c r="K177" s="28" t="s">
        <v>198</v>
      </c>
      <c r="L177" s="28">
        <v>7</v>
      </c>
      <c r="M177" s="28">
        <v>19</v>
      </c>
      <c r="N177" s="28" t="s">
        <v>533</v>
      </c>
      <c r="O177" s="28"/>
      <c r="P177" s="28"/>
      <c r="Q177" s="28"/>
      <c r="R177" s="28">
        <v>26</v>
      </c>
      <c r="S177" s="28"/>
      <c r="T177" s="28"/>
      <c r="U177" s="28"/>
      <c r="V177" s="28"/>
      <c r="W177" s="28"/>
      <c r="X177" s="28"/>
      <c r="Y177" s="28"/>
      <c r="Z177" s="28"/>
      <c r="AA177" s="28"/>
      <c r="AB177" s="28">
        <v>5</v>
      </c>
      <c r="AC177" s="28"/>
      <c r="AD177" s="28"/>
      <c r="AE177" s="28"/>
      <c r="AF177" s="28"/>
      <c r="AG177" s="28"/>
      <c r="AH177" s="28"/>
      <c r="AI177" s="28"/>
      <c r="AJ177" s="28"/>
      <c r="AK177" s="28"/>
      <c r="AL177" s="28"/>
      <c r="AM177" s="28">
        <v>61</v>
      </c>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v>54</v>
      </c>
      <c r="BN177" s="28"/>
      <c r="BO177" s="28"/>
      <c r="BP177" s="28"/>
      <c r="BQ177" s="28"/>
      <c r="BR177" s="28"/>
      <c r="BS177" s="28"/>
      <c r="BT177" s="28"/>
      <c r="BU177" s="28"/>
      <c r="BV177" s="28"/>
      <c r="BW177" s="28"/>
      <c r="BX177" s="28"/>
      <c r="BY177" s="28"/>
      <c r="BZ177" s="28"/>
      <c r="CA177" s="28"/>
      <c r="CB177" s="28"/>
      <c r="CC177" s="28"/>
      <c r="CD177" s="28"/>
      <c r="CE177" s="28"/>
      <c r="CF177" s="28"/>
      <c r="CG177" s="28"/>
      <c r="CH177" s="28"/>
      <c r="CI177" s="28"/>
      <c r="CJ177" s="28"/>
      <c r="CK177" s="28">
        <v>1</v>
      </c>
      <c r="CL177" s="28"/>
      <c r="CM177" s="28"/>
      <c r="CN177" s="28">
        <v>2</v>
      </c>
      <c r="CO177" s="28"/>
      <c r="CP177" s="28"/>
      <c r="CQ177" s="28"/>
      <c r="CR177" s="28"/>
      <c r="CS177" s="28"/>
      <c r="CT177" s="28"/>
      <c r="CU177" s="28"/>
      <c r="CV177" s="28"/>
      <c r="CW177" s="28"/>
      <c r="CX177" s="28"/>
      <c r="CY177" s="28"/>
      <c r="CZ177" s="28"/>
      <c r="DA177" s="28"/>
      <c r="DB177" s="28"/>
      <c r="DC177" s="28"/>
      <c r="DD177" s="28"/>
      <c r="DE177" s="28"/>
      <c r="DF177" s="28"/>
      <c r="DG177" s="28">
        <v>1</v>
      </c>
      <c r="DH177" s="28"/>
      <c r="DI177" s="28"/>
      <c r="DJ177" s="28"/>
      <c r="DK177" s="28"/>
      <c r="DL177" s="28"/>
      <c r="DM177" s="28"/>
      <c r="DN177" s="28"/>
      <c r="DO177" s="28"/>
      <c r="DP177" s="28"/>
      <c r="DQ177" s="28"/>
      <c r="DR177" s="28"/>
      <c r="DS177" s="28">
        <v>2</v>
      </c>
      <c r="DT177" s="28"/>
      <c r="DU177" s="28"/>
      <c r="DV177" s="28"/>
      <c r="DW177" s="28"/>
      <c r="DX177" s="28"/>
      <c r="DY177" s="28"/>
      <c r="DZ177" s="28"/>
      <c r="EA177" s="28"/>
      <c r="EB177" s="28"/>
      <c r="EC177" s="28"/>
      <c r="ED177" s="28"/>
      <c r="EE177" s="28"/>
      <c r="EF177" s="28"/>
      <c r="EG177" s="28"/>
      <c r="EH177" s="28"/>
      <c r="EI177" s="28"/>
      <c r="EJ177" s="28"/>
      <c r="EK177" s="28"/>
      <c r="EL177" s="28"/>
      <c r="EM177" s="28"/>
      <c r="EN177" s="28"/>
      <c r="EO177" s="28"/>
      <c r="EP177" s="28"/>
      <c r="EQ177" s="28"/>
      <c r="ER177" s="28"/>
      <c r="ES177" s="28"/>
      <c r="ET177" s="28"/>
      <c r="EU177" s="28"/>
      <c r="EV177" s="28"/>
      <c r="EW177" s="28"/>
      <c r="EX177" s="28"/>
      <c r="EY177" s="28"/>
      <c r="EZ177" s="28"/>
      <c r="FA177" s="28"/>
      <c r="FB177" s="28"/>
      <c r="FC177" s="28"/>
      <c r="FD177" s="28"/>
      <c r="FE177" s="28"/>
      <c r="FF177" s="28"/>
      <c r="FG177" s="28"/>
      <c r="FH177" s="28"/>
      <c r="FI177" s="28"/>
      <c r="FJ177" s="28"/>
      <c r="FK177" s="28"/>
      <c r="FL177" s="28"/>
      <c r="FM177" s="28"/>
      <c r="FN177" s="28"/>
      <c r="FO177" s="28"/>
      <c r="FP177" s="28"/>
      <c r="FQ177" s="28"/>
      <c r="FR177" s="28"/>
      <c r="FS177" s="28">
        <v>42</v>
      </c>
      <c r="FT177" s="28"/>
      <c r="FU177" s="28"/>
      <c r="FV177" s="28"/>
      <c r="FW177" s="28"/>
      <c r="FX177" s="28"/>
      <c r="FY177" s="28"/>
      <c r="FZ177" s="28"/>
      <c r="GA177" s="28"/>
      <c r="GB177" s="28"/>
      <c r="GC177" s="28"/>
      <c r="GD177" s="28"/>
      <c r="GE177" s="28"/>
      <c r="GF177" s="28"/>
      <c r="GG177" s="28"/>
      <c r="GH177" s="28"/>
      <c r="GI177" s="28"/>
      <c r="GJ177" s="28"/>
      <c r="GK177" s="28"/>
      <c r="GL177" s="28"/>
      <c r="GM177" s="28"/>
      <c r="GN177" s="28"/>
      <c r="GO177" s="28"/>
      <c r="GP177" s="28"/>
      <c r="GQ177" s="28"/>
      <c r="GR177" s="28"/>
      <c r="GS177" s="28"/>
      <c r="GT177" s="28"/>
      <c r="GU177" s="28"/>
      <c r="GV177" s="28"/>
      <c r="GW177" s="28"/>
      <c r="GX177" s="28"/>
      <c r="GY177" s="28"/>
      <c r="GZ177" s="28"/>
      <c r="HA177" s="28"/>
      <c r="HB177" s="28"/>
      <c r="HC177" s="28"/>
      <c r="HD177" s="28"/>
      <c r="HE177" s="28"/>
      <c r="HF177" s="28"/>
      <c r="HG177" s="28"/>
      <c r="HH177" s="28"/>
      <c r="HI177" s="28"/>
    </row>
    <row r="178" spans="1:217" ht="13" x14ac:dyDescent="0.15">
      <c r="A178" s="19">
        <v>43248</v>
      </c>
      <c r="B178" s="20" t="s">
        <v>246</v>
      </c>
      <c r="C178" s="16"/>
      <c r="D178" s="20"/>
      <c r="E178" s="20"/>
      <c r="F178" s="20"/>
      <c r="G178" s="21"/>
      <c r="H178" s="21"/>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c r="DA178" s="20"/>
      <c r="DB178" s="20"/>
      <c r="DC178" s="20"/>
      <c r="DD178" s="20"/>
      <c r="DE178" s="20"/>
      <c r="DF178" s="20"/>
      <c r="DG178" s="20"/>
      <c r="DH178" s="20"/>
      <c r="DI178" s="20"/>
      <c r="DJ178" s="20"/>
      <c r="DK178" s="20"/>
      <c r="DL178" s="20"/>
      <c r="DM178" s="20"/>
      <c r="DN178" s="20"/>
      <c r="DO178" s="20"/>
      <c r="DP178" s="20"/>
      <c r="DQ178" s="20"/>
      <c r="DR178" s="20"/>
      <c r="DS178" s="20"/>
      <c r="DT178" s="20"/>
      <c r="DU178" s="20"/>
      <c r="DV178" s="20"/>
      <c r="DW178" s="20"/>
      <c r="DX178" s="20"/>
      <c r="DY178" s="20"/>
      <c r="DZ178" s="20"/>
      <c r="EA178" s="20"/>
      <c r="EB178" s="20"/>
      <c r="EC178" s="20"/>
      <c r="ED178" s="20"/>
      <c r="EE178" s="20"/>
      <c r="EF178" s="20"/>
      <c r="EG178" s="20"/>
      <c r="EH178" s="20"/>
      <c r="EI178" s="20"/>
      <c r="EJ178" s="20"/>
      <c r="EK178" s="20"/>
      <c r="EL178" s="20"/>
      <c r="EM178" s="20"/>
      <c r="EN178" s="20"/>
      <c r="EO178" s="20"/>
      <c r="EP178" s="20"/>
      <c r="EQ178" s="20"/>
      <c r="ER178" s="20"/>
      <c r="ES178" s="20"/>
      <c r="ET178" s="20"/>
      <c r="EU178" s="20"/>
      <c r="EV178" s="20"/>
      <c r="EW178" s="20"/>
      <c r="EX178" s="20"/>
      <c r="EY178" s="20"/>
      <c r="EZ178" s="20"/>
      <c r="FA178" s="20"/>
      <c r="FB178" s="20"/>
      <c r="FC178" s="20"/>
      <c r="FD178" s="20"/>
      <c r="FE178" s="20"/>
      <c r="FF178" s="20"/>
      <c r="FG178" s="20"/>
      <c r="FH178" s="20"/>
      <c r="FI178" s="20"/>
      <c r="FJ178" s="20"/>
      <c r="FK178" s="20"/>
      <c r="FL178" s="20"/>
      <c r="FM178" s="20"/>
      <c r="FN178" s="20"/>
      <c r="FO178" s="20"/>
      <c r="FP178" s="20"/>
      <c r="FQ178" s="20"/>
      <c r="FR178" s="20"/>
      <c r="FS178" s="20"/>
      <c r="FT178" s="20"/>
      <c r="FU178" s="20"/>
      <c r="FV178" s="20"/>
      <c r="FW178" s="20"/>
      <c r="FX178" s="20"/>
      <c r="FY178" s="20"/>
      <c r="FZ178" s="20"/>
      <c r="GA178" s="20"/>
      <c r="GB178" s="20"/>
      <c r="GC178" s="20"/>
      <c r="GD178" s="20"/>
      <c r="GE178" s="20"/>
      <c r="GF178" s="20"/>
      <c r="GG178" s="20"/>
      <c r="GH178" s="20"/>
      <c r="GI178" s="20"/>
      <c r="GJ178" s="20"/>
      <c r="GK178" s="20"/>
      <c r="GL178" s="20"/>
      <c r="GM178" s="20"/>
      <c r="GN178" s="20"/>
      <c r="GO178" s="20"/>
      <c r="GP178" s="20"/>
      <c r="GQ178" s="20"/>
      <c r="GR178" s="20"/>
      <c r="GS178" s="20"/>
      <c r="GT178" s="20"/>
      <c r="GU178" s="20"/>
      <c r="GV178" s="20"/>
      <c r="GW178" s="20"/>
      <c r="GX178" s="20"/>
      <c r="GY178" s="20"/>
      <c r="GZ178" s="20"/>
      <c r="HA178" s="20"/>
      <c r="HB178" s="20"/>
      <c r="HC178" s="20"/>
      <c r="HD178" s="20"/>
      <c r="HE178" s="20"/>
      <c r="HF178" s="20"/>
      <c r="HG178" s="20"/>
      <c r="HH178" s="20"/>
      <c r="HI178" s="20"/>
    </row>
    <row r="179" spans="1:217" ht="13" x14ac:dyDescent="0.15">
      <c r="A179" s="19">
        <v>43250</v>
      </c>
      <c r="B179" s="20" t="s">
        <v>400</v>
      </c>
      <c r="C179" s="16"/>
      <c r="D179" s="20"/>
      <c r="E179" s="20"/>
      <c r="F179" s="20"/>
      <c r="G179" s="21"/>
      <c r="H179" s="21"/>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c r="DU179" s="20"/>
      <c r="DV179" s="20"/>
      <c r="DW179" s="20"/>
      <c r="DX179" s="20"/>
      <c r="DY179" s="20"/>
      <c r="DZ179" s="20"/>
      <c r="EA179" s="20"/>
      <c r="EB179" s="20"/>
      <c r="EC179" s="20"/>
      <c r="ED179" s="20"/>
      <c r="EE179" s="20"/>
      <c r="EF179" s="20"/>
      <c r="EG179" s="20"/>
      <c r="EH179" s="20"/>
      <c r="EI179" s="20"/>
      <c r="EJ179" s="20"/>
      <c r="EK179" s="20"/>
      <c r="EL179" s="20"/>
      <c r="EM179" s="20"/>
      <c r="EN179" s="20"/>
      <c r="EO179" s="20"/>
      <c r="EP179" s="20"/>
      <c r="EQ179" s="20"/>
      <c r="ER179" s="20"/>
      <c r="ES179" s="20"/>
      <c r="ET179" s="20"/>
      <c r="EU179" s="20"/>
      <c r="EV179" s="20"/>
      <c r="EW179" s="20"/>
      <c r="EX179" s="20"/>
      <c r="EY179" s="20"/>
      <c r="EZ179" s="20"/>
      <c r="FA179" s="20"/>
      <c r="FB179" s="20"/>
      <c r="FC179" s="20"/>
      <c r="FD179" s="20"/>
      <c r="FE179" s="20"/>
      <c r="FF179" s="20"/>
      <c r="FG179" s="20"/>
      <c r="FH179" s="20"/>
      <c r="FI179" s="20"/>
      <c r="FJ179" s="20"/>
      <c r="FK179" s="20"/>
      <c r="FL179" s="20"/>
      <c r="FM179" s="20"/>
      <c r="FN179" s="20"/>
      <c r="FO179" s="20"/>
      <c r="FP179" s="20"/>
      <c r="FQ179" s="20"/>
      <c r="FR179" s="20"/>
      <c r="FS179" s="20"/>
      <c r="FT179" s="20"/>
      <c r="FU179" s="20"/>
      <c r="FV179" s="20"/>
      <c r="FW179" s="20"/>
      <c r="FX179" s="20"/>
      <c r="FY179" s="20"/>
      <c r="FZ179" s="20"/>
      <c r="GA179" s="20"/>
      <c r="GB179" s="20"/>
      <c r="GC179" s="20"/>
      <c r="GD179" s="20"/>
      <c r="GE179" s="20"/>
      <c r="GF179" s="20"/>
      <c r="GG179" s="20"/>
      <c r="GH179" s="20"/>
      <c r="GI179" s="20"/>
      <c r="GJ179" s="20"/>
      <c r="GK179" s="20"/>
      <c r="GL179" s="20"/>
      <c r="GM179" s="20"/>
      <c r="GN179" s="20"/>
      <c r="GO179" s="20"/>
      <c r="GP179" s="20"/>
      <c r="GQ179" s="20"/>
      <c r="GR179" s="20"/>
      <c r="GS179" s="20"/>
      <c r="GT179" s="20"/>
      <c r="GU179" s="20"/>
      <c r="GV179" s="20"/>
      <c r="GW179" s="20"/>
      <c r="GX179" s="20"/>
      <c r="GY179" s="20"/>
      <c r="GZ179" s="20"/>
      <c r="HA179" s="20"/>
      <c r="HB179" s="20"/>
      <c r="HC179" s="20"/>
      <c r="HD179" s="20"/>
      <c r="HE179" s="20"/>
      <c r="HF179" s="20"/>
      <c r="HG179" s="20"/>
      <c r="HH179" s="20"/>
      <c r="HI179" s="20"/>
    </row>
    <row r="180" spans="1:217" ht="13" x14ac:dyDescent="0.15">
      <c r="A180" s="19">
        <v>43251</v>
      </c>
      <c r="B180" s="20" t="s">
        <v>337</v>
      </c>
      <c r="C180" s="16"/>
      <c r="D180" s="20"/>
      <c r="E180" s="20"/>
      <c r="F180" s="20"/>
      <c r="G180" s="21"/>
      <c r="H180" s="21"/>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c r="DU180" s="20"/>
      <c r="DV180" s="20"/>
      <c r="DW180" s="20"/>
      <c r="DX180" s="20"/>
      <c r="DY180" s="20"/>
      <c r="DZ180" s="20"/>
      <c r="EA180" s="20"/>
      <c r="EB180" s="20"/>
      <c r="EC180" s="20"/>
      <c r="ED180" s="20"/>
      <c r="EE180" s="20"/>
      <c r="EF180" s="20"/>
      <c r="EG180" s="20"/>
      <c r="EH180" s="20"/>
      <c r="EI180" s="20"/>
      <c r="EJ180" s="20"/>
      <c r="EK180" s="20"/>
      <c r="EL180" s="20"/>
      <c r="EM180" s="20"/>
      <c r="EN180" s="20"/>
      <c r="EO180" s="20"/>
      <c r="EP180" s="20"/>
      <c r="EQ180" s="20"/>
      <c r="ER180" s="20"/>
      <c r="ES180" s="20"/>
      <c r="ET180" s="20"/>
      <c r="EU180" s="20"/>
      <c r="EV180" s="20"/>
      <c r="EW180" s="20"/>
      <c r="EX180" s="20"/>
      <c r="EY180" s="20"/>
      <c r="EZ180" s="20"/>
      <c r="FA180" s="20"/>
      <c r="FB180" s="20"/>
      <c r="FC180" s="20"/>
      <c r="FD180" s="20"/>
      <c r="FE180" s="20"/>
      <c r="FF180" s="20"/>
      <c r="FG180" s="20"/>
      <c r="FH180" s="20"/>
      <c r="FI180" s="20"/>
      <c r="FJ180" s="20"/>
      <c r="FK180" s="20"/>
      <c r="FL180" s="20"/>
      <c r="FM180" s="20"/>
      <c r="FN180" s="20"/>
      <c r="FO180" s="20"/>
      <c r="FP180" s="20"/>
      <c r="FQ180" s="20"/>
      <c r="FR180" s="20"/>
      <c r="FS180" s="20"/>
      <c r="FT180" s="20"/>
      <c r="FU180" s="20"/>
      <c r="FV180" s="20"/>
      <c r="FW180" s="20"/>
      <c r="FX180" s="20"/>
      <c r="FY180" s="20"/>
      <c r="FZ180" s="20"/>
      <c r="GA180" s="20"/>
      <c r="GB180" s="20"/>
      <c r="GC180" s="20"/>
      <c r="GD180" s="20"/>
      <c r="GE180" s="20"/>
      <c r="GF180" s="20"/>
      <c r="GG180" s="20"/>
      <c r="GH180" s="20"/>
      <c r="GI180" s="20"/>
      <c r="GJ180" s="20"/>
      <c r="GK180" s="20"/>
      <c r="GL180" s="20"/>
      <c r="GM180" s="20"/>
      <c r="GN180" s="20"/>
      <c r="GO180" s="20"/>
      <c r="GP180" s="20"/>
      <c r="GQ180" s="20"/>
      <c r="GR180" s="20"/>
      <c r="GS180" s="20"/>
      <c r="GT180" s="20"/>
      <c r="GU180" s="20"/>
      <c r="GV180" s="20"/>
      <c r="GW180" s="20"/>
      <c r="GX180" s="20"/>
      <c r="GY180" s="20"/>
      <c r="GZ180" s="20"/>
      <c r="HA180" s="20"/>
      <c r="HB180" s="20"/>
      <c r="HC180" s="20"/>
      <c r="HD180" s="20"/>
      <c r="HE180" s="20"/>
      <c r="HF180" s="20"/>
      <c r="HG180" s="20"/>
      <c r="HH180" s="20"/>
      <c r="HI180" s="20"/>
    </row>
    <row r="181" spans="1:217" ht="13" x14ac:dyDescent="0.15">
      <c r="A181" s="24">
        <v>43311</v>
      </c>
      <c r="B181" s="25" t="s">
        <v>246</v>
      </c>
      <c r="C181" s="16">
        <v>168</v>
      </c>
      <c r="D181" s="25">
        <v>21.2882</v>
      </c>
      <c r="E181" s="25">
        <v>-157.66799900000001</v>
      </c>
      <c r="F181" s="25" t="s">
        <v>353</v>
      </c>
      <c r="G181" s="26">
        <v>0.39027777777777778</v>
      </c>
      <c r="H181" s="26">
        <v>0.44791666666666669</v>
      </c>
      <c r="I181" s="25">
        <v>6</v>
      </c>
      <c r="J181" s="25">
        <v>17</v>
      </c>
      <c r="K181" s="25" t="s">
        <v>198</v>
      </c>
      <c r="L181" s="25">
        <v>6</v>
      </c>
      <c r="M181" s="25">
        <v>26</v>
      </c>
      <c r="N181" s="25" t="s">
        <v>436</v>
      </c>
      <c r="O181" s="25"/>
      <c r="P181" s="25"/>
      <c r="Q181" s="25"/>
      <c r="R181" s="25">
        <v>2</v>
      </c>
      <c r="S181" s="25">
        <v>2</v>
      </c>
      <c r="T181" s="25"/>
      <c r="U181" s="25"/>
      <c r="V181" s="25"/>
      <c r="W181" s="25"/>
      <c r="X181" s="25"/>
      <c r="Y181" s="25"/>
      <c r="Z181" s="25"/>
      <c r="AA181" s="25"/>
      <c r="AB181" s="25"/>
      <c r="AC181" s="25">
        <v>1</v>
      </c>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v>1</v>
      </c>
      <c r="BI181" s="25"/>
      <c r="BJ181" s="25"/>
      <c r="BK181" s="25">
        <v>2</v>
      </c>
      <c r="BL181" s="25">
        <v>1</v>
      </c>
      <c r="BM181" s="25">
        <v>12</v>
      </c>
      <c r="BN181" s="25">
        <v>3</v>
      </c>
      <c r="BO181" s="25"/>
      <c r="BP181" s="25"/>
      <c r="BQ181" s="25"/>
      <c r="BR181" s="25"/>
      <c r="BS181" s="25"/>
      <c r="BT181" s="25"/>
      <c r="BU181" s="25"/>
      <c r="BV181" s="25"/>
      <c r="BW181" s="25"/>
      <c r="BX181" s="25"/>
      <c r="BY181" s="25"/>
      <c r="BZ181" s="25"/>
      <c r="CA181" s="25">
        <v>3</v>
      </c>
      <c r="CB181" s="25"/>
      <c r="CC181" s="25">
        <v>2</v>
      </c>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c r="DG181" s="25">
        <v>1</v>
      </c>
      <c r="DH181" s="25"/>
      <c r="DI181" s="25"/>
      <c r="DJ181" s="25"/>
      <c r="DK181" s="25"/>
      <c r="DL181" s="25"/>
      <c r="DM181" s="25">
        <v>2</v>
      </c>
      <c r="DN181" s="25"/>
      <c r="DO181" s="25">
        <v>5</v>
      </c>
      <c r="DP181" s="25"/>
      <c r="DQ181" s="25"/>
      <c r="DR181" s="25"/>
      <c r="DS181" s="25"/>
      <c r="DT181" s="25"/>
      <c r="DU181" s="25"/>
      <c r="DV181" s="25"/>
      <c r="DW181" s="25"/>
      <c r="DX181" s="25"/>
      <c r="DY181" s="25"/>
      <c r="DZ181" s="25">
        <v>2</v>
      </c>
      <c r="EA181" s="25"/>
      <c r="EB181" s="25"/>
      <c r="EC181" s="25"/>
      <c r="ED181" s="25"/>
      <c r="EE181" s="25"/>
      <c r="EF181" s="25"/>
      <c r="EG181" s="25"/>
      <c r="EH181" s="25"/>
      <c r="EI181" s="25"/>
      <c r="EJ181" s="25">
        <v>1</v>
      </c>
      <c r="EK181" s="25"/>
      <c r="EL181" s="25"/>
      <c r="EM181" s="25"/>
      <c r="EN181" s="25"/>
      <c r="EO181" s="25"/>
      <c r="EP181" s="25"/>
      <c r="EQ181" s="25"/>
      <c r="ER181" s="25"/>
      <c r="ES181" s="25"/>
      <c r="ET181" s="25"/>
      <c r="EU181" s="25"/>
      <c r="EV181" s="25"/>
      <c r="EW181" s="25"/>
      <c r="EX181" s="25"/>
      <c r="EY181" s="25"/>
      <c r="EZ181" s="25">
        <v>4</v>
      </c>
      <c r="FA181" s="25"/>
      <c r="FB181" s="25">
        <v>1</v>
      </c>
      <c r="FC181" s="25"/>
      <c r="FD181" s="25"/>
      <c r="FE181" s="25"/>
      <c r="FF181" s="25"/>
      <c r="FG181" s="25"/>
      <c r="FH181" s="25"/>
      <c r="FI181" s="25"/>
      <c r="FJ181" s="25"/>
      <c r="FK181" s="25"/>
      <c r="FL181" s="25"/>
      <c r="FM181" s="25">
        <v>6</v>
      </c>
      <c r="FN181" s="25"/>
      <c r="FO181" s="25"/>
      <c r="FP181" s="25">
        <v>1</v>
      </c>
      <c r="FQ181" s="25"/>
      <c r="FR181" s="25">
        <v>11</v>
      </c>
      <c r="FS181" s="25">
        <v>217</v>
      </c>
      <c r="FT181" s="25"/>
      <c r="FU181" s="25"/>
      <c r="FV181" s="25"/>
      <c r="FW181" s="25">
        <v>1</v>
      </c>
      <c r="FX181" s="25"/>
      <c r="FY181" s="25"/>
      <c r="FZ181" s="25"/>
      <c r="GA181" s="25"/>
      <c r="GB181" s="25"/>
      <c r="GC181" s="25"/>
      <c r="GD181" s="25"/>
      <c r="GE181" s="25"/>
      <c r="GF181" s="25"/>
      <c r="GG181" s="25">
        <v>7</v>
      </c>
      <c r="GH181" s="25">
        <f>COUNT(R181:GG181)</f>
        <v>23</v>
      </c>
      <c r="GI181" s="25">
        <f>COUNTIF(R181:GG181,"&gt;=2")</f>
        <v>15</v>
      </c>
      <c r="GJ181" s="25">
        <f>COUNTIF(R181:GG181,"&gt;=5")</f>
        <v>6</v>
      </c>
      <c r="GK181" s="25">
        <f>SUM(R181:GG181)</f>
        <v>288</v>
      </c>
      <c r="GL181" s="25">
        <f>25*P181</f>
        <v>0</v>
      </c>
      <c r="GM181" s="25">
        <f>GL181-GK181</f>
        <v>-288</v>
      </c>
      <c r="GN181" s="25"/>
      <c r="GO181" s="25"/>
      <c r="GP181" s="25"/>
      <c r="GQ181" s="25"/>
      <c r="GR181" s="25"/>
      <c r="GS181" s="25"/>
      <c r="GT181" s="25"/>
      <c r="GU181" s="25"/>
      <c r="GV181" s="25"/>
      <c r="GW181" s="25"/>
      <c r="GX181" s="25"/>
      <c r="GY181" s="25"/>
      <c r="GZ181" s="25"/>
      <c r="HA181" s="25"/>
      <c r="HB181" s="25"/>
      <c r="HC181" s="25"/>
      <c r="HD181" s="25"/>
      <c r="HE181" s="25"/>
      <c r="HF181" s="25"/>
      <c r="HG181" s="25"/>
      <c r="HH181" s="25"/>
      <c r="HI181" s="25"/>
    </row>
    <row r="182" spans="1:217" ht="13" x14ac:dyDescent="0.15">
      <c r="A182" s="27">
        <v>43416</v>
      </c>
      <c r="B182" s="28" t="s">
        <v>216</v>
      </c>
      <c r="C182" s="16">
        <f t="shared" ref="C182:C186" si="101">C181+1</f>
        <v>169</v>
      </c>
      <c r="D182" s="28">
        <v>21.3002</v>
      </c>
      <c r="E182" s="28">
        <v>-157.882599</v>
      </c>
      <c r="F182" s="28" t="s">
        <v>534</v>
      </c>
      <c r="G182" s="29">
        <v>0.64236111111111116</v>
      </c>
      <c r="H182" s="29">
        <v>0.67013888888888884</v>
      </c>
      <c r="I182" s="28">
        <v>5</v>
      </c>
      <c r="J182" s="28">
        <v>20</v>
      </c>
      <c r="K182" s="28" t="s">
        <v>198</v>
      </c>
      <c r="L182" s="28">
        <v>5</v>
      </c>
      <c r="M182" s="28">
        <v>5</v>
      </c>
      <c r="N182" s="28" t="s">
        <v>535</v>
      </c>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v>10</v>
      </c>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c r="CP182" s="28"/>
      <c r="CQ182" s="28"/>
      <c r="CR182" s="28"/>
      <c r="CS182" s="28"/>
      <c r="CT182" s="28"/>
      <c r="CU182" s="28"/>
      <c r="CV182" s="28"/>
      <c r="CW182" s="28"/>
      <c r="CX182" s="28"/>
      <c r="CY182" s="28"/>
      <c r="CZ182" s="28"/>
      <c r="DA182" s="28"/>
      <c r="DB182" s="28"/>
      <c r="DC182" s="28"/>
      <c r="DD182" s="28"/>
      <c r="DE182" s="28"/>
      <c r="DF182" s="28"/>
      <c r="DG182" s="28"/>
      <c r="DH182" s="28"/>
      <c r="DI182" s="28"/>
      <c r="DJ182" s="28"/>
      <c r="DK182" s="28"/>
      <c r="DL182" s="28"/>
      <c r="DM182" s="28"/>
      <c r="DN182" s="28"/>
      <c r="DO182" s="28"/>
      <c r="DP182" s="28"/>
      <c r="DQ182" s="28"/>
      <c r="DR182" s="28"/>
      <c r="DS182" s="28"/>
      <c r="DT182" s="28"/>
      <c r="DU182" s="28"/>
      <c r="DV182" s="28"/>
      <c r="DW182" s="28"/>
      <c r="DX182" s="28"/>
      <c r="DY182" s="28"/>
      <c r="DZ182" s="28"/>
      <c r="EA182" s="28"/>
      <c r="EB182" s="28"/>
      <c r="EC182" s="28">
        <v>12</v>
      </c>
      <c r="ED182" s="28"/>
      <c r="EE182" s="28"/>
      <c r="EF182" s="28"/>
      <c r="EG182" s="28"/>
      <c r="EH182" s="28"/>
      <c r="EI182" s="28"/>
      <c r="EJ182" s="28"/>
      <c r="EK182" s="28"/>
      <c r="EL182" s="28"/>
      <c r="EM182" s="28"/>
      <c r="EN182" s="28"/>
      <c r="EO182" s="28"/>
      <c r="EP182" s="28"/>
      <c r="EQ182" s="28"/>
      <c r="ER182" s="28"/>
      <c r="ES182" s="28"/>
      <c r="ET182" s="28"/>
      <c r="EU182" s="28"/>
      <c r="EV182" s="28"/>
      <c r="EW182" s="28"/>
      <c r="EX182" s="28"/>
      <c r="EY182" s="28"/>
      <c r="EZ182" s="28"/>
      <c r="FA182" s="28"/>
      <c r="FB182" s="28"/>
      <c r="FC182" s="28"/>
      <c r="FD182" s="28"/>
      <c r="FE182" s="28"/>
      <c r="FF182" s="28"/>
      <c r="FG182" s="28"/>
      <c r="FH182" s="28"/>
      <c r="FI182" s="28"/>
      <c r="FJ182" s="28"/>
      <c r="FK182" s="28"/>
      <c r="FL182" s="28"/>
      <c r="FM182" s="28"/>
      <c r="FN182" s="28"/>
      <c r="FO182" s="28"/>
      <c r="FP182" s="28"/>
      <c r="FQ182" s="28"/>
      <c r="FR182" s="28"/>
      <c r="FS182" s="28">
        <v>103</v>
      </c>
      <c r="FT182" s="28"/>
      <c r="FU182" s="28"/>
      <c r="FV182" s="28"/>
      <c r="FW182" s="28"/>
      <c r="FX182" s="28"/>
      <c r="FY182" s="28"/>
      <c r="FZ182" s="28"/>
      <c r="GA182" s="28"/>
      <c r="GB182" s="28"/>
      <c r="GC182" s="28"/>
      <c r="GD182" s="28"/>
      <c r="GE182" s="28"/>
      <c r="GF182" s="28"/>
      <c r="GG182" s="28"/>
      <c r="GH182" s="28"/>
      <c r="GI182" s="28"/>
      <c r="GJ182" s="28"/>
      <c r="GK182" s="28"/>
      <c r="GL182" s="28"/>
      <c r="GM182" s="28"/>
      <c r="GN182" s="28"/>
      <c r="GO182" s="28"/>
      <c r="GP182" s="28"/>
      <c r="GQ182" s="28"/>
      <c r="GR182" s="28"/>
      <c r="GS182" s="28"/>
      <c r="GT182" s="28"/>
      <c r="GU182" s="28"/>
      <c r="GV182" s="28"/>
      <c r="GW182" s="28"/>
      <c r="GX182" s="28"/>
      <c r="GY182" s="28"/>
      <c r="GZ182" s="28"/>
      <c r="HA182" s="28"/>
      <c r="HB182" s="28"/>
      <c r="HC182" s="28"/>
      <c r="HD182" s="28"/>
      <c r="HE182" s="28"/>
      <c r="HF182" s="28"/>
      <c r="HG182" s="28"/>
      <c r="HH182" s="28"/>
      <c r="HI182" s="28"/>
    </row>
    <row r="183" spans="1:217" ht="13" x14ac:dyDescent="0.15">
      <c r="A183" s="13">
        <v>43485</v>
      </c>
      <c r="B183" s="3" t="s">
        <v>201</v>
      </c>
      <c r="C183" s="16">
        <f t="shared" si="101"/>
        <v>170</v>
      </c>
      <c r="D183" s="3">
        <v>21.25544</v>
      </c>
      <c r="E183" s="3">
        <v>-157.81030000000001</v>
      </c>
      <c r="F183" s="3" t="s">
        <v>418</v>
      </c>
      <c r="G183" s="14">
        <v>0.40625</v>
      </c>
      <c r="H183" s="14">
        <v>0.44791666666666669</v>
      </c>
      <c r="I183" s="3">
        <v>6</v>
      </c>
      <c r="J183" s="3">
        <v>10</v>
      </c>
      <c r="K183" s="3" t="s">
        <v>318</v>
      </c>
      <c r="L183" s="3">
        <v>10</v>
      </c>
      <c r="M183" s="3">
        <v>52</v>
      </c>
      <c r="N183" s="3" t="s">
        <v>438</v>
      </c>
      <c r="P183" s="3">
        <v>52</v>
      </c>
      <c r="R183" s="3">
        <v>3</v>
      </c>
      <c r="T183" s="3">
        <v>3</v>
      </c>
      <c r="AF183" s="3">
        <v>1</v>
      </c>
      <c r="AH183" s="3"/>
      <c r="AI183" s="3">
        <v>6</v>
      </c>
      <c r="BF183" s="3"/>
      <c r="BG183" s="3"/>
      <c r="BH183" s="3"/>
      <c r="BI183" s="3"/>
      <c r="BJ183" s="3"/>
      <c r="BK183" s="3"/>
      <c r="BL183" s="3"/>
      <c r="BM183" s="3">
        <v>17</v>
      </c>
      <c r="BQ183" s="3">
        <v>15</v>
      </c>
      <c r="BR183" s="3"/>
      <c r="BS183" s="3"/>
      <c r="BT183" s="3"/>
      <c r="BU183" s="3"/>
      <c r="BV183" s="3">
        <v>1</v>
      </c>
      <c r="BW183" s="3"/>
      <c r="BY183" s="3"/>
      <c r="BZ183" s="3">
        <v>3</v>
      </c>
      <c r="CA183" s="3"/>
      <c r="CB183" s="3">
        <v>4</v>
      </c>
      <c r="CI183" s="3"/>
      <c r="CJ183" s="3"/>
      <c r="CK183" s="3"/>
      <c r="CL183" s="3"/>
      <c r="CM183" s="3"/>
      <c r="CN183" s="3"/>
      <c r="CO183" s="3"/>
      <c r="CP183" s="3"/>
      <c r="CQ183" s="3"/>
      <c r="CR183" s="3"/>
      <c r="CS183" s="3">
        <v>4</v>
      </c>
      <c r="DB183" s="3"/>
      <c r="DC183" s="3">
        <v>1</v>
      </c>
      <c r="DD183" s="3"/>
      <c r="DE183" s="3"/>
      <c r="DF183" s="3"/>
      <c r="DG183" s="3">
        <v>6</v>
      </c>
      <c r="DI183" s="3"/>
      <c r="DJ183" s="3"/>
      <c r="DK183" s="3"/>
      <c r="DL183" s="3"/>
      <c r="DM183" s="3">
        <v>30</v>
      </c>
      <c r="DN183" s="3">
        <v>3</v>
      </c>
      <c r="DO183" s="3"/>
      <c r="DP183" s="3">
        <v>2</v>
      </c>
      <c r="DQ183" s="3"/>
      <c r="DR183" s="3"/>
      <c r="DS183" s="3">
        <v>53</v>
      </c>
      <c r="DT183" s="3"/>
      <c r="DU183" s="3"/>
      <c r="DV183" s="3">
        <v>1</v>
      </c>
      <c r="DW183" s="3"/>
      <c r="DX183" s="3"/>
      <c r="DY183" s="3"/>
      <c r="DZ183" s="3"/>
      <c r="EA183" s="3">
        <v>1</v>
      </c>
      <c r="EB183" s="3"/>
      <c r="EC183" s="3"/>
      <c r="ED183" s="3"/>
      <c r="EE183" s="3"/>
      <c r="EF183" s="3"/>
      <c r="EG183" s="3"/>
      <c r="EH183" s="3"/>
      <c r="EI183" s="3"/>
      <c r="EJ183" s="3">
        <v>201</v>
      </c>
      <c r="EK183" s="3"/>
      <c r="EL183" s="3"/>
      <c r="EM183" s="3"/>
      <c r="EN183" s="3"/>
      <c r="EO183" s="3"/>
      <c r="EP183" s="3"/>
      <c r="EQ183" s="3"/>
      <c r="ER183" s="3"/>
      <c r="ES183" s="3"/>
      <c r="ET183" s="3"/>
      <c r="EU183" s="3"/>
      <c r="EV183" s="3"/>
      <c r="EW183" s="3"/>
      <c r="EX183" s="3"/>
      <c r="EY183" s="3"/>
      <c r="EZ183" s="3"/>
      <c r="FA183" s="3"/>
      <c r="FB183" s="3">
        <v>192</v>
      </c>
      <c r="FC183" s="3">
        <v>3</v>
      </c>
      <c r="FG183" s="3"/>
      <c r="FH183" s="3">
        <v>1</v>
      </c>
      <c r="FI183" s="3">
        <v>4</v>
      </c>
      <c r="FJ183" s="3"/>
      <c r="FK183" s="3"/>
      <c r="FL183" s="3"/>
      <c r="FM183" s="3">
        <v>3</v>
      </c>
      <c r="FN183" s="3"/>
      <c r="FO183" s="3"/>
      <c r="FP183" s="3"/>
      <c r="FQ183" s="3"/>
      <c r="FR183" s="3">
        <v>145</v>
      </c>
      <c r="FS183" s="3">
        <v>273</v>
      </c>
      <c r="GD183" s="3"/>
      <c r="GE183" s="3"/>
      <c r="GF183" s="3">
        <v>1</v>
      </c>
      <c r="GH183" s="3">
        <f>COUNT(R183:GG183)</f>
        <v>27</v>
      </c>
      <c r="GI183" s="3">
        <f>COUNTIF(R183:GG183,"&gt;=2")</f>
        <v>20</v>
      </c>
      <c r="GJ183" s="3">
        <f>COUNTIF(R183:GG183,"&gt;=5")</f>
        <v>10</v>
      </c>
      <c r="GK183" s="3">
        <f>SUM(R183:GG183)</f>
        <v>977</v>
      </c>
      <c r="GL183" s="3">
        <f>25*P183</f>
        <v>1300</v>
      </c>
      <c r="GM183" s="3">
        <f>GL183-GK183</f>
        <v>323</v>
      </c>
    </row>
    <row r="184" spans="1:217" ht="13" x14ac:dyDescent="0.15">
      <c r="A184" s="27">
        <v>43505</v>
      </c>
      <c r="B184" s="28" t="s">
        <v>266</v>
      </c>
      <c r="C184" s="16">
        <f t="shared" si="101"/>
        <v>171</v>
      </c>
      <c r="D184" s="28">
        <v>22.060683999999998</v>
      </c>
      <c r="E184" s="28">
        <v>-159.318512</v>
      </c>
      <c r="F184" s="28" t="s">
        <v>536</v>
      </c>
      <c r="G184" s="29">
        <v>1.1574074074074073E-5</v>
      </c>
      <c r="H184" s="29">
        <v>2.3148148148148147E-5</v>
      </c>
      <c r="I184" s="28">
        <v>3</v>
      </c>
      <c r="J184" s="28">
        <v>14</v>
      </c>
      <c r="K184" s="28" t="s">
        <v>198</v>
      </c>
      <c r="L184" s="28">
        <v>2</v>
      </c>
      <c r="M184" s="28">
        <v>2</v>
      </c>
      <c r="N184" s="28" t="s">
        <v>537</v>
      </c>
      <c r="O184" s="28"/>
      <c r="P184" s="28"/>
      <c r="Q184" s="28"/>
      <c r="R184" s="28">
        <v>10</v>
      </c>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v>3</v>
      </c>
      <c r="BN184" s="28"/>
      <c r="BO184" s="28"/>
      <c r="BP184" s="28"/>
      <c r="BQ184" s="28"/>
      <c r="BR184" s="28"/>
      <c r="BS184" s="28"/>
      <c r="BT184" s="28"/>
      <c r="BU184" s="28"/>
      <c r="BV184" s="28"/>
      <c r="BW184" s="28">
        <v>1</v>
      </c>
      <c r="BX184" s="28"/>
      <c r="BY184" s="28"/>
      <c r="BZ184" s="28"/>
      <c r="CA184" s="28"/>
      <c r="CB184" s="28"/>
      <c r="CC184" s="28"/>
      <c r="CD184" s="28"/>
      <c r="CE184" s="28"/>
      <c r="CF184" s="28"/>
      <c r="CG184" s="28"/>
      <c r="CH184" s="28"/>
      <c r="CI184" s="28"/>
      <c r="CJ184" s="28"/>
      <c r="CK184" s="28"/>
      <c r="CL184" s="28"/>
      <c r="CM184" s="28"/>
      <c r="CN184" s="28"/>
      <c r="CO184" s="28"/>
      <c r="CP184" s="28"/>
      <c r="CQ184" s="28"/>
      <c r="CR184" s="28"/>
      <c r="CS184" s="28"/>
      <c r="CT184" s="28"/>
      <c r="CU184" s="28"/>
      <c r="CV184" s="28"/>
      <c r="CW184" s="28"/>
      <c r="CX184" s="28"/>
      <c r="CY184" s="28"/>
      <c r="CZ184" s="28"/>
      <c r="DA184" s="28"/>
      <c r="DB184" s="28"/>
      <c r="DC184" s="28"/>
      <c r="DD184" s="28"/>
      <c r="DE184" s="28"/>
      <c r="DF184" s="28"/>
      <c r="DG184" s="28"/>
      <c r="DH184" s="28"/>
      <c r="DI184" s="28"/>
      <c r="DJ184" s="28"/>
      <c r="DK184" s="28"/>
      <c r="DL184" s="28">
        <v>10</v>
      </c>
      <c r="DM184" s="28"/>
      <c r="DN184" s="28"/>
      <c r="DO184" s="28"/>
      <c r="DP184" s="28"/>
      <c r="DQ184" s="28"/>
      <c r="DR184" s="28"/>
      <c r="DS184" s="28"/>
      <c r="DT184" s="28"/>
      <c r="DU184" s="28"/>
      <c r="DV184" s="28"/>
      <c r="DW184" s="28"/>
      <c r="DX184" s="28"/>
      <c r="DY184" s="28"/>
      <c r="DZ184" s="28"/>
      <c r="EA184" s="28"/>
      <c r="EB184" s="28"/>
      <c r="EC184" s="28"/>
      <c r="ED184" s="28"/>
      <c r="EE184" s="28"/>
      <c r="EF184" s="28"/>
      <c r="EG184" s="28"/>
      <c r="EH184" s="28"/>
      <c r="EI184" s="28"/>
      <c r="EJ184" s="28"/>
      <c r="EK184" s="28"/>
      <c r="EL184" s="28"/>
      <c r="EM184" s="28"/>
      <c r="EN184" s="28"/>
      <c r="EO184" s="28"/>
      <c r="EP184" s="28"/>
      <c r="EQ184" s="28"/>
      <c r="ER184" s="28"/>
      <c r="ES184" s="28"/>
      <c r="ET184" s="28"/>
      <c r="EU184" s="28"/>
      <c r="EV184" s="28"/>
      <c r="EW184" s="28"/>
      <c r="EX184" s="28"/>
      <c r="EY184" s="28"/>
      <c r="EZ184" s="28"/>
      <c r="FA184" s="28"/>
      <c r="FB184" s="28"/>
      <c r="FC184" s="28"/>
      <c r="FD184" s="28"/>
      <c r="FE184" s="28"/>
      <c r="FF184" s="28"/>
      <c r="FG184" s="28"/>
      <c r="FH184" s="28"/>
      <c r="FI184" s="28">
        <v>5</v>
      </c>
      <c r="FJ184" s="28"/>
      <c r="FK184" s="28"/>
      <c r="FL184" s="28"/>
      <c r="FM184" s="28"/>
      <c r="FN184" s="28"/>
      <c r="FO184" s="28"/>
      <c r="FP184" s="28"/>
      <c r="FQ184" s="28"/>
      <c r="FR184" s="28">
        <v>1</v>
      </c>
      <c r="FS184" s="28">
        <v>5</v>
      </c>
      <c r="FT184" s="28"/>
      <c r="FU184" s="28"/>
      <c r="FV184" s="28"/>
      <c r="FW184" s="28"/>
      <c r="FX184" s="28"/>
      <c r="FY184" s="28"/>
      <c r="FZ184" s="28"/>
      <c r="GA184" s="28"/>
      <c r="GB184" s="28"/>
      <c r="GC184" s="28"/>
      <c r="GD184" s="28"/>
      <c r="GE184" s="28"/>
      <c r="GF184" s="28"/>
      <c r="GG184" s="28"/>
      <c r="GH184" s="28"/>
      <c r="GI184" s="28"/>
      <c r="GJ184" s="28"/>
      <c r="GK184" s="28"/>
      <c r="GL184" s="28"/>
      <c r="GM184" s="28"/>
      <c r="GN184" s="28"/>
      <c r="GO184" s="28"/>
      <c r="GP184" s="28"/>
      <c r="GQ184" s="28"/>
      <c r="GR184" s="28"/>
      <c r="GS184" s="28"/>
      <c r="GT184" s="28"/>
      <c r="GU184" s="28"/>
      <c r="GV184" s="28"/>
      <c r="GW184" s="28"/>
      <c r="GX184" s="28"/>
      <c r="GY184" s="28"/>
      <c r="GZ184" s="28"/>
      <c r="HA184" s="28"/>
      <c r="HB184" s="28"/>
      <c r="HC184" s="28"/>
      <c r="HD184" s="28"/>
      <c r="HE184" s="28"/>
      <c r="HF184" s="28"/>
      <c r="HG184" s="28"/>
      <c r="HH184" s="28"/>
      <c r="HI184" s="28"/>
    </row>
    <row r="185" spans="1:217" ht="13" x14ac:dyDescent="0.15">
      <c r="A185" s="27">
        <v>43515</v>
      </c>
      <c r="B185" s="28" t="s">
        <v>244</v>
      </c>
      <c r="C185" s="16">
        <f t="shared" si="101"/>
        <v>172</v>
      </c>
      <c r="D185" s="28">
        <v>21.310611999999999</v>
      </c>
      <c r="E185" s="28">
        <v>-158.00441000000001</v>
      </c>
      <c r="F185" s="28" t="s">
        <v>278</v>
      </c>
      <c r="G185" s="29">
        <v>0.38541666666666669</v>
      </c>
      <c r="H185" s="29">
        <v>0.42708333333333331</v>
      </c>
      <c r="I185" s="28">
        <v>6</v>
      </c>
      <c r="J185" s="28">
        <v>5</v>
      </c>
      <c r="K185" s="28" t="s">
        <v>198</v>
      </c>
      <c r="L185" s="28">
        <v>5</v>
      </c>
      <c r="M185" s="28">
        <v>24</v>
      </c>
      <c r="N185" s="28" t="s">
        <v>538</v>
      </c>
      <c r="O185" s="28"/>
      <c r="P185" s="28"/>
      <c r="Q185" s="28"/>
      <c r="R185" s="28"/>
      <c r="S185" s="28"/>
      <c r="T185" s="28"/>
      <c r="U185" s="28"/>
      <c r="V185" s="28"/>
      <c r="W185" s="28"/>
      <c r="X185" s="28"/>
      <c r="Y185" s="28"/>
      <c r="Z185" s="28"/>
      <c r="AA185" s="28"/>
      <c r="AB185" s="28"/>
      <c r="AC185" s="28"/>
      <c r="AD185" s="28"/>
      <c r="AE185" s="28">
        <v>9</v>
      </c>
      <c r="AF185" s="28"/>
      <c r="AG185" s="28"/>
      <c r="AH185" s="28"/>
      <c r="AI185" s="28"/>
      <c r="AJ185" s="28"/>
      <c r="AK185" s="28"/>
      <c r="AL185" s="28"/>
      <c r="AM185" s="28">
        <v>1</v>
      </c>
      <c r="AN185" s="28"/>
      <c r="AO185" s="28"/>
      <c r="AP185" s="28"/>
      <c r="AQ185" s="28"/>
      <c r="AR185" s="28"/>
      <c r="AS185" s="28"/>
      <c r="AT185" s="28"/>
      <c r="AU185" s="28"/>
      <c r="AV185" s="28"/>
      <c r="AW185" s="28"/>
      <c r="AX185" s="28"/>
      <c r="AY185" s="28"/>
      <c r="AZ185" s="28"/>
      <c r="BA185" s="28"/>
      <c r="BB185" s="28">
        <v>7</v>
      </c>
      <c r="BC185" s="28"/>
      <c r="BD185" s="28"/>
      <c r="BE185" s="28">
        <v>2</v>
      </c>
      <c r="BF185" s="28"/>
      <c r="BG185" s="28"/>
      <c r="BH185" s="28"/>
      <c r="BI185" s="28"/>
      <c r="BJ185" s="28"/>
      <c r="BK185" s="28"/>
      <c r="BL185" s="28">
        <v>1</v>
      </c>
      <c r="BM185" s="28">
        <v>8</v>
      </c>
      <c r="BN185" s="28"/>
      <c r="BO185" s="28"/>
      <c r="BP185" s="28"/>
      <c r="BQ185" s="28"/>
      <c r="BR185" s="28"/>
      <c r="BS185" s="28"/>
      <c r="BT185" s="28"/>
      <c r="BU185" s="28"/>
      <c r="BV185" s="28"/>
      <c r="BW185" s="28"/>
      <c r="BX185" s="28"/>
      <c r="BY185" s="28"/>
      <c r="BZ185" s="28"/>
      <c r="CA185" s="28"/>
      <c r="CB185" s="28"/>
      <c r="CC185" s="28"/>
      <c r="CD185" s="28"/>
      <c r="CE185" s="28"/>
      <c r="CF185" s="28"/>
      <c r="CG185" s="28"/>
      <c r="CH185" s="28"/>
      <c r="CI185" s="28"/>
      <c r="CJ185" s="28"/>
      <c r="CK185" s="28"/>
      <c r="CL185" s="28"/>
      <c r="CM185" s="28"/>
      <c r="CN185" s="28"/>
      <c r="CO185" s="28"/>
      <c r="CP185" s="28"/>
      <c r="CQ185" s="28"/>
      <c r="CR185" s="28"/>
      <c r="CS185" s="28"/>
      <c r="CT185" s="28"/>
      <c r="CU185" s="28"/>
      <c r="CV185" s="28"/>
      <c r="CW185" s="28"/>
      <c r="CX185" s="28"/>
      <c r="CY185" s="28"/>
      <c r="CZ185" s="28"/>
      <c r="DA185" s="28"/>
      <c r="DB185" s="28"/>
      <c r="DC185" s="28"/>
      <c r="DD185" s="28"/>
      <c r="DE185" s="28"/>
      <c r="DF185" s="28"/>
      <c r="DG185" s="28">
        <v>1</v>
      </c>
      <c r="DH185" s="28"/>
      <c r="DI185" s="28"/>
      <c r="DJ185" s="28"/>
      <c r="DK185" s="28"/>
      <c r="DL185" s="28"/>
      <c r="DM185" s="28"/>
      <c r="DN185" s="28"/>
      <c r="DO185" s="28">
        <v>2</v>
      </c>
      <c r="DP185" s="28"/>
      <c r="DQ185" s="28"/>
      <c r="DR185" s="28"/>
      <c r="DS185" s="28"/>
      <c r="DT185" s="28"/>
      <c r="DU185" s="28"/>
      <c r="DV185" s="28"/>
      <c r="DW185" s="28"/>
      <c r="DX185" s="28"/>
      <c r="DY185" s="28"/>
      <c r="DZ185" s="28"/>
      <c r="EA185" s="28"/>
      <c r="EB185" s="28"/>
      <c r="EC185" s="28"/>
      <c r="ED185" s="28"/>
      <c r="EE185" s="28"/>
      <c r="EF185" s="28"/>
      <c r="EG185" s="28"/>
      <c r="EH185" s="28"/>
      <c r="EI185" s="28"/>
      <c r="EJ185" s="28">
        <v>152</v>
      </c>
      <c r="EK185" s="28"/>
      <c r="EL185" s="28"/>
      <c r="EM185" s="28"/>
      <c r="EN185" s="28"/>
      <c r="EO185" s="28">
        <v>5</v>
      </c>
      <c r="EP185" s="28"/>
      <c r="EQ185" s="28"/>
      <c r="ER185" s="28"/>
      <c r="ES185" s="28"/>
      <c r="ET185" s="28"/>
      <c r="EU185" s="28"/>
      <c r="EV185" s="28"/>
      <c r="EW185" s="28"/>
      <c r="EX185" s="28"/>
      <c r="EY185" s="28"/>
      <c r="EZ185" s="28"/>
      <c r="FA185" s="28"/>
      <c r="FB185" s="28"/>
      <c r="FC185" s="28"/>
      <c r="FD185" s="28"/>
      <c r="FE185" s="28"/>
      <c r="FF185" s="28"/>
      <c r="FG185" s="28"/>
      <c r="FH185" s="28"/>
      <c r="FI185" s="28"/>
      <c r="FJ185" s="28"/>
      <c r="FK185" s="28"/>
      <c r="FL185" s="28"/>
      <c r="FM185" s="28"/>
      <c r="FN185" s="28"/>
      <c r="FO185" s="28"/>
      <c r="FP185" s="28"/>
      <c r="FQ185" s="28"/>
      <c r="FR185" s="28"/>
      <c r="FS185" s="28">
        <v>119</v>
      </c>
      <c r="FT185" s="28"/>
      <c r="FU185" s="28"/>
      <c r="FV185" s="28"/>
      <c r="FW185" s="28"/>
      <c r="FX185" s="28"/>
      <c r="FY185" s="28"/>
      <c r="FZ185" s="28"/>
      <c r="GA185" s="28"/>
      <c r="GB185" s="28"/>
      <c r="GC185" s="28"/>
      <c r="GD185" s="28"/>
      <c r="GE185" s="28"/>
      <c r="GF185" s="28"/>
      <c r="GG185" s="28"/>
      <c r="GH185" s="28"/>
      <c r="GI185" s="28"/>
      <c r="GJ185" s="28"/>
      <c r="GK185" s="28"/>
      <c r="GL185" s="28"/>
      <c r="GM185" s="28"/>
      <c r="GN185" s="28"/>
      <c r="GO185" s="28"/>
      <c r="GP185" s="28"/>
      <c r="GQ185" s="28"/>
      <c r="GR185" s="28"/>
      <c r="GS185" s="28"/>
      <c r="GT185" s="28"/>
      <c r="GU185" s="28"/>
      <c r="GV185" s="28"/>
      <c r="GW185" s="28"/>
      <c r="GX185" s="28"/>
      <c r="GY185" s="28"/>
      <c r="GZ185" s="28"/>
      <c r="HA185" s="28"/>
      <c r="HB185" s="28"/>
      <c r="HC185" s="28"/>
      <c r="HD185" s="28"/>
      <c r="HE185" s="28"/>
      <c r="HF185" s="28"/>
      <c r="HG185" s="28"/>
      <c r="HH185" s="28"/>
      <c r="HI185" s="28"/>
    </row>
    <row r="186" spans="1:217" ht="13" x14ac:dyDescent="0.15">
      <c r="A186" s="27">
        <v>43515</v>
      </c>
      <c r="B186" s="28" t="s">
        <v>266</v>
      </c>
      <c r="C186" s="16">
        <f t="shared" si="101"/>
        <v>173</v>
      </c>
      <c r="D186" s="28">
        <v>22.060683999999998</v>
      </c>
      <c r="E186" s="28">
        <v>-159.318512</v>
      </c>
      <c r="F186" s="28" t="s">
        <v>418</v>
      </c>
      <c r="G186" s="29">
        <v>0.4201388888888889</v>
      </c>
      <c r="H186" s="29">
        <v>0.51041666666666663</v>
      </c>
      <c r="I186" s="28">
        <v>4</v>
      </c>
      <c r="J186" s="28">
        <v>16</v>
      </c>
      <c r="K186" s="28" t="s">
        <v>217</v>
      </c>
      <c r="L186" s="28">
        <v>3</v>
      </c>
      <c r="M186" s="28">
        <v>10</v>
      </c>
      <c r="N186" s="28" t="s">
        <v>539</v>
      </c>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v>5</v>
      </c>
      <c r="BC186" s="28"/>
      <c r="BD186" s="28"/>
      <c r="BE186" s="28"/>
      <c r="BF186" s="28"/>
      <c r="BG186" s="28"/>
      <c r="BH186" s="28"/>
      <c r="BI186" s="28"/>
      <c r="BJ186" s="28"/>
      <c r="BK186" s="28"/>
      <c r="BL186" s="28"/>
      <c r="BM186" s="28">
        <v>10</v>
      </c>
      <c r="BN186" s="28"/>
      <c r="BO186" s="28"/>
      <c r="BP186" s="28"/>
      <c r="BQ186" s="28"/>
      <c r="BR186" s="28"/>
      <c r="BS186" s="28"/>
      <c r="BT186" s="28"/>
      <c r="BU186" s="28"/>
      <c r="BV186" s="28">
        <v>15</v>
      </c>
      <c r="BW186" s="28"/>
      <c r="BX186" s="28"/>
      <c r="BY186" s="28"/>
      <c r="BZ186" s="28">
        <v>13</v>
      </c>
      <c r="CA186" s="28"/>
      <c r="CB186" s="28"/>
      <c r="CC186" s="28"/>
      <c r="CD186" s="28"/>
      <c r="CE186" s="28"/>
      <c r="CF186" s="28"/>
      <c r="CG186" s="28"/>
      <c r="CH186" s="28"/>
      <c r="CI186" s="28"/>
      <c r="CJ186" s="28"/>
      <c r="CK186" s="28"/>
      <c r="CL186" s="28"/>
      <c r="CM186" s="28"/>
      <c r="CN186" s="28"/>
      <c r="CO186" s="28"/>
      <c r="CP186" s="28"/>
      <c r="CQ186" s="28"/>
      <c r="CR186" s="28"/>
      <c r="CS186" s="28"/>
      <c r="CT186" s="28"/>
      <c r="CU186" s="28"/>
      <c r="CV186" s="28"/>
      <c r="CW186" s="28"/>
      <c r="CX186" s="28"/>
      <c r="CY186" s="28"/>
      <c r="CZ186" s="28"/>
      <c r="DA186" s="28"/>
      <c r="DB186" s="28"/>
      <c r="DC186" s="28"/>
      <c r="DD186" s="28"/>
      <c r="DE186" s="28"/>
      <c r="DF186" s="28"/>
      <c r="DG186" s="28">
        <v>2</v>
      </c>
      <c r="DH186" s="28"/>
      <c r="DI186" s="28"/>
      <c r="DJ186" s="28"/>
      <c r="DK186" s="28"/>
      <c r="DL186" s="28"/>
      <c r="DM186" s="28">
        <v>18</v>
      </c>
      <c r="DN186" s="28"/>
      <c r="DO186" s="28"/>
      <c r="DP186" s="28"/>
      <c r="DQ186" s="28"/>
      <c r="DR186" s="28"/>
      <c r="DS186" s="28">
        <v>11</v>
      </c>
      <c r="DT186" s="28"/>
      <c r="DU186" s="28"/>
      <c r="DV186" s="28">
        <v>3</v>
      </c>
      <c r="DW186" s="28"/>
      <c r="DX186" s="28"/>
      <c r="DY186" s="28"/>
      <c r="DZ186" s="28"/>
      <c r="EA186" s="28"/>
      <c r="EB186" s="28"/>
      <c r="EC186" s="28"/>
      <c r="ED186" s="28"/>
      <c r="EE186" s="28"/>
      <c r="EF186" s="28"/>
      <c r="EG186" s="28"/>
      <c r="EH186" s="28"/>
      <c r="EI186" s="28"/>
      <c r="EJ186" s="28">
        <v>37</v>
      </c>
      <c r="EK186" s="28"/>
      <c r="EL186" s="28"/>
      <c r="EM186" s="28"/>
      <c r="EN186" s="28"/>
      <c r="EO186" s="28"/>
      <c r="EP186" s="28"/>
      <c r="EQ186" s="28"/>
      <c r="ER186" s="28"/>
      <c r="ES186" s="28"/>
      <c r="ET186" s="28"/>
      <c r="EU186" s="28"/>
      <c r="EV186" s="28"/>
      <c r="EW186" s="28"/>
      <c r="EX186" s="28"/>
      <c r="EY186" s="28"/>
      <c r="EZ186" s="28"/>
      <c r="FA186" s="28"/>
      <c r="FB186" s="28">
        <v>5</v>
      </c>
      <c r="FC186" s="28"/>
      <c r="FD186" s="28"/>
      <c r="FE186" s="28"/>
      <c r="FF186" s="28">
        <v>7</v>
      </c>
      <c r="FG186" s="28"/>
      <c r="FH186" s="28"/>
      <c r="FI186" s="28"/>
      <c r="FJ186" s="28"/>
      <c r="FK186" s="28"/>
      <c r="FL186" s="28"/>
      <c r="FM186" s="28"/>
      <c r="FN186" s="28"/>
      <c r="FO186" s="28"/>
      <c r="FP186" s="28"/>
      <c r="FQ186" s="28"/>
      <c r="FR186" s="28">
        <v>6</v>
      </c>
      <c r="FS186" s="28">
        <v>42</v>
      </c>
      <c r="FT186" s="28"/>
      <c r="FU186" s="28"/>
      <c r="FV186" s="28"/>
      <c r="FW186" s="28"/>
      <c r="FX186" s="28"/>
      <c r="FY186" s="28"/>
      <c r="FZ186" s="28"/>
      <c r="GA186" s="28"/>
      <c r="GB186" s="28"/>
      <c r="GC186" s="28"/>
      <c r="GD186" s="28"/>
      <c r="GE186" s="28"/>
      <c r="GF186" s="28"/>
      <c r="GG186" s="28"/>
      <c r="GH186" s="28"/>
      <c r="GI186" s="28"/>
      <c r="GJ186" s="28"/>
      <c r="GK186" s="28"/>
      <c r="GL186" s="28"/>
      <c r="GM186" s="28"/>
      <c r="GN186" s="28"/>
      <c r="GO186" s="28"/>
      <c r="GP186" s="28"/>
      <c r="GQ186" s="28"/>
      <c r="GR186" s="28"/>
      <c r="GS186" s="28"/>
      <c r="GT186" s="28"/>
      <c r="GU186" s="28"/>
      <c r="GV186" s="28"/>
      <c r="GW186" s="28"/>
      <c r="GX186" s="28"/>
      <c r="GY186" s="28"/>
      <c r="GZ186" s="28"/>
      <c r="HA186" s="28"/>
      <c r="HB186" s="28"/>
      <c r="HC186" s="28"/>
      <c r="HD186" s="28"/>
      <c r="HE186" s="28"/>
      <c r="HF186" s="28"/>
      <c r="HG186" s="28"/>
      <c r="HH186" s="28"/>
      <c r="HI186" s="28"/>
    </row>
    <row r="187" spans="1:217" ht="13" x14ac:dyDescent="0.15">
      <c r="A187" s="19">
        <v>43516</v>
      </c>
      <c r="B187" s="20" t="s">
        <v>216</v>
      </c>
      <c r="C187" s="16"/>
      <c r="D187" s="20"/>
      <c r="E187" s="20"/>
      <c r="F187" s="20"/>
      <c r="G187" s="21"/>
      <c r="H187" s="21"/>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c r="DU187" s="20"/>
      <c r="DV187" s="20"/>
      <c r="DW187" s="20"/>
      <c r="DX187" s="20"/>
      <c r="DY187" s="20"/>
      <c r="DZ187" s="20"/>
      <c r="EA187" s="20"/>
      <c r="EB187" s="20"/>
      <c r="EC187" s="20"/>
      <c r="ED187" s="20"/>
      <c r="EE187" s="20"/>
      <c r="EF187" s="20"/>
      <c r="EG187" s="20"/>
      <c r="EH187" s="20"/>
      <c r="EI187" s="20"/>
      <c r="EJ187" s="20"/>
      <c r="EK187" s="20"/>
      <c r="EL187" s="20"/>
      <c r="EM187" s="20"/>
      <c r="EN187" s="20"/>
      <c r="EO187" s="20"/>
      <c r="EP187" s="20"/>
      <c r="EQ187" s="20"/>
      <c r="ER187" s="20"/>
      <c r="ES187" s="20"/>
      <c r="ET187" s="20"/>
      <c r="EU187" s="20"/>
      <c r="EV187" s="20"/>
      <c r="EW187" s="20"/>
      <c r="EX187" s="20"/>
      <c r="EY187" s="20"/>
      <c r="EZ187" s="20"/>
      <c r="FA187" s="20"/>
      <c r="FB187" s="20"/>
      <c r="FC187" s="20"/>
      <c r="FD187" s="20"/>
      <c r="FE187" s="20"/>
      <c r="FF187" s="20"/>
      <c r="FG187" s="20"/>
      <c r="FH187" s="20"/>
      <c r="FI187" s="20"/>
      <c r="FJ187" s="20"/>
      <c r="FK187" s="20"/>
      <c r="FL187" s="20"/>
      <c r="FM187" s="20"/>
      <c r="FN187" s="20"/>
      <c r="FO187" s="20"/>
      <c r="FP187" s="20"/>
      <c r="FQ187" s="20"/>
      <c r="FR187" s="20"/>
      <c r="FS187" s="20"/>
      <c r="FT187" s="20"/>
      <c r="FU187" s="20"/>
      <c r="FV187" s="20"/>
      <c r="FW187" s="20"/>
      <c r="FX187" s="20"/>
      <c r="FY187" s="20"/>
      <c r="FZ187" s="20"/>
      <c r="GA187" s="20"/>
      <c r="GB187" s="20"/>
      <c r="GC187" s="20"/>
      <c r="GD187" s="20"/>
      <c r="GE187" s="20"/>
      <c r="GF187" s="20"/>
      <c r="GG187" s="20"/>
      <c r="GH187" s="20"/>
      <c r="GI187" s="20"/>
      <c r="GJ187" s="20"/>
      <c r="GK187" s="20"/>
      <c r="GL187" s="20"/>
      <c r="GM187" s="20"/>
      <c r="GN187" s="20"/>
      <c r="GO187" s="20"/>
      <c r="GP187" s="20"/>
      <c r="GQ187" s="20"/>
      <c r="GR187" s="20"/>
      <c r="GS187" s="20"/>
      <c r="GT187" s="20"/>
      <c r="GU187" s="20"/>
      <c r="GV187" s="20"/>
      <c r="GW187" s="20"/>
      <c r="GX187" s="20"/>
      <c r="GY187" s="20"/>
      <c r="GZ187" s="20"/>
      <c r="HA187" s="20"/>
      <c r="HB187" s="20"/>
      <c r="HC187" s="20"/>
      <c r="HD187" s="20"/>
      <c r="HE187" s="20"/>
      <c r="HF187" s="20"/>
      <c r="HG187" s="20"/>
      <c r="HH187" s="20"/>
      <c r="HI187" s="20"/>
    </row>
    <row r="188" spans="1:217" ht="13" x14ac:dyDescent="0.15">
      <c r="A188" s="27">
        <v>43516</v>
      </c>
      <c r="B188" s="28" t="s">
        <v>244</v>
      </c>
      <c r="C188" s="16">
        <v>174</v>
      </c>
      <c r="D188" s="28">
        <v>21.310611999999999</v>
      </c>
      <c r="E188" s="28">
        <v>-158.00441000000001</v>
      </c>
      <c r="F188" s="28" t="s">
        <v>278</v>
      </c>
      <c r="G188" s="29">
        <v>0.39444444444444443</v>
      </c>
      <c r="H188" s="29">
        <v>0.47916666666666669</v>
      </c>
      <c r="I188" s="28">
        <v>8</v>
      </c>
      <c r="J188" s="28">
        <v>10</v>
      </c>
      <c r="K188" s="28" t="s">
        <v>314</v>
      </c>
      <c r="L188" s="28">
        <v>6</v>
      </c>
      <c r="M188" s="28">
        <v>6</v>
      </c>
      <c r="N188" s="28" t="s">
        <v>540</v>
      </c>
      <c r="O188" s="28"/>
      <c r="P188" s="28"/>
      <c r="Q188" s="28"/>
      <c r="R188" s="28"/>
      <c r="S188" s="28"/>
      <c r="T188" s="28"/>
      <c r="U188" s="28"/>
      <c r="V188" s="28"/>
      <c r="W188" s="28"/>
      <c r="X188" s="28"/>
      <c r="Y188" s="28"/>
      <c r="Z188" s="28"/>
      <c r="AA188" s="28"/>
      <c r="AB188" s="28"/>
      <c r="AC188" s="28"/>
      <c r="AD188" s="28"/>
      <c r="AE188" s="28">
        <v>6</v>
      </c>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v>5</v>
      </c>
      <c r="BF188" s="28"/>
      <c r="BG188" s="28"/>
      <c r="BH188" s="28"/>
      <c r="BI188" s="28"/>
      <c r="BJ188" s="28"/>
      <c r="BK188" s="28"/>
      <c r="BL188" s="28"/>
      <c r="BM188" s="28">
        <v>1</v>
      </c>
      <c r="BN188" s="28"/>
      <c r="BO188" s="28"/>
      <c r="BP188" s="28"/>
      <c r="BQ188" s="28"/>
      <c r="BR188" s="28"/>
      <c r="BS188" s="28"/>
      <c r="BT188" s="28"/>
      <c r="BU188" s="28"/>
      <c r="BV188" s="28">
        <v>8</v>
      </c>
      <c r="BW188" s="28"/>
      <c r="BX188" s="28"/>
      <c r="BY188" s="28"/>
      <c r="BZ188" s="28"/>
      <c r="CA188" s="28"/>
      <c r="CB188" s="28"/>
      <c r="CC188" s="28"/>
      <c r="CD188" s="28"/>
      <c r="CE188" s="28"/>
      <c r="CF188" s="28"/>
      <c r="CG188" s="28"/>
      <c r="CH188" s="28"/>
      <c r="CI188" s="28"/>
      <c r="CJ188" s="28"/>
      <c r="CK188" s="28"/>
      <c r="CL188" s="28"/>
      <c r="CM188" s="28"/>
      <c r="CN188" s="28"/>
      <c r="CO188" s="28"/>
      <c r="CP188" s="28"/>
      <c r="CQ188" s="28"/>
      <c r="CR188" s="28"/>
      <c r="CS188" s="28"/>
      <c r="CT188" s="28"/>
      <c r="CU188" s="28"/>
      <c r="CV188" s="28"/>
      <c r="CW188" s="28"/>
      <c r="CX188" s="28"/>
      <c r="CY188" s="28"/>
      <c r="CZ188" s="28"/>
      <c r="DA188" s="28"/>
      <c r="DB188" s="28"/>
      <c r="DC188" s="28"/>
      <c r="DD188" s="28"/>
      <c r="DE188" s="28"/>
      <c r="DF188" s="28"/>
      <c r="DG188" s="28">
        <v>1</v>
      </c>
      <c r="DH188" s="28"/>
      <c r="DI188" s="28"/>
      <c r="DJ188" s="28"/>
      <c r="DK188" s="28"/>
      <c r="DL188" s="28">
        <v>1</v>
      </c>
      <c r="DM188" s="28"/>
      <c r="DN188" s="28"/>
      <c r="DO188" s="28">
        <v>1</v>
      </c>
      <c r="DP188" s="28"/>
      <c r="DQ188" s="28"/>
      <c r="DR188" s="28"/>
      <c r="DS188" s="28"/>
      <c r="DT188" s="28"/>
      <c r="DU188" s="28"/>
      <c r="DV188" s="28"/>
      <c r="DW188" s="28"/>
      <c r="DX188" s="28"/>
      <c r="DY188" s="28"/>
      <c r="DZ188" s="28"/>
      <c r="EA188" s="28"/>
      <c r="EB188" s="28"/>
      <c r="EC188" s="28"/>
      <c r="ED188" s="28"/>
      <c r="EE188" s="28"/>
      <c r="EF188" s="28"/>
      <c r="EG188" s="28"/>
      <c r="EH188" s="28"/>
      <c r="EI188" s="28"/>
      <c r="EJ188" s="28">
        <v>81</v>
      </c>
      <c r="EK188" s="28"/>
      <c r="EL188" s="28"/>
      <c r="EM188" s="28"/>
      <c r="EN188" s="28"/>
      <c r="EO188" s="28">
        <v>13</v>
      </c>
      <c r="EP188" s="28"/>
      <c r="EQ188" s="28"/>
      <c r="ER188" s="28"/>
      <c r="ES188" s="28"/>
      <c r="ET188" s="28"/>
      <c r="EU188" s="28"/>
      <c r="EV188" s="28"/>
      <c r="EW188" s="28"/>
      <c r="EX188" s="28"/>
      <c r="EY188" s="28"/>
      <c r="EZ188" s="28"/>
      <c r="FA188" s="28"/>
      <c r="FB188" s="28"/>
      <c r="FC188" s="28"/>
      <c r="FD188" s="28"/>
      <c r="FE188" s="28"/>
      <c r="FF188" s="28"/>
      <c r="FG188" s="28"/>
      <c r="FH188" s="28"/>
      <c r="FI188" s="28"/>
      <c r="FJ188" s="28"/>
      <c r="FK188" s="28"/>
      <c r="FL188" s="28"/>
      <c r="FM188" s="28"/>
      <c r="FN188" s="28"/>
      <c r="FO188" s="28"/>
      <c r="FP188" s="28"/>
      <c r="FQ188" s="28"/>
      <c r="FR188" s="28"/>
      <c r="FS188" s="28"/>
      <c r="FT188" s="28"/>
      <c r="FU188" s="28"/>
      <c r="FV188" s="28"/>
      <c r="FW188" s="28">
        <v>1</v>
      </c>
      <c r="FX188" s="28"/>
      <c r="FY188" s="28"/>
      <c r="FZ188" s="28"/>
      <c r="GA188" s="28"/>
      <c r="GB188" s="28"/>
      <c r="GC188" s="28"/>
      <c r="GD188" s="28"/>
      <c r="GE188" s="28"/>
      <c r="GF188" s="28"/>
      <c r="GG188" s="28"/>
      <c r="GH188" s="28"/>
      <c r="GI188" s="28"/>
      <c r="GJ188" s="28"/>
      <c r="GK188" s="28"/>
      <c r="GL188" s="28"/>
      <c r="GM188" s="28"/>
      <c r="GN188" s="28"/>
      <c r="GO188" s="28"/>
      <c r="GP188" s="28"/>
      <c r="GQ188" s="28"/>
      <c r="GR188" s="28"/>
      <c r="GS188" s="28"/>
      <c r="GT188" s="28"/>
      <c r="GU188" s="28"/>
      <c r="GV188" s="28"/>
      <c r="GW188" s="28"/>
      <c r="GX188" s="28"/>
      <c r="GY188" s="28"/>
      <c r="GZ188" s="28"/>
      <c r="HA188" s="28"/>
      <c r="HB188" s="28"/>
      <c r="HC188" s="28"/>
      <c r="HD188" s="28"/>
      <c r="HE188" s="28"/>
      <c r="HF188" s="28"/>
      <c r="HG188" s="28"/>
      <c r="HH188" s="28"/>
      <c r="HI188" s="28"/>
    </row>
    <row r="189" spans="1:217" ht="13" x14ac:dyDescent="0.15">
      <c r="A189" s="13">
        <v>43517</v>
      </c>
      <c r="B189" s="3" t="s">
        <v>440</v>
      </c>
      <c r="C189" s="16">
        <f t="shared" ref="C189:C201" si="102">C188+1</f>
        <v>175</v>
      </c>
      <c r="D189" s="3">
        <v>21.311893000000001</v>
      </c>
      <c r="E189" s="3">
        <v>-157.89514199999999</v>
      </c>
      <c r="F189" s="3" t="s">
        <v>418</v>
      </c>
      <c r="G189" s="14">
        <v>0.45833333333333331</v>
      </c>
      <c r="H189" s="14">
        <v>0.49027777777777776</v>
      </c>
      <c r="I189" s="3">
        <v>5</v>
      </c>
      <c r="J189" s="3">
        <v>10</v>
      </c>
      <c r="K189" s="3" t="s">
        <v>318</v>
      </c>
      <c r="L189" s="3">
        <v>5</v>
      </c>
      <c r="M189" s="3">
        <v>25</v>
      </c>
      <c r="P189" s="3">
        <v>25</v>
      </c>
      <c r="AH189" s="3"/>
      <c r="AI189" s="3">
        <v>1</v>
      </c>
      <c r="AT189" s="3"/>
      <c r="AU189" s="3"/>
      <c r="AV189" s="3"/>
      <c r="AW189" s="3"/>
      <c r="AX189" s="3"/>
      <c r="AY189" s="3"/>
      <c r="AZ189" s="3">
        <v>1</v>
      </c>
      <c r="BA189" s="3"/>
      <c r="BB189" s="3"/>
      <c r="BC189" s="3"/>
      <c r="BD189" s="3"/>
      <c r="BE189" s="3">
        <v>1</v>
      </c>
      <c r="BF189" s="3"/>
      <c r="BG189" s="3"/>
      <c r="BH189" s="3"/>
      <c r="BI189" s="3"/>
      <c r="BJ189" s="3"/>
      <c r="BK189" s="3"/>
      <c r="BL189" s="3">
        <v>1</v>
      </c>
      <c r="BM189" s="3">
        <v>15</v>
      </c>
      <c r="BR189" s="3"/>
      <c r="BS189" s="3"/>
      <c r="BT189" s="3"/>
      <c r="BU189" s="3"/>
      <c r="BV189" s="3">
        <v>13</v>
      </c>
      <c r="BW189" s="3"/>
      <c r="BY189" s="3"/>
      <c r="BZ189" s="3">
        <v>3</v>
      </c>
      <c r="CV189" s="3"/>
      <c r="CW189" s="3"/>
      <c r="CX189" s="3"/>
      <c r="CY189" s="3"/>
      <c r="CZ189" s="3"/>
      <c r="DA189" s="3">
        <v>2</v>
      </c>
      <c r="DQ189" s="3"/>
      <c r="DR189" s="3"/>
      <c r="DS189" s="3">
        <v>22</v>
      </c>
      <c r="EK189" s="3"/>
      <c r="EL189" s="3"/>
      <c r="EM189" s="3"/>
      <c r="EN189" s="3"/>
      <c r="EO189" s="3"/>
      <c r="EP189" s="3"/>
      <c r="EQ189" s="3"/>
      <c r="ER189" s="3"/>
      <c r="ES189" s="3"/>
      <c r="ET189" s="3"/>
      <c r="EU189" s="3"/>
      <c r="EV189" s="3"/>
      <c r="EW189" s="3"/>
      <c r="EX189" s="3"/>
      <c r="EY189" s="3"/>
      <c r="EZ189" s="3"/>
      <c r="FA189" s="3"/>
      <c r="FB189" s="3">
        <v>24</v>
      </c>
      <c r="FD189" s="3"/>
      <c r="FE189" s="3">
        <v>3</v>
      </c>
      <c r="FS189" s="3">
        <v>223</v>
      </c>
      <c r="FZ189" s="3">
        <v>1</v>
      </c>
      <c r="GG189" s="3">
        <v>1</v>
      </c>
      <c r="GH189" s="3">
        <f t="shared" ref="GH189:GH198" si="103">COUNT(R189:GG189)</f>
        <v>14</v>
      </c>
      <c r="GI189" s="3">
        <f t="shared" ref="GI189:GI198" si="104">COUNTIF(R189:GG189,"&gt;=2")</f>
        <v>8</v>
      </c>
      <c r="GJ189" s="3">
        <f t="shared" ref="GJ189:GJ198" si="105">COUNTIF(R189:GG189,"&gt;=5")</f>
        <v>5</v>
      </c>
      <c r="GK189" s="3">
        <f t="shared" ref="GK189:GK198" si="106">SUM(R189:GG189)</f>
        <v>311</v>
      </c>
      <c r="GL189" s="3">
        <f t="shared" ref="GL189:GL198" si="107">25*P189</f>
        <v>625</v>
      </c>
      <c r="GM189" s="3">
        <f t="shared" ref="GM189:GM198" si="108">GL189-GK189</f>
        <v>314</v>
      </c>
    </row>
    <row r="190" spans="1:217" ht="13" x14ac:dyDescent="0.15">
      <c r="A190" s="13">
        <v>43519</v>
      </c>
      <c r="B190" s="3" t="s">
        <v>266</v>
      </c>
      <c r="C190" s="16">
        <f t="shared" si="102"/>
        <v>176</v>
      </c>
      <c r="D190" s="23">
        <v>22.060683999999998</v>
      </c>
      <c r="E190" s="23">
        <v>-159.318512</v>
      </c>
      <c r="F190" s="3" t="s">
        <v>297</v>
      </c>
      <c r="G190" s="14">
        <v>0.36875000000000002</v>
      </c>
      <c r="H190" s="14">
        <v>0.40625</v>
      </c>
      <c r="I190" s="3">
        <v>4</v>
      </c>
      <c r="J190" s="3">
        <v>20</v>
      </c>
      <c r="K190" s="3" t="s">
        <v>198</v>
      </c>
      <c r="L190" s="3">
        <v>5</v>
      </c>
      <c r="M190" s="3">
        <v>19</v>
      </c>
      <c r="N190" s="3" t="s">
        <v>441</v>
      </c>
      <c r="P190" s="3">
        <v>19</v>
      </c>
      <c r="R190" s="3">
        <v>1</v>
      </c>
      <c r="AA190" s="3"/>
      <c r="AB190" s="3">
        <v>13</v>
      </c>
      <c r="AD190" s="3">
        <v>1</v>
      </c>
      <c r="AG190" s="3"/>
      <c r="AW190" s="3"/>
      <c r="AX190" s="3">
        <v>1</v>
      </c>
      <c r="BA190" s="3"/>
      <c r="BB190" s="3">
        <v>1</v>
      </c>
      <c r="BF190" s="3"/>
      <c r="BG190" s="3"/>
      <c r="BH190" s="3"/>
      <c r="BI190" s="3"/>
      <c r="BJ190" s="3"/>
      <c r="BK190" s="3"/>
      <c r="BM190" s="3">
        <v>1</v>
      </c>
      <c r="BN190" s="3">
        <v>43</v>
      </c>
      <c r="BQ190" s="3"/>
      <c r="BR190" s="3"/>
      <c r="BV190" s="3">
        <v>9</v>
      </c>
      <c r="CC190" s="3"/>
      <c r="CD190" s="3"/>
      <c r="CE190" s="3"/>
      <c r="CF190" s="3"/>
      <c r="CI190" s="3"/>
      <c r="CJ190" s="3"/>
      <c r="CK190" s="3"/>
      <c r="CL190" s="3"/>
      <c r="CM190" s="3"/>
      <c r="CN190" s="3"/>
      <c r="CO190" s="3"/>
      <c r="DM190" s="3">
        <v>37</v>
      </c>
      <c r="DN190" s="3">
        <v>1</v>
      </c>
      <c r="DR190" s="3"/>
      <c r="DS190" s="3">
        <v>28</v>
      </c>
      <c r="DW190" s="3"/>
      <c r="DX190" s="3"/>
      <c r="EB190" s="3"/>
      <c r="EC190" s="3"/>
      <c r="ED190" s="3"/>
      <c r="EJ190" s="3">
        <v>89</v>
      </c>
      <c r="EK190" s="3"/>
      <c r="EL190" s="3"/>
      <c r="EM190" s="3"/>
      <c r="EN190" s="3"/>
      <c r="EO190" s="3"/>
      <c r="EP190" s="3"/>
      <c r="EQ190" s="3"/>
      <c r="ER190" s="3"/>
      <c r="FB190" s="3">
        <v>5</v>
      </c>
      <c r="FI190" s="3">
        <v>22</v>
      </c>
      <c r="FJ190" s="3"/>
      <c r="FK190" s="3"/>
      <c r="FL190" s="3"/>
      <c r="FM190" s="3"/>
      <c r="FR190" s="3">
        <v>31</v>
      </c>
      <c r="FS190" s="3">
        <v>63</v>
      </c>
      <c r="GB190" s="3">
        <v>21</v>
      </c>
      <c r="GH190" s="3">
        <f t="shared" si="103"/>
        <v>17</v>
      </c>
      <c r="GI190" s="3">
        <f t="shared" si="104"/>
        <v>11</v>
      </c>
      <c r="GJ190" s="3">
        <f t="shared" si="105"/>
        <v>11</v>
      </c>
      <c r="GK190" s="3">
        <f t="shared" si="106"/>
        <v>367</v>
      </c>
      <c r="GL190" s="3">
        <f t="shared" si="107"/>
        <v>475</v>
      </c>
      <c r="GM190" s="3">
        <f t="shared" si="108"/>
        <v>108</v>
      </c>
    </row>
    <row r="191" spans="1:217" ht="13" x14ac:dyDescent="0.15">
      <c r="A191" s="13">
        <v>43519</v>
      </c>
      <c r="B191" s="3" t="s">
        <v>266</v>
      </c>
      <c r="C191" s="16">
        <f t="shared" si="102"/>
        <v>177</v>
      </c>
      <c r="D191" s="23">
        <v>22.060683999999998</v>
      </c>
      <c r="E191" s="23">
        <v>-159.318512</v>
      </c>
      <c r="F191" s="3" t="s">
        <v>347</v>
      </c>
      <c r="G191" s="14">
        <v>0.53472222222222221</v>
      </c>
      <c r="H191" s="14">
        <v>0.60416666666666663</v>
      </c>
      <c r="I191" s="3">
        <v>3</v>
      </c>
      <c r="J191" s="3">
        <v>20</v>
      </c>
      <c r="K191" s="3" t="s">
        <v>198</v>
      </c>
      <c r="L191" s="3">
        <v>20</v>
      </c>
      <c r="M191" s="3">
        <v>10</v>
      </c>
      <c r="N191" s="3" t="s">
        <v>442</v>
      </c>
      <c r="O191" s="3" t="s">
        <v>443</v>
      </c>
      <c r="P191" s="3">
        <v>10</v>
      </c>
      <c r="AW191" s="3"/>
      <c r="AX191" s="3">
        <v>1</v>
      </c>
      <c r="BK191" s="3">
        <v>2</v>
      </c>
      <c r="BM191" s="3">
        <v>1</v>
      </c>
      <c r="BV191" s="3">
        <v>1</v>
      </c>
      <c r="DM191" s="3">
        <v>10</v>
      </c>
      <c r="DR191" s="3"/>
      <c r="DS191" s="3">
        <v>59</v>
      </c>
      <c r="EJ191" s="3">
        <v>11</v>
      </c>
      <c r="FI191" s="3">
        <v>5</v>
      </c>
      <c r="FR191" s="3">
        <v>1</v>
      </c>
      <c r="FS191" s="3">
        <v>28</v>
      </c>
      <c r="GH191" s="3">
        <f t="shared" si="103"/>
        <v>10</v>
      </c>
      <c r="GI191" s="3">
        <f t="shared" si="104"/>
        <v>6</v>
      </c>
      <c r="GJ191" s="3">
        <f t="shared" si="105"/>
        <v>5</v>
      </c>
      <c r="GK191" s="3">
        <f t="shared" si="106"/>
        <v>119</v>
      </c>
      <c r="GL191" s="3">
        <f t="shared" si="107"/>
        <v>250</v>
      </c>
      <c r="GM191" s="3">
        <f t="shared" si="108"/>
        <v>131</v>
      </c>
    </row>
    <row r="192" spans="1:217" ht="13" x14ac:dyDescent="0.15">
      <c r="A192" s="13">
        <v>43520</v>
      </c>
      <c r="B192" s="3" t="s">
        <v>293</v>
      </c>
      <c r="C192" s="16">
        <f t="shared" si="102"/>
        <v>178</v>
      </c>
      <c r="D192" s="3">
        <v>19.738602</v>
      </c>
      <c r="E192" s="3">
        <v>-155.03887900000001</v>
      </c>
      <c r="F192" s="3" t="s">
        <v>418</v>
      </c>
      <c r="G192" s="14">
        <v>0.55208333333333337</v>
      </c>
      <c r="H192" s="14">
        <v>0.59375</v>
      </c>
      <c r="I192" s="3">
        <v>3</v>
      </c>
      <c r="J192" s="3">
        <v>13</v>
      </c>
      <c r="K192" s="3" t="s">
        <v>198</v>
      </c>
      <c r="L192" s="3">
        <v>11</v>
      </c>
      <c r="M192" s="3">
        <v>25</v>
      </c>
      <c r="N192" s="3" t="s">
        <v>444</v>
      </c>
      <c r="O192" s="3"/>
      <c r="P192" s="3">
        <v>25</v>
      </c>
      <c r="AG192" s="3">
        <v>3</v>
      </c>
      <c r="BF192" s="3"/>
      <c r="BG192" s="3"/>
      <c r="BH192" s="3"/>
      <c r="BI192" s="3"/>
      <c r="BJ192" s="3"/>
      <c r="BK192" s="3">
        <v>2</v>
      </c>
      <c r="BM192" s="3">
        <v>25</v>
      </c>
      <c r="BQ192" s="3">
        <v>1</v>
      </c>
      <c r="BR192" s="3">
        <v>6</v>
      </c>
      <c r="CC192" s="3">
        <v>5</v>
      </c>
      <c r="CD192" s="3"/>
      <c r="CE192" s="3"/>
      <c r="CF192" s="3">
        <v>1</v>
      </c>
      <c r="CI192" s="3"/>
      <c r="CJ192" s="3"/>
      <c r="CK192" s="3"/>
      <c r="CL192" s="3"/>
      <c r="CM192" s="3"/>
      <c r="CN192" s="3"/>
      <c r="CO192" s="3">
        <v>12</v>
      </c>
      <c r="DW192" s="3"/>
      <c r="DX192" s="3">
        <v>19</v>
      </c>
      <c r="EB192" s="3"/>
      <c r="EC192" s="3"/>
      <c r="ED192" s="3">
        <v>1</v>
      </c>
      <c r="EK192" s="3"/>
      <c r="EL192" s="3"/>
      <c r="EM192" s="3"/>
      <c r="EN192" s="3"/>
      <c r="EO192" s="3"/>
      <c r="EP192" s="3">
        <v>4</v>
      </c>
      <c r="EQ192" s="3"/>
      <c r="ER192" s="3">
        <v>1</v>
      </c>
      <c r="FJ192" s="3"/>
      <c r="FK192" s="3"/>
      <c r="FL192" s="3"/>
      <c r="FM192" s="3">
        <v>3</v>
      </c>
      <c r="FS192" s="3">
        <v>389</v>
      </c>
      <c r="GH192" s="3">
        <f t="shared" si="103"/>
        <v>14</v>
      </c>
      <c r="GI192" s="3">
        <f t="shared" si="104"/>
        <v>10</v>
      </c>
      <c r="GJ192" s="3">
        <f t="shared" si="105"/>
        <v>6</v>
      </c>
      <c r="GK192" s="3">
        <f t="shared" si="106"/>
        <v>472</v>
      </c>
      <c r="GL192" s="3">
        <f t="shared" si="107"/>
        <v>625</v>
      </c>
      <c r="GM192" s="3">
        <f t="shared" si="108"/>
        <v>153</v>
      </c>
    </row>
    <row r="193" spans="1:217" ht="13" x14ac:dyDescent="0.15">
      <c r="A193" s="24">
        <v>43525</v>
      </c>
      <c r="B193" s="25" t="s">
        <v>244</v>
      </c>
      <c r="C193" s="16">
        <f t="shared" si="102"/>
        <v>179</v>
      </c>
      <c r="D193" s="25">
        <v>21.310611999999999</v>
      </c>
      <c r="E193" s="25">
        <v>-158.00441000000001</v>
      </c>
      <c r="F193" s="25" t="s">
        <v>278</v>
      </c>
      <c r="G193" s="26">
        <v>0.38541666666666669</v>
      </c>
      <c r="H193" s="26">
        <v>0.47222222222222221</v>
      </c>
      <c r="I193" s="25">
        <v>8</v>
      </c>
      <c r="J193" s="25">
        <v>10</v>
      </c>
      <c r="K193" s="25" t="s">
        <v>318</v>
      </c>
      <c r="L193" s="25">
        <v>6</v>
      </c>
      <c r="M193" s="25">
        <v>32</v>
      </c>
      <c r="N193" s="25" t="s">
        <v>445</v>
      </c>
      <c r="O193" s="25"/>
      <c r="P193" s="25"/>
      <c r="Q193" s="25"/>
      <c r="R193" s="25">
        <v>9</v>
      </c>
      <c r="S193" s="25"/>
      <c r="T193" s="25"/>
      <c r="U193" s="25"/>
      <c r="V193" s="25"/>
      <c r="W193" s="25"/>
      <c r="X193" s="25"/>
      <c r="Y193" s="25"/>
      <c r="Z193" s="25"/>
      <c r="AA193" s="25"/>
      <c r="AB193" s="25">
        <v>2</v>
      </c>
      <c r="AC193" s="25"/>
      <c r="AD193" s="25"/>
      <c r="AE193" s="25">
        <v>12</v>
      </c>
      <c r="AF193" s="25"/>
      <c r="AG193" s="25"/>
      <c r="AH193" s="25"/>
      <c r="AI193" s="25"/>
      <c r="AJ193" s="25"/>
      <c r="AK193" s="25"/>
      <c r="AL193" s="25"/>
      <c r="AM193" s="25">
        <v>3</v>
      </c>
      <c r="AN193" s="25"/>
      <c r="AO193" s="25"/>
      <c r="AP193" s="25"/>
      <c r="AQ193" s="25"/>
      <c r="AR193" s="25"/>
      <c r="AS193" s="25"/>
      <c r="AT193" s="25">
        <v>7</v>
      </c>
      <c r="AU193" s="25"/>
      <c r="AV193" s="25"/>
      <c r="AW193" s="25"/>
      <c r="AX193" s="25"/>
      <c r="AY193" s="25"/>
      <c r="AZ193" s="25"/>
      <c r="BA193" s="25"/>
      <c r="BB193" s="25">
        <v>18</v>
      </c>
      <c r="BC193" s="25"/>
      <c r="BD193" s="25">
        <v>27</v>
      </c>
      <c r="BE193" s="25">
        <v>13</v>
      </c>
      <c r="BF193" s="25"/>
      <c r="BG193" s="25"/>
      <c r="BH193" s="25"/>
      <c r="BI193" s="25"/>
      <c r="BJ193" s="25"/>
      <c r="BK193" s="25">
        <v>25</v>
      </c>
      <c r="BL193" s="25"/>
      <c r="BM193" s="25">
        <v>14</v>
      </c>
      <c r="BN193" s="25"/>
      <c r="BO193" s="25"/>
      <c r="BP193" s="25"/>
      <c r="BQ193" s="25"/>
      <c r="BR193" s="25"/>
      <c r="BS193" s="25"/>
      <c r="BT193" s="25"/>
      <c r="BU193" s="25"/>
      <c r="BV193" s="25">
        <v>10</v>
      </c>
      <c r="BW193" s="25"/>
      <c r="BX193" s="25">
        <v>5</v>
      </c>
      <c r="BY193" s="25"/>
      <c r="BZ193" s="25"/>
      <c r="CA193" s="25"/>
      <c r="CB193" s="25"/>
      <c r="CC193" s="25"/>
      <c r="CD193" s="25"/>
      <c r="CE193" s="25"/>
      <c r="CF193" s="25"/>
      <c r="CG193" s="25"/>
      <c r="CH193" s="25"/>
      <c r="CI193" s="25"/>
      <c r="CJ193" s="25"/>
      <c r="CK193" s="25"/>
      <c r="CL193" s="25"/>
      <c r="CM193" s="25">
        <v>18</v>
      </c>
      <c r="CN193" s="25"/>
      <c r="CO193" s="25"/>
      <c r="CP193" s="25"/>
      <c r="CQ193" s="25"/>
      <c r="CR193" s="25"/>
      <c r="CS193" s="25"/>
      <c r="CT193" s="25"/>
      <c r="CU193" s="25"/>
      <c r="CV193" s="25"/>
      <c r="CW193" s="25"/>
      <c r="CX193" s="25"/>
      <c r="CY193" s="25"/>
      <c r="CZ193" s="25"/>
      <c r="DA193" s="25"/>
      <c r="DB193" s="25"/>
      <c r="DC193" s="25">
        <v>7</v>
      </c>
      <c r="DD193" s="25"/>
      <c r="DE193" s="25">
        <v>9</v>
      </c>
      <c r="DF193" s="25"/>
      <c r="DG193" s="25">
        <v>3</v>
      </c>
      <c r="DH193" s="25"/>
      <c r="DI193" s="25"/>
      <c r="DJ193" s="25"/>
      <c r="DK193" s="25"/>
      <c r="DL193" s="25"/>
      <c r="DM193" s="25">
        <v>5</v>
      </c>
      <c r="DN193" s="25"/>
      <c r="DO193" s="25"/>
      <c r="DP193" s="25"/>
      <c r="DQ193" s="25"/>
      <c r="DR193" s="25"/>
      <c r="DS193" s="25"/>
      <c r="DT193" s="25"/>
      <c r="DU193" s="25"/>
      <c r="DV193" s="25"/>
      <c r="DW193" s="25"/>
      <c r="DX193" s="25"/>
      <c r="DY193" s="25"/>
      <c r="DZ193" s="25"/>
      <c r="EA193" s="25"/>
      <c r="EB193" s="25"/>
      <c r="EC193" s="25">
        <v>2</v>
      </c>
      <c r="ED193" s="25">
        <v>15</v>
      </c>
      <c r="EE193" s="25"/>
      <c r="EF193" s="25"/>
      <c r="EG193" s="25"/>
      <c r="EH193" s="25"/>
      <c r="EI193" s="25"/>
      <c r="EJ193" s="25">
        <v>91</v>
      </c>
      <c r="EK193" s="25">
        <v>1</v>
      </c>
      <c r="EL193" s="25"/>
      <c r="EM193" s="25"/>
      <c r="EN193" s="25"/>
      <c r="EO193" s="25">
        <v>1</v>
      </c>
      <c r="EP193" s="25"/>
      <c r="EQ193" s="25"/>
      <c r="ER193" s="25"/>
      <c r="ES193" s="25"/>
      <c r="ET193" s="25"/>
      <c r="EU193" s="25"/>
      <c r="EV193" s="25"/>
      <c r="EW193" s="25">
        <v>1</v>
      </c>
      <c r="EX193" s="25">
        <v>3</v>
      </c>
      <c r="EY193" s="25"/>
      <c r="EZ193" s="25"/>
      <c r="FA193" s="25"/>
      <c r="FB193" s="25"/>
      <c r="FC193" s="25"/>
      <c r="FD193" s="25"/>
      <c r="FE193" s="25"/>
      <c r="FF193" s="25"/>
      <c r="FG193" s="25"/>
      <c r="FH193" s="25"/>
      <c r="FI193" s="25"/>
      <c r="FJ193" s="25"/>
      <c r="FK193" s="25"/>
      <c r="FL193" s="25">
        <v>2</v>
      </c>
      <c r="FM193" s="25"/>
      <c r="FN193" s="25"/>
      <c r="FO193" s="25"/>
      <c r="FP193" s="25"/>
      <c r="FQ193" s="25">
        <v>29</v>
      </c>
      <c r="FR193" s="25"/>
      <c r="FS193" s="25">
        <v>162</v>
      </c>
      <c r="FT193" s="25"/>
      <c r="FU193" s="25"/>
      <c r="FV193" s="25"/>
      <c r="FW193" s="25"/>
      <c r="FX193" s="25"/>
      <c r="FY193" s="25"/>
      <c r="FZ193" s="25"/>
      <c r="GA193" s="25"/>
      <c r="GB193" s="25"/>
      <c r="GC193" s="25"/>
      <c r="GD193" s="25"/>
      <c r="GE193" s="25"/>
      <c r="GF193" s="25"/>
      <c r="GG193" s="25"/>
      <c r="GH193" s="25">
        <f t="shared" si="103"/>
        <v>27</v>
      </c>
      <c r="GI193" s="25">
        <f t="shared" si="104"/>
        <v>24</v>
      </c>
      <c r="GJ193" s="25">
        <f t="shared" si="105"/>
        <v>18</v>
      </c>
      <c r="GK193" s="25">
        <f t="shared" si="106"/>
        <v>494</v>
      </c>
      <c r="GL193" s="25">
        <f t="shared" si="107"/>
        <v>0</v>
      </c>
      <c r="GM193" s="25">
        <f t="shared" si="108"/>
        <v>-494</v>
      </c>
      <c r="GN193" s="25"/>
      <c r="GO193" s="25"/>
      <c r="GP193" s="25"/>
      <c r="GQ193" s="25"/>
      <c r="GR193" s="25"/>
      <c r="GS193" s="25"/>
      <c r="GT193" s="25"/>
      <c r="GU193" s="25"/>
      <c r="GV193" s="25"/>
      <c r="GW193" s="25"/>
      <c r="GX193" s="25"/>
      <c r="GY193" s="25"/>
      <c r="GZ193" s="25"/>
      <c r="HA193" s="25"/>
      <c r="HB193" s="25"/>
      <c r="HC193" s="25"/>
      <c r="HD193" s="25"/>
      <c r="HE193" s="25"/>
      <c r="HF193" s="25"/>
      <c r="HG193" s="25"/>
      <c r="HH193" s="25"/>
      <c r="HI193" s="25"/>
    </row>
    <row r="194" spans="1:217" ht="13" x14ac:dyDescent="0.15">
      <c r="A194" s="24">
        <v>43528</v>
      </c>
      <c r="B194" s="25" t="s">
        <v>400</v>
      </c>
      <c r="C194" s="16">
        <f t="shared" si="102"/>
        <v>180</v>
      </c>
      <c r="D194" s="25">
        <v>21.900562000000001</v>
      </c>
      <c r="E194" s="25">
        <v>-159.60981799999999</v>
      </c>
      <c r="F194" s="25" t="s">
        <v>401</v>
      </c>
      <c r="G194" s="26">
        <v>0.39583333333333331</v>
      </c>
      <c r="H194" s="26">
        <v>0.44097222222222221</v>
      </c>
      <c r="I194" s="25">
        <v>6</v>
      </c>
      <c r="J194" s="25">
        <v>14</v>
      </c>
      <c r="K194" s="25" t="s">
        <v>198</v>
      </c>
      <c r="L194" s="25">
        <v>14</v>
      </c>
      <c r="M194" s="25">
        <v>43</v>
      </c>
      <c r="N194" s="25" t="s">
        <v>447</v>
      </c>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v>12</v>
      </c>
      <c r="BC194" s="25"/>
      <c r="BD194" s="25"/>
      <c r="BE194" s="25"/>
      <c r="BF194" s="25"/>
      <c r="BG194" s="25"/>
      <c r="BH194" s="25">
        <v>4</v>
      </c>
      <c r="BI194" s="25"/>
      <c r="BJ194" s="25"/>
      <c r="BK194" s="25"/>
      <c r="BL194" s="25"/>
      <c r="BM194" s="25"/>
      <c r="BN194" s="25"/>
      <c r="BO194" s="25"/>
      <c r="BP194" s="25"/>
      <c r="BQ194" s="25"/>
      <c r="BR194" s="25"/>
      <c r="BS194" s="25"/>
      <c r="BT194" s="25"/>
      <c r="BU194" s="25"/>
      <c r="BV194" s="25"/>
      <c r="BW194" s="25">
        <v>53</v>
      </c>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c r="DE194" s="25"/>
      <c r="DF194" s="25"/>
      <c r="DG194" s="25"/>
      <c r="DH194" s="25"/>
      <c r="DI194" s="25"/>
      <c r="DJ194" s="25">
        <v>126</v>
      </c>
      <c r="DK194" s="25"/>
      <c r="DL194" s="25">
        <v>165</v>
      </c>
      <c r="DM194" s="25"/>
      <c r="DN194" s="25"/>
      <c r="DO194" s="25"/>
      <c r="DP194" s="25"/>
      <c r="DQ194" s="25"/>
      <c r="DR194" s="25"/>
      <c r="DS194" s="25">
        <v>65</v>
      </c>
      <c r="DT194" s="25"/>
      <c r="DU194" s="25"/>
      <c r="DV194" s="25">
        <v>3</v>
      </c>
      <c r="DW194" s="25"/>
      <c r="DX194" s="25"/>
      <c r="DY194" s="25"/>
      <c r="DZ194" s="25"/>
      <c r="EA194" s="25"/>
      <c r="EB194" s="25"/>
      <c r="EC194" s="25"/>
      <c r="ED194" s="25">
        <v>7</v>
      </c>
      <c r="EE194" s="25"/>
      <c r="EF194" s="25"/>
      <c r="EG194" s="25"/>
      <c r="EH194" s="25"/>
      <c r="EI194" s="25"/>
      <c r="EJ194" s="25">
        <v>70</v>
      </c>
      <c r="EK194" s="25"/>
      <c r="EL194" s="25"/>
      <c r="EM194" s="25"/>
      <c r="EN194" s="25"/>
      <c r="EO194" s="25"/>
      <c r="EP194" s="25"/>
      <c r="EQ194" s="25"/>
      <c r="ER194" s="25"/>
      <c r="ES194" s="25"/>
      <c r="ET194" s="25"/>
      <c r="EU194" s="25"/>
      <c r="EV194" s="25"/>
      <c r="EW194" s="25"/>
      <c r="EX194" s="25"/>
      <c r="EY194" s="25"/>
      <c r="EZ194" s="25"/>
      <c r="FA194" s="25"/>
      <c r="FB194" s="25">
        <v>69</v>
      </c>
      <c r="FC194" s="25"/>
      <c r="FD194" s="25"/>
      <c r="FE194" s="25"/>
      <c r="FF194" s="25"/>
      <c r="FG194" s="25"/>
      <c r="FH194" s="25"/>
      <c r="FI194" s="25"/>
      <c r="FJ194" s="25"/>
      <c r="FK194" s="25"/>
      <c r="FL194" s="25"/>
      <c r="FM194" s="25"/>
      <c r="FN194" s="25"/>
      <c r="FO194" s="25"/>
      <c r="FP194" s="25"/>
      <c r="FQ194" s="25"/>
      <c r="FR194" s="25">
        <v>27</v>
      </c>
      <c r="FS194" s="25">
        <v>18</v>
      </c>
      <c r="FT194" s="25"/>
      <c r="FU194" s="25"/>
      <c r="FV194" s="25"/>
      <c r="FW194" s="25"/>
      <c r="FX194" s="25"/>
      <c r="FY194" s="25"/>
      <c r="FZ194" s="25"/>
      <c r="GA194" s="25"/>
      <c r="GB194" s="25"/>
      <c r="GC194" s="25"/>
      <c r="GD194" s="25"/>
      <c r="GE194" s="25"/>
      <c r="GF194" s="25"/>
      <c r="GG194" s="25"/>
      <c r="GH194" s="25">
        <f t="shared" si="103"/>
        <v>12</v>
      </c>
      <c r="GI194" s="25">
        <f t="shared" si="104"/>
        <v>12</v>
      </c>
      <c r="GJ194" s="25">
        <f t="shared" si="105"/>
        <v>10</v>
      </c>
      <c r="GK194" s="25">
        <f t="shared" si="106"/>
        <v>619</v>
      </c>
      <c r="GL194" s="25">
        <f t="shared" si="107"/>
        <v>0</v>
      </c>
      <c r="GM194" s="25">
        <f t="shared" si="108"/>
        <v>-619</v>
      </c>
      <c r="GN194" s="25"/>
      <c r="GO194" s="25"/>
      <c r="GP194" s="25"/>
      <c r="GQ194" s="25"/>
      <c r="GR194" s="25"/>
      <c r="GS194" s="25"/>
      <c r="GT194" s="25"/>
      <c r="GU194" s="25"/>
      <c r="GV194" s="25"/>
      <c r="GW194" s="25"/>
      <c r="GX194" s="25"/>
      <c r="GY194" s="25"/>
      <c r="GZ194" s="25"/>
      <c r="HA194" s="25"/>
      <c r="HB194" s="25"/>
      <c r="HC194" s="25"/>
      <c r="HD194" s="25"/>
      <c r="HE194" s="25"/>
      <c r="HF194" s="25"/>
      <c r="HG194" s="25"/>
      <c r="HH194" s="25"/>
      <c r="HI194" s="25"/>
    </row>
    <row r="195" spans="1:217" ht="13" x14ac:dyDescent="0.15">
      <c r="A195" s="13">
        <v>43531</v>
      </c>
      <c r="B195" s="3" t="s">
        <v>266</v>
      </c>
      <c r="C195" s="16">
        <f t="shared" si="102"/>
        <v>181</v>
      </c>
      <c r="D195" s="3">
        <v>22.060683999999998</v>
      </c>
      <c r="E195" s="3">
        <v>-159.318512</v>
      </c>
      <c r="F195" s="3" t="s">
        <v>418</v>
      </c>
      <c r="G195" s="14">
        <v>0.4375</v>
      </c>
      <c r="H195" s="14">
        <v>0.50208333333333333</v>
      </c>
      <c r="I195" s="3">
        <v>7</v>
      </c>
      <c r="J195" s="3">
        <v>18</v>
      </c>
      <c r="K195" s="3" t="s">
        <v>198</v>
      </c>
      <c r="L195" s="3">
        <v>10</v>
      </c>
      <c r="M195" s="3">
        <v>56</v>
      </c>
      <c r="N195" s="3" t="s">
        <v>450</v>
      </c>
      <c r="P195" s="3">
        <v>56</v>
      </c>
      <c r="U195" s="3"/>
      <c r="V195" s="3"/>
      <c r="W195" s="3"/>
      <c r="X195" s="3">
        <v>6</v>
      </c>
      <c r="AH195" s="3"/>
      <c r="AI195" s="3">
        <v>2</v>
      </c>
      <c r="BA195" s="3"/>
      <c r="BB195" s="3">
        <v>17</v>
      </c>
      <c r="BM195" s="3">
        <v>6</v>
      </c>
      <c r="BN195" s="3">
        <v>116</v>
      </c>
      <c r="BS195" s="3"/>
      <c r="BT195" s="3"/>
      <c r="BU195" s="3"/>
      <c r="BV195" s="3">
        <v>47</v>
      </c>
      <c r="CD195" s="3"/>
      <c r="CE195" s="3">
        <v>6</v>
      </c>
      <c r="DK195" s="3"/>
      <c r="DL195" s="3">
        <v>6</v>
      </c>
      <c r="DM195" s="3">
        <v>13</v>
      </c>
      <c r="DQ195" s="3"/>
      <c r="DR195" s="3"/>
      <c r="DS195" s="3">
        <v>130</v>
      </c>
      <c r="DT195" s="3"/>
      <c r="DU195" s="3"/>
      <c r="DV195" s="3">
        <v>12</v>
      </c>
      <c r="EE195" s="3"/>
      <c r="EF195" s="3"/>
      <c r="EG195" s="3"/>
      <c r="EH195" s="3"/>
      <c r="EI195" s="3"/>
      <c r="EJ195" s="3">
        <v>55</v>
      </c>
      <c r="EY195" s="3"/>
      <c r="EZ195" s="3"/>
      <c r="FA195" s="3"/>
      <c r="FB195" s="3">
        <v>25</v>
      </c>
      <c r="FC195" s="3">
        <v>1</v>
      </c>
      <c r="FM195" s="3">
        <v>1</v>
      </c>
      <c r="FR195" s="3">
        <v>12</v>
      </c>
      <c r="FS195" s="3">
        <v>443</v>
      </c>
      <c r="GH195" s="3">
        <f t="shared" si="103"/>
        <v>17</v>
      </c>
      <c r="GI195" s="3">
        <f t="shared" si="104"/>
        <v>15</v>
      </c>
      <c r="GJ195" s="3">
        <f t="shared" si="105"/>
        <v>14</v>
      </c>
      <c r="GK195" s="3">
        <f t="shared" si="106"/>
        <v>898</v>
      </c>
      <c r="GL195" s="3">
        <f t="shared" si="107"/>
        <v>1400</v>
      </c>
      <c r="GM195" s="3">
        <f t="shared" si="108"/>
        <v>502</v>
      </c>
    </row>
    <row r="196" spans="1:217" ht="13" x14ac:dyDescent="0.15">
      <c r="A196" s="24">
        <v>43531</v>
      </c>
      <c r="B196" s="25" t="s">
        <v>233</v>
      </c>
      <c r="C196" s="16">
        <f t="shared" si="102"/>
        <v>182</v>
      </c>
      <c r="D196" s="25">
        <v>21.066799</v>
      </c>
      <c r="E196" s="25">
        <v>-156.804993</v>
      </c>
      <c r="F196" s="25" t="s">
        <v>286</v>
      </c>
      <c r="G196" s="26">
        <v>0.43541666666666667</v>
      </c>
      <c r="H196" s="26">
        <v>0.47430555555555554</v>
      </c>
      <c r="I196" s="25">
        <v>4</v>
      </c>
      <c r="J196" s="25">
        <v>24</v>
      </c>
      <c r="K196" s="25" t="s">
        <v>227</v>
      </c>
      <c r="L196" s="25">
        <v>9</v>
      </c>
      <c r="M196" s="25">
        <v>25</v>
      </c>
      <c r="N196" s="25" t="s">
        <v>451</v>
      </c>
      <c r="O196" s="25"/>
      <c r="P196" s="25"/>
      <c r="Q196" s="25"/>
      <c r="R196" s="25">
        <v>5</v>
      </c>
      <c r="S196" s="25"/>
      <c r="T196" s="25"/>
      <c r="U196" s="25"/>
      <c r="V196" s="25"/>
      <c r="W196" s="25"/>
      <c r="X196" s="25"/>
      <c r="Y196" s="25"/>
      <c r="Z196" s="25"/>
      <c r="AA196" s="25"/>
      <c r="AB196" s="25"/>
      <c r="AC196" s="25"/>
      <c r="AD196" s="25"/>
      <c r="AE196" s="25"/>
      <c r="AF196" s="25"/>
      <c r="AG196" s="25"/>
      <c r="AH196" s="25"/>
      <c r="AI196" s="25"/>
      <c r="AJ196" s="25"/>
      <c r="AK196" s="25"/>
      <c r="AL196" s="25"/>
      <c r="AM196" s="25">
        <v>49</v>
      </c>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v>209</v>
      </c>
      <c r="BN196" s="25"/>
      <c r="BO196" s="25"/>
      <c r="BP196" s="25"/>
      <c r="BQ196" s="25"/>
      <c r="BR196" s="25"/>
      <c r="BS196" s="25"/>
      <c r="BT196" s="25"/>
      <c r="BU196" s="25"/>
      <c r="BV196" s="25"/>
      <c r="BW196" s="25"/>
      <c r="BX196" s="25"/>
      <c r="BY196" s="25"/>
      <c r="BZ196" s="25"/>
      <c r="CA196" s="25"/>
      <c r="CB196" s="25"/>
      <c r="CC196" s="25"/>
      <c r="CD196" s="25"/>
      <c r="CE196" s="25"/>
      <c r="CF196" s="25"/>
      <c r="CG196" s="25"/>
      <c r="CH196" s="25">
        <v>8</v>
      </c>
      <c r="CI196" s="25"/>
      <c r="CJ196" s="25"/>
      <c r="CK196" s="25"/>
      <c r="CL196" s="25"/>
      <c r="CM196" s="25"/>
      <c r="CN196" s="25"/>
      <c r="CO196" s="25">
        <v>7</v>
      </c>
      <c r="CP196" s="25"/>
      <c r="CQ196" s="25"/>
      <c r="CR196" s="25"/>
      <c r="CS196" s="25"/>
      <c r="CT196" s="25"/>
      <c r="CU196" s="25"/>
      <c r="CV196" s="25"/>
      <c r="CW196" s="25"/>
      <c r="CX196" s="25"/>
      <c r="CY196" s="25"/>
      <c r="CZ196" s="25"/>
      <c r="DA196" s="25"/>
      <c r="DB196" s="25"/>
      <c r="DC196" s="25"/>
      <c r="DD196" s="25"/>
      <c r="DE196" s="25"/>
      <c r="DF196" s="25"/>
      <c r="DG196" s="25"/>
      <c r="DH196" s="25"/>
      <c r="DI196" s="25"/>
      <c r="DJ196" s="25"/>
      <c r="DK196" s="25"/>
      <c r="DL196" s="25"/>
      <c r="DM196" s="25">
        <v>37</v>
      </c>
      <c r="DN196" s="25"/>
      <c r="DO196" s="25"/>
      <c r="DP196" s="25"/>
      <c r="DQ196" s="25"/>
      <c r="DR196" s="25"/>
      <c r="DS196" s="25"/>
      <c r="DT196" s="25"/>
      <c r="DU196" s="25"/>
      <c r="DV196" s="25"/>
      <c r="DW196" s="25"/>
      <c r="DX196" s="25"/>
      <c r="DY196" s="25"/>
      <c r="DZ196" s="25"/>
      <c r="EA196" s="25"/>
      <c r="EB196" s="25"/>
      <c r="EC196" s="25"/>
      <c r="ED196" s="25"/>
      <c r="EE196" s="25"/>
      <c r="EF196" s="25"/>
      <c r="EG196" s="25"/>
      <c r="EH196" s="25"/>
      <c r="EI196" s="25"/>
      <c r="EJ196" s="25">
        <v>7</v>
      </c>
      <c r="EK196" s="25">
        <v>1</v>
      </c>
      <c r="EL196" s="25"/>
      <c r="EM196" s="25"/>
      <c r="EN196" s="25"/>
      <c r="EO196" s="25"/>
      <c r="EP196" s="25"/>
      <c r="EQ196" s="25">
        <v>22</v>
      </c>
      <c r="ER196" s="25"/>
      <c r="ES196" s="25"/>
      <c r="ET196" s="25"/>
      <c r="EU196" s="25"/>
      <c r="EV196" s="25"/>
      <c r="EW196" s="25"/>
      <c r="EX196" s="25"/>
      <c r="EY196" s="25"/>
      <c r="EZ196" s="25"/>
      <c r="FA196" s="25"/>
      <c r="FB196" s="25"/>
      <c r="FC196" s="25"/>
      <c r="FD196" s="25"/>
      <c r="FE196" s="25"/>
      <c r="FF196" s="25"/>
      <c r="FG196" s="25"/>
      <c r="FH196" s="25"/>
      <c r="FI196" s="25"/>
      <c r="FJ196" s="25"/>
      <c r="FK196" s="25"/>
      <c r="FL196" s="25"/>
      <c r="FM196" s="25"/>
      <c r="FN196" s="25"/>
      <c r="FO196" s="25"/>
      <c r="FP196" s="25"/>
      <c r="FQ196" s="25"/>
      <c r="FR196" s="25">
        <v>16</v>
      </c>
      <c r="FS196" s="25">
        <v>14</v>
      </c>
      <c r="FT196" s="25"/>
      <c r="FU196" s="25"/>
      <c r="FV196" s="25"/>
      <c r="FW196" s="25"/>
      <c r="FX196" s="25"/>
      <c r="FY196" s="25"/>
      <c r="FZ196" s="25"/>
      <c r="GA196" s="25"/>
      <c r="GB196" s="25"/>
      <c r="GC196" s="25"/>
      <c r="GD196" s="25"/>
      <c r="GE196" s="25"/>
      <c r="GF196" s="25"/>
      <c r="GG196" s="25"/>
      <c r="GH196" s="25">
        <f t="shared" si="103"/>
        <v>11</v>
      </c>
      <c r="GI196" s="25">
        <f t="shared" si="104"/>
        <v>10</v>
      </c>
      <c r="GJ196" s="25">
        <f t="shared" si="105"/>
        <v>10</v>
      </c>
      <c r="GK196" s="25">
        <f t="shared" si="106"/>
        <v>375</v>
      </c>
      <c r="GL196" s="25">
        <f t="shared" si="107"/>
        <v>0</v>
      </c>
      <c r="GM196" s="25">
        <f t="shared" si="108"/>
        <v>-375</v>
      </c>
      <c r="GN196" s="25"/>
      <c r="GO196" s="25"/>
      <c r="GP196" s="25"/>
      <c r="GQ196" s="25"/>
      <c r="GR196" s="25"/>
      <c r="GS196" s="25"/>
      <c r="GT196" s="25"/>
      <c r="GU196" s="25"/>
      <c r="GV196" s="25"/>
      <c r="GW196" s="25"/>
      <c r="GX196" s="25"/>
      <c r="GY196" s="25"/>
      <c r="GZ196" s="25"/>
      <c r="HA196" s="25"/>
      <c r="HB196" s="25"/>
      <c r="HC196" s="25"/>
      <c r="HD196" s="25"/>
      <c r="HE196" s="25"/>
      <c r="HF196" s="25"/>
      <c r="HG196" s="25"/>
      <c r="HH196" s="25"/>
      <c r="HI196" s="25"/>
    </row>
    <row r="197" spans="1:217" ht="16" x14ac:dyDescent="0.2">
      <c r="A197" s="33">
        <v>43533</v>
      </c>
      <c r="B197" s="22" t="s">
        <v>244</v>
      </c>
      <c r="C197" s="16">
        <f t="shared" si="102"/>
        <v>183</v>
      </c>
      <c r="D197" s="3">
        <v>21.310611999999999</v>
      </c>
      <c r="E197" s="3">
        <v>-158.00441000000001</v>
      </c>
      <c r="F197" s="22" t="s">
        <v>418</v>
      </c>
      <c r="G197" s="34">
        <v>0.45277777777777778</v>
      </c>
      <c r="H197" s="34">
        <v>0.48194444444444445</v>
      </c>
      <c r="I197" s="22">
        <v>5</v>
      </c>
      <c r="J197" s="22">
        <v>20</v>
      </c>
      <c r="K197" s="22" t="s">
        <v>217</v>
      </c>
      <c r="L197" s="22">
        <v>5</v>
      </c>
      <c r="M197" s="22">
        <v>24</v>
      </c>
      <c r="N197" s="22" t="s">
        <v>403</v>
      </c>
      <c r="O197" s="22"/>
      <c r="P197" s="22">
        <v>24</v>
      </c>
      <c r="Q197" s="22"/>
      <c r="R197" s="22">
        <v>3</v>
      </c>
      <c r="S197" s="22"/>
      <c r="T197" s="22"/>
      <c r="U197" s="22"/>
      <c r="V197" s="22"/>
      <c r="W197" s="22"/>
      <c r="X197" s="22"/>
      <c r="Y197" s="22"/>
      <c r="Z197" s="22"/>
      <c r="AA197" s="22"/>
      <c r="AB197" s="22">
        <v>5</v>
      </c>
      <c r="AC197" s="22"/>
      <c r="AD197" s="22"/>
      <c r="AE197" s="22">
        <v>7</v>
      </c>
      <c r="AF197" s="22"/>
      <c r="AG197" s="22"/>
      <c r="AH197" s="22"/>
      <c r="AI197" s="22">
        <v>1</v>
      </c>
      <c r="AJ197" s="22"/>
      <c r="AK197" s="22"/>
      <c r="AL197" s="22"/>
      <c r="AM197" s="22">
        <v>6</v>
      </c>
      <c r="AN197" s="22"/>
      <c r="AO197" s="22"/>
      <c r="AP197" s="22"/>
      <c r="AQ197" s="22"/>
      <c r="AR197" s="22"/>
      <c r="AS197" s="22"/>
      <c r="AT197" s="22"/>
      <c r="AU197" s="22"/>
      <c r="AV197" s="22"/>
      <c r="AW197" s="22"/>
      <c r="AX197" s="22"/>
      <c r="AY197" s="22"/>
      <c r="AZ197" s="22"/>
      <c r="BA197" s="22"/>
      <c r="BB197" s="22">
        <v>1</v>
      </c>
      <c r="BC197" s="22"/>
      <c r="BD197" s="22"/>
      <c r="BE197" s="22">
        <v>53</v>
      </c>
      <c r="BF197" s="22"/>
      <c r="BG197" s="22"/>
      <c r="BH197" s="22"/>
      <c r="BI197" s="22"/>
      <c r="BJ197" s="22"/>
      <c r="BK197" s="22"/>
      <c r="BL197" s="22"/>
      <c r="BM197" s="22">
        <v>84</v>
      </c>
      <c r="BN197" s="22"/>
      <c r="BO197" s="22"/>
      <c r="BP197" s="22"/>
      <c r="BQ197" s="22">
        <v>2</v>
      </c>
      <c r="BR197" s="22"/>
      <c r="BS197" s="22"/>
      <c r="BT197" s="22"/>
      <c r="BU197" s="22"/>
      <c r="BV197" s="22">
        <v>17</v>
      </c>
      <c r="BW197" s="22"/>
      <c r="BX197" s="22"/>
      <c r="BY197" s="22"/>
      <c r="BZ197" s="22">
        <v>2</v>
      </c>
      <c r="CA197" s="22"/>
      <c r="CB197" s="22"/>
      <c r="CC197" s="22"/>
      <c r="CD197" s="22"/>
      <c r="CE197" s="22"/>
      <c r="CF197" s="22"/>
      <c r="CG197" s="22"/>
      <c r="CH197" s="22"/>
      <c r="CI197" s="22"/>
      <c r="CJ197" s="22"/>
      <c r="CK197" s="22"/>
      <c r="CL197" s="22"/>
      <c r="CM197" s="22"/>
      <c r="CN197" s="22"/>
      <c r="CO197" s="22">
        <v>18</v>
      </c>
      <c r="CP197" s="22"/>
      <c r="CQ197" s="22"/>
      <c r="CR197" s="22"/>
      <c r="CS197" s="22"/>
      <c r="CT197" s="22"/>
      <c r="CU197" s="22"/>
      <c r="CV197" s="22"/>
      <c r="CW197" s="22"/>
      <c r="CX197" s="22"/>
      <c r="CY197" s="22"/>
      <c r="CZ197" s="22"/>
      <c r="DA197" s="22"/>
      <c r="DB197" s="22"/>
      <c r="DC197" s="22"/>
      <c r="DD197" s="22"/>
      <c r="DE197" s="22"/>
      <c r="DF197" s="22"/>
      <c r="DG197" s="22">
        <v>5</v>
      </c>
      <c r="DH197" s="22"/>
      <c r="DI197" s="22"/>
      <c r="DJ197" s="22"/>
      <c r="DK197" s="22"/>
      <c r="DL197" s="22"/>
      <c r="DM197" s="22"/>
      <c r="DN197" s="22"/>
      <c r="DO197" s="22">
        <v>12</v>
      </c>
      <c r="DP197" s="22"/>
      <c r="DQ197" s="22"/>
      <c r="DR197" s="22"/>
      <c r="DS197" s="22"/>
      <c r="DT197" s="22"/>
      <c r="DU197" s="22"/>
      <c r="DV197" s="22">
        <v>37</v>
      </c>
      <c r="DW197" s="22"/>
      <c r="DX197" s="22"/>
      <c r="DY197" s="22"/>
      <c r="DZ197" s="22"/>
      <c r="EA197" s="22"/>
      <c r="EB197" s="22"/>
      <c r="EC197" s="22">
        <v>7</v>
      </c>
      <c r="ED197" s="22"/>
      <c r="EE197" s="22"/>
      <c r="EF197" s="22"/>
      <c r="EG197" s="22"/>
      <c r="EH197" s="22"/>
      <c r="EI197" s="22"/>
      <c r="EJ197" s="22">
        <v>64</v>
      </c>
      <c r="EK197" s="22"/>
      <c r="EL197" s="22"/>
      <c r="EM197" s="22"/>
      <c r="EN197" s="22"/>
      <c r="EO197" s="22">
        <v>1</v>
      </c>
      <c r="EP197" s="22"/>
      <c r="EQ197" s="22"/>
      <c r="ER197" s="22"/>
      <c r="ES197" s="22"/>
      <c r="ET197" s="22"/>
      <c r="EU197" s="22"/>
      <c r="EV197" s="22"/>
      <c r="EW197" s="22"/>
      <c r="EX197" s="22"/>
      <c r="FG197" s="22"/>
      <c r="FH197" s="22"/>
      <c r="FI197" s="22"/>
      <c r="FJ197" s="22"/>
      <c r="FK197" s="22"/>
      <c r="FL197" s="22"/>
      <c r="FM197" s="22">
        <v>5</v>
      </c>
      <c r="FN197" s="22"/>
      <c r="FO197" s="22"/>
      <c r="FP197" s="22"/>
      <c r="FQ197" s="22">
        <v>4</v>
      </c>
      <c r="FR197" s="22"/>
      <c r="FS197" s="22">
        <v>169</v>
      </c>
      <c r="FT197" s="22"/>
      <c r="FU197" s="22"/>
      <c r="FV197" s="22"/>
      <c r="FW197" s="22"/>
      <c r="FZ197" s="22"/>
      <c r="GA197" s="22"/>
      <c r="GB197" s="22"/>
      <c r="GC197" s="22"/>
      <c r="GD197" s="22"/>
      <c r="GE197" s="22"/>
      <c r="GF197" s="22"/>
      <c r="GG197" s="22"/>
      <c r="GH197" s="3">
        <f t="shared" si="103"/>
        <v>21</v>
      </c>
      <c r="GI197" s="3">
        <f t="shared" si="104"/>
        <v>18</v>
      </c>
      <c r="GJ197" s="3">
        <f t="shared" si="105"/>
        <v>14</v>
      </c>
      <c r="GK197" s="3">
        <f t="shared" si="106"/>
        <v>503</v>
      </c>
      <c r="GL197" s="3">
        <f t="shared" si="107"/>
        <v>600</v>
      </c>
      <c r="GM197" s="3">
        <f t="shared" si="108"/>
        <v>97</v>
      </c>
    </row>
    <row r="198" spans="1:217" ht="16" x14ac:dyDescent="0.2">
      <c r="A198" s="13">
        <v>43536</v>
      </c>
      <c r="B198" s="22" t="s">
        <v>201</v>
      </c>
      <c r="C198" s="16">
        <f t="shared" si="102"/>
        <v>184</v>
      </c>
      <c r="D198" s="3">
        <v>21.25544</v>
      </c>
      <c r="E198" s="22">
        <v>-157.810303</v>
      </c>
      <c r="F198" s="22" t="s">
        <v>418</v>
      </c>
      <c r="G198" s="34">
        <v>0.5625</v>
      </c>
      <c r="H198" s="36">
        <v>0.66666666666666663</v>
      </c>
      <c r="I198" s="22">
        <v>7</v>
      </c>
      <c r="J198" s="22">
        <v>8</v>
      </c>
      <c r="K198" s="22" t="s">
        <v>198</v>
      </c>
      <c r="L198" s="22">
        <v>25</v>
      </c>
      <c r="M198" s="22">
        <v>35</v>
      </c>
      <c r="N198" s="22"/>
      <c r="O198" s="22"/>
      <c r="P198" s="22">
        <v>35</v>
      </c>
      <c r="Q198" s="22"/>
      <c r="R198" s="22">
        <v>1</v>
      </c>
      <c r="S198" s="22"/>
      <c r="T198" s="22"/>
      <c r="U198" s="22"/>
      <c r="V198" s="22"/>
      <c r="W198" s="22"/>
      <c r="X198" s="22">
        <v>1</v>
      </c>
      <c r="Y198" s="22"/>
      <c r="Z198" s="22"/>
      <c r="AA198" s="22"/>
      <c r="AB198" s="22">
        <v>5</v>
      </c>
      <c r="AC198" s="22"/>
      <c r="AD198" s="22">
        <v>1</v>
      </c>
      <c r="AE198" s="22">
        <v>5</v>
      </c>
      <c r="AF198" s="22"/>
      <c r="AG198" s="22"/>
      <c r="AH198" s="22"/>
      <c r="AI198" s="22">
        <v>6</v>
      </c>
      <c r="AJ198" s="22"/>
      <c r="AK198" s="22"/>
      <c r="AL198" s="22"/>
      <c r="AM198" s="22">
        <v>2</v>
      </c>
      <c r="AN198" s="22">
        <v>1</v>
      </c>
      <c r="AO198" s="22"/>
      <c r="AP198" s="22"/>
      <c r="AQ198" s="22"/>
      <c r="AR198" s="22"/>
      <c r="AS198" s="22"/>
      <c r="AT198" s="22"/>
      <c r="AU198" s="22"/>
      <c r="AV198" s="22"/>
      <c r="AW198" s="22"/>
      <c r="AX198" s="22"/>
      <c r="AY198" s="22"/>
      <c r="AZ198" s="22"/>
      <c r="BA198" s="22"/>
      <c r="BB198" s="22">
        <v>4</v>
      </c>
      <c r="BC198" s="22">
        <v>1</v>
      </c>
      <c r="BD198" s="22"/>
      <c r="BE198" s="22"/>
      <c r="BF198" s="22"/>
      <c r="BG198" s="22"/>
      <c r="BH198" s="22"/>
      <c r="BI198" s="22"/>
      <c r="BJ198" s="22"/>
      <c r="BK198" s="22">
        <v>32</v>
      </c>
      <c r="BL198" s="22"/>
      <c r="BM198" s="22">
        <v>5</v>
      </c>
      <c r="BN198" s="22"/>
      <c r="BO198" s="22"/>
      <c r="BP198" s="22"/>
      <c r="BQ198" s="22">
        <v>24</v>
      </c>
      <c r="BR198" s="22"/>
      <c r="BS198" s="22"/>
      <c r="BT198" s="22"/>
      <c r="BU198" s="22"/>
      <c r="BV198" s="22">
        <v>10</v>
      </c>
      <c r="BW198" s="22">
        <v>1</v>
      </c>
      <c r="BX198" s="22"/>
      <c r="BY198" s="22">
        <v>2</v>
      </c>
      <c r="BZ198" s="22">
        <v>9</v>
      </c>
      <c r="CA198" s="22"/>
      <c r="CB198" s="22"/>
      <c r="CC198" s="22"/>
      <c r="CD198" s="22"/>
      <c r="CE198" s="22"/>
      <c r="CF198" s="22"/>
      <c r="CG198" s="22"/>
      <c r="CH198" s="22">
        <v>6</v>
      </c>
      <c r="CI198" s="22"/>
      <c r="CJ198" s="22"/>
      <c r="CK198" s="22">
        <v>2</v>
      </c>
      <c r="CL198" s="22"/>
      <c r="CM198" s="22"/>
      <c r="CN198" s="22"/>
      <c r="CO198" s="22">
        <v>3</v>
      </c>
      <c r="CP198" s="22"/>
      <c r="CQ198" s="22"/>
      <c r="CR198" s="22"/>
      <c r="CS198" s="22"/>
      <c r="CT198" s="22"/>
      <c r="CU198" s="22"/>
      <c r="CV198" s="22"/>
      <c r="CW198" s="22"/>
      <c r="CX198" s="22"/>
      <c r="CY198" s="22"/>
      <c r="CZ198" s="22"/>
      <c r="DA198" s="22">
        <v>1</v>
      </c>
      <c r="DB198" s="22"/>
      <c r="DC198" s="22"/>
      <c r="DD198" s="22"/>
      <c r="DE198" s="22"/>
      <c r="DF198" s="22"/>
      <c r="DG198" s="22">
        <v>27</v>
      </c>
      <c r="DH198" s="22"/>
      <c r="DI198" s="22"/>
      <c r="DJ198" s="22"/>
      <c r="DK198" s="22"/>
      <c r="DL198" s="22">
        <v>1</v>
      </c>
      <c r="DM198" s="22">
        <v>46</v>
      </c>
      <c r="DN198" s="22">
        <v>2</v>
      </c>
      <c r="DO198" s="22"/>
      <c r="DP198" s="22">
        <v>2</v>
      </c>
      <c r="DQ198" s="22">
        <v>2</v>
      </c>
      <c r="DR198" s="22"/>
      <c r="DS198" s="22">
        <v>2</v>
      </c>
      <c r="DT198" s="22"/>
      <c r="DU198" s="22"/>
      <c r="DV198" s="22">
        <v>1</v>
      </c>
      <c r="DW198" s="22"/>
      <c r="DX198" s="22"/>
      <c r="DY198" s="22"/>
      <c r="DZ198" s="22"/>
      <c r="EA198" s="22"/>
      <c r="EB198" s="22"/>
      <c r="EC198" s="22"/>
      <c r="ED198" s="22"/>
      <c r="EE198" s="22"/>
      <c r="EF198" s="22"/>
      <c r="EG198" s="22"/>
      <c r="EH198" s="22"/>
      <c r="EI198" s="22"/>
      <c r="EJ198" s="22">
        <v>33</v>
      </c>
      <c r="EK198" s="22"/>
      <c r="EL198" s="22"/>
      <c r="EM198" s="22"/>
      <c r="EN198" s="22"/>
      <c r="EO198" s="22"/>
      <c r="EP198" s="22"/>
      <c r="EQ198" s="22"/>
      <c r="ER198" s="22"/>
      <c r="ES198" s="22"/>
      <c r="ET198" s="22"/>
      <c r="EU198" s="22"/>
      <c r="EV198" s="22"/>
      <c r="EW198" s="22"/>
      <c r="EX198" s="22"/>
      <c r="EY198" s="22"/>
      <c r="EZ198" s="22">
        <v>2</v>
      </c>
      <c r="FA198" s="22">
        <v>26</v>
      </c>
      <c r="FB198" s="22">
        <v>31</v>
      </c>
      <c r="FC198" s="22">
        <v>1</v>
      </c>
      <c r="FD198" s="22"/>
      <c r="FE198" s="22">
        <v>2</v>
      </c>
      <c r="FF198" s="22">
        <v>6</v>
      </c>
      <c r="FG198" s="22"/>
      <c r="FH198" s="22"/>
      <c r="FI198" s="22"/>
      <c r="FJ198" s="22"/>
      <c r="FK198" s="22"/>
      <c r="FL198" s="22"/>
      <c r="FM198" s="22"/>
      <c r="FN198" s="22"/>
      <c r="FO198" s="22"/>
      <c r="FP198" s="22"/>
      <c r="FQ198" s="22"/>
      <c r="FR198" s="22">
        <v>55</v>
      </c>
      <c r="FS198" s="22">
        <v>266</v>
      </c>
      <c r="FT198" s="22"/>
      <c r="FU198" s="22">
        <v>23</v>
      </c>
      <c r="FV198" s="22"/>
      <c r="FW198" s="22">
        <v>2</v>
      </c>
      <c r="FZ198" s="22"/>
      <c r="GA198" s="22"/>
      <c r="GB198" s="22"/>
      <c r="GC198" s="22"/>
      <c r="GD198" s="22"/>
      <c r="GE198" s="22"/>
      <c r="GF198" s="22"/>
      <c r="GG198" s="22"/>
      <c r="GH198" s="3">
        <f t="shared" si="103"/>
        <v>40</v>
      </c>
      <c r="GI198" s="3">
        <f t="shared" si="104"/>
        <v>30</v>
      </c>
      <c r="GJ198" s="3">
        <f t="shared" si="105"/>
        <v>18</v>
      </c>
      <c r="GK198" s="3">
        <f t="shared" si="106"/>
        <v>652</v>
      </c>
      <c r="GL198" s="3">
        <f t="shared" si="107"/>
        <v>875</v>
      </c>
      <c r="GM198" s="3">
        <f t="shared" si="108"/>
        <v>223</v>
      </c>
    </row>
    <row r="199" spans="1:217" ht="16" x14ac:dyDescent="0.2">
      <c r="A199" s="27">
        <v>43536</v>
      </c>
      <c r="B199" s="39" t="s">
        <v>473</v>
      </c>
      <c r="C199" s="16">
        <f t="shared" si="102"/>
        <v>185</v>
      </c>
      <c r="D199" s="28">
        <v>21.3962</v>
      </c>
      <c r="E199" s="28">
        <v>-157.72030599999999</v>
      </c>
      <c r="F199" s="39" t="s">
        <v>418</v>
      </c>
      <c r="G199" s="40">
        <v>0.39305555555555555</v>
      </c>
      <c r="H199" s="40">
        <v>0.4375</v>
      </c>
      <c r="I199" s="39">
        <v>5</v>
      </c>
      <c r="J199" s="39">
        <v>10</v>
      </c>
      <c r="K199" s="39" t="s">
        <v>217</v>
      </c>
      <c r="L199" s="39">
        <v>6</v>
      </c>
      <c r="M199" s="39">
        <v>20</v>
      </c>
      <c r="N199" s="39" t="s">
        <v>541</v>
      </c>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v>8</v>
      </c>
      <c r="BD199" s="39"/>
      <c r="BE199" s="39">
        <v>6</v>
      </c>
      <c r="BF199" s="39"/>
      <c r="BG199" s="39"/>
      <c r="BH199" s="39"/>
      <c r="BI199" s="39"/>
      <c r="BJ199" s="39"/>
      <c r="BK199" s="39"/>
      <c r="BL199" s="39"/>
      <c r="BM199" s="39"/>
      <c r="BN199" s="39"/>
      <c r="BO199" s="39"/>
      <c r="BP199" s="39"/>
      <c r="BQ199" s="39"/>
      <c r="BR199" s="39"/>
      <c r="BS199" s="39"/>
      <c r="BT199" s="39"/>
      <c r="BU199" s="39"/>
      <c r="BV199" s="39">
        <v>4</v>
      </c>
      <c r="BW199" s="39"/>
      <c r="BX199" s="39"/>
      <c r="BY199" s="39"/>
      <c r="BZ199" s="39"/>
      <c r="CA199" s="39"/>
      <c r="CB199" s="39"/>
      <c r="CC199" s="39"/>
      <c r="CD199" s="39"/>
      <c r="CE199" s="39"/>
      <c r="CF199" s="39"/>
      <c r="CG199" s="39"/>
      <c r="CH199" s="39"/>
      <c r="CI199" s="39"/>
      <c r="CJ199" s="39"/>
      <c r="CK199" s="39"/>
      <c r="CL199" s="39"/>
      <c r="CM199" s="39"/>
      <c r="CN199" s="39"/>
      <c r="CO199" s="39"/>
      <c r="CP199" s="39"/>
      <c r="CQ199" s="39"/>
      <c r="CR199" s="39"/>
      <c r="CS199" s="39">
        <v>1</v>
      </c>
      <c r="CT199" s="39"/>
      <c r="CU199" s="39"/>
      <c r="CV199" s="39">
        <v>1</v>
      </c>
      <c r="CW199" s="39"/>
      <c r="CX199" s="39"/>
      <c r="CY199" s="39"/>
      <c r="CZ199" s="39"/>
      <c r="DA199" s="39"/>
      <c r="DB199" s="39"/>
      <c r="DC199" s="39"/>
      <c r="DD199" s="39"/>
      <c r="DE199" s="39"/>
      <c r="DF199" s="39"/>
      <c r="DG199" s="39"/>
      <c r="DH199" s="39"/>
      <c r="DI199" s="39"/>
      <c r="DJ199" s="39"/>
      <c r="DK199" s="39"/>
      <c r="DL199" s="39"/>
      <c r="DM199" s="39"/>
      <c r="DN199" s="39"/>
      <c r="DO199" s="39"/>
      <c r="DP199" s="39"/>
      <c r="DQ199" s="39"/>
      <c r="DR199" s="39"/>
      <c r="DS199" s="39"/>
      <c r="DT199" s="39"/>
      <c r="DU199" s="39"/>
      <c r="DV199" s="39">
        <v>3</v>
      </c>
      <c r="DW199" s="39"/>
      <c r="DX199" s="39"/>
      <c r="DY199" s="39"/>
      <c r="DZ199" s="39"/>
      <c r="EA199" s="39"/>
      <c r="EB199" s="39"/>
      <c r="EC199" s="39"/>
      <c r="ED199" s="39"/>
      <c r="EE199" s="39"/>
      <c r="EF199" s="39"/>
      <c r="EG199" s="39"/>
      <c r="EH199" s="39"/>
      <c r="EI199" s="39"/>
      <c r="EJ199" s="39"/>
      <c r="EK199" s="39"/>
      <c r="EL199" s="39"/>
      <c r="EM199" s="39"/>
      <c r="EN199" s="39"/>
      <c r="EO199" s="39"/>
      <c r="EP199" s="39"/>
      <c r="EQ199" s="39"/>
      <c r="ER199" s="39"/>
      <c r="ES199" s="39"/>
      <c r="ET199" s="39"/>
      <c r="EU199" s="39"/>
      <c r="EV199" s="39"/>
      <c r="EW199" s="39"/>
      <c r="EX199" s="39"/>
      <c r="EY199" s="39"/>
      <c r="EZ199" s="39"/>
      <c r="FA199" s="39"/>
      <c r="FB199" s="39"/>
      <c r="FC199" s="39"/>
      <c r="FD199" s="39"/>
      <c r="FE199" s="39"/>
      <c r="FF199" s="39"/>
      <c r="FG199" s="39"/>
      <c r="FH199" s="39"/>
      <c r="FI199" s="39"/>
      <c r="FJ199" s="39"/>
      <c r="FK199" s="39"/>
      <c r="FL199" s="39"/>
      <c r="FM199" s="39"/>
      <c r="FN199" s="39"/>
      <c r="FO199" s="39"/>
      <c r="FP199" s="39"/>
      <c r="FQ199" s="39"/>
      <c r="FR199" s="39"/>
      <c r="FS199" s="39">
        <v>218</v>
      </c>
      <c r="FT199" s="39"/>
      <c r="FU199" s="39"/>
      <c r="FV199" s="39"/>
      <c r="FW199" s="39"/>
      <c r="FX199" s="28"/>
      <c r="FY199" s="28"/>
      <c r="FZ199" s="39"/>
      <c r="GA199" s="39"/>
      <c r="GB199" s="39"/>
      <c r="GC199" s="39"/>
      <c r="GD199" s="39"/>
      <c r="GE199" s="39"/>
      <c r="GF199" s="39"/>
      <c r="GG199" s="39"/>
      <c r="GH199" s="28"/>
      <c r="GI199" s="28"/>
      <c r="GJ199" s="28"/>
      <c r="GK199" s="28"/>
      <c r="GL199" s="28"/>
      <c r="GM199" s="28"/>
      <c r="GN199" s="28"/>
      <c r="GO199" s="28"/>
      <c r="GP199" s="28"/>
      <c r="GQ199" s="28"/>
      <c r="GR199" s="28"/>
      <c r="GS199" s="28"/>
      <c r="GT199" s="28"/>
      <c r="GU199" s="28"/>
      <c r="GV199" s="28"/>
      <c r="GW199" s="28"/>
      <c r="GX199" s="28"/>
      <c r="GY199" s="28"/>
      <c r="GZ199" s="28"/>
      <c r="HA199" s="28"/>
      <c r="HB199" s="28"/>
      <c r="HC199" s="28"/>
      <c r="HD199" s="28"/>
      <c r="HE199" s="28"/>
      <c r="HF199" s="28"/>
      <c r="HG199" s="28"/>
      <c r="HH199" s="28"/>
      <c r="HI199" s="28"/>
    </row>
    <row r="200" spans="1:217" ht="16" x14ac:dyDescent="0.2">
      <c r="A200" s="24">
        <v>43556</v>
      </c>
      <c r="B200" s="41" t="s">
        <v>456</v>
      </c>
      <c r="C200" s="16">
        <f t="shared" si="102"/>
        <v>186</v>
      </c>
      <c r="D200" s="25">
        <v>21.316488</v>
      </c>
      <c r="E200" s="25">
        <v>-157.66426100000001</v>
      </c>
      <c r="F200" s="41" t="s">
        <v>418</v>
      </c>
      <c r="G200" s="42">
        <v>0.36458333333333331</v>
      </c>
      <c r="H200" s="42">
        <v>0.45833333333333331</v>
      </c>
      <c r="I200" s="41">
        <v>7</v>
      </c>
      <c r="J200" s="41">
        <v>15</v>
      </c>
      <c r="K200" s="41" t="s">
        <v>318</v>
      </c>
      <c r="L200" s="41">
        <v>5</v>
      </c>
      <c r="M200" s="41">
        <v>28</v>
      </c>
      <c r="N200" s="41" t="s">
        <v>457</v>
      </c>
      <c r="O200" s="41"/>
      <c r="P200" s="41"/>
      <c r="Q200" s="41"/>
      <c r="R200" s="41"/>
      <c r="S200" s="41"/>
      <c r="T200" s="41"/>
      <c r="U200" s="41"/>
      <c r="V200" s="41"/>
      <c r="W200" s="41"/>
      <c r="X200" s="41"/>
      <c r="Y200" s="41"/>
      <c r="Z200" s="41"/>
      <c r="AA200" s="41"/>
      <c r="AB200" s="41">
        <v>2</v>
      </c>
      <c r="AC200" s="41"/>
      <c r="AD200" s="41"/>
      <c r="AE200" s="41"/>
      <c r="AF200" s="41"/>
      <c r="AG200" s="41"/>
      <c r="AH200" s="41"/>
      <c r="AI200" s="41"/>
      <c r="AJ200" s="41"/>
      <c r="AK200" s="41"/>
      <c r="AL200" s="41"/>
      <c r="AM200" s="41">
        <v>4</v>
      </c>
      <c r="AN200" s="41">
        <v>1</v>
      </c>
      <c r="AO200" s="41"/>
      <c r="AP200" s="41"/>
      <c r="AQ200" s="41"/>
      <c r="AR200" s="41"/>
      <c r="AS200" s="41"/>
      <c r="AT200" s="41"/>
      <c r="AU200" s="41"/>
      <c r="AV200" s="41"/>
      <c r="AW200" s="41"/>
      <c r="AX200" s="41"/>
      <c r="AY200" s="41">
        <v>1</v>
      </c>
      <c r="AZ200" s="41"/>
      <c r="BA200" s="41"/>
      <c r="BB200" s="41"/>
      <c r="BC200" s="41"/>
      <c r="BD200" s="41"/>
      <c r="BE200" s="41"/>
      <c r="BF200" s="41">
        <v>2</v>
      </c>
      <c r="BG200" s="41"/>
      <c r="BH200" s="41"/>
      <c r="BI200" s="41"/>
      <c r="BJ200" s="41"/>
      <c r="BK200" s="41"/>
      <c r="BL200" s="41"/>
      <c r="BM200" s="41">
        <v>44</v>
      </c>
      <c r="BN200" s="41"/>
      <c r="BO200" s="41"/>
      <c r="BP200" s="41"/>
      <c r="BQ200" s="41"/>
      <c r="BR200" s="41"/>
      <c r="BS200" s="41"/>
      <c r="BT200" s="41"/>
      <c r="BU200" s="41"/>
      <c r="BV200" s="41"/>
      <c r="BW200" s="41"/>
      <c r="BX200" s="41"/>
      <c r="BY200" s="41">
        <v>1</v>
      </c>
      <c r="BZ200" s="41"/>
      <c r="CA200" s="41"/>
      <c r="CB200" s="41"/>
      <c r="CC200" s="41">
        <v>1</v>
      </c>
      <c r="CD200" s="41">
        <v>2</v>
      </c>
      <c r="CE200" s="41">
        <v>1</v>
      </c>
      <c r="CF200" s="41">
        <v>1</v>
      </c>
      <c r="CG200" s="41"/>
      <c r="CH200" s="41"/>
      <c r="CI200" s="41"/>
      <c r="CJ200" s="41"/>
      <c r="CK200" s="41"/>
      <c r="CL200" s="41"/>
      <c r="CM200" s="41"/>
      <c r="CN200" s="41"/>
      <c r="CO200" s="41"/>
      <c r="CP200" s="41"/>
      <c r="CQ200" s="41"/>
      <c r="CR200" s="41"/>
      <c r="CS200" s="41"/>
      <c r="CT200" s="41"/>
      <c r="CU200" s="41"/>
      <c r="CV200" s="41">
        <v>1</v>
      </c>
      <c r="CW200" s="41"/>
      <c r="CX200" s="41"/>
      <c r="CY200" s="41"/>
      <c r="CZ200" s="41"/>
      <c r="DA200" s="41"/>
      <c r="DB200" s="41"/>
      <c r="DC200" s="41"/>
      <c r="DD200" s="41"/>
      <c r="DE200" s="41"/>
      <c r="DF200" s="41"/>
      <c r="DG200" s="41">
        <v>1</v>
      </c>
      <c r="DH200" s="41">
        <v>1</v>
      </c>
      <c r="DI200" s="41"/>
      <c r="DJ200" s="41"/>
      <c r="DK200" s="41"/>
      <c r="DL200" s="41"/>
      <c r="DM200" s="41"/>
      <c r="DN200" s="41"/>
      <c r="DO200" s="41"/>
      <c r="DP200" s="41"/>
      <c r="DQ200" s="41"/>
      <c r="DR200" s="41"/>
      <c r="DS200" s="41">
        <v>2</v>
      </c>
      <c r="DT200" s="41"/>
      <c r="DU200" s="41"/>
      <c r="DV200" s="41"/>
      <c r="DW200" s="41"/>
      <c r="DX200" s="41"/>
      <c r="DY200" s="41"/>
      <c r="DZ200" s="41"/>
      <c r="EA200" s="41"/>
      <c r="EB200" s="41">
        <v>1</v>
      </c>
      <c r="EC200" s="41"/>
      <c r="ED200" s="41"/>
      <c r="EE200" s="41"/>
      <c r="EF200" s="41"/>
      <c r="EG200" s="41"/>
      <c r="EH200" s="41"/>
      <c r="EI200" s="41"/>
      <c r="EJ200" s="41">
        <v>37</v>
      </c>
      <c r="EK200" s="41"/>
      <c r="EL200" s="41"/>
      <c r="EM200" s="41"/>
      <c r="EN200" s="41"/>
      <c r="EO200" s="41"/>
      <c r="EP200" s="41"/>
      <c r="EQ200" s="41"/>
      <c r="ER200" s="41"/>
      <c r="ES200" s="41"/>
      <c r="ET200" s="41"/>
      <c r="EU200" s="41"/>
      <c r="EV200" s="41">
        <v>1</v>
      </c>
      <c r="EW200" s="41"/>
      <c r="EX200" s="41"/>
      <c r="EY200" s="41"/>
      <c r="EZ200" s="41"/>
      <c r="FA200" s="41"/>
      <c r="FB200" s="41"/>
      <c r="FC200" s="41"/>
      <c r="FD200" s="41"/>
      <c r="FE200" s="41"/>
      <c r="FF200" s="41"/>
      <c r="FG200" s="41"/>
      <c r="FH200" s="41"/>
      <c r="FI200" s="41"/>
      <c r="FJ200" s="41"/>
      <c r="FK200" s="41"/>
      <c r="FL200" s="41"/>
      <c r="FM200" s="41"/>
      <c r="FN200" s="41"/>
      <c r="FO200" s="41"/>
      <c r="FP200" s="41"/>
      <c r="FQ200" s="41"/>
      <c r="FR200" s="41"/>
      <c r="FS200" s="41">
        <v>106</v>
      </c>
      <c r="FT200" s="41"/>
      <c r="FU200" s="41"/>
      <c r="FV200" s="41"/>
      <c r="FW200" s="41"/>
      <c r="FX200" s="25"/>
      <c r="FY200" s="25"/>
      <c r="FZ200" s="41"/>
      <c r="GA200" s="41"/>
      <c r="GB200" s="41"/>
      <c r="GC200" s="41"/>
      <c r="GD200" s="41"/>
      <c r="GE200" s="41"/>
      <c r="GF200" s="41"/>
      <c r="GG200" s="41"/>
      <c r="GH200" s="25">
        <f t="shared" ref="GH200:GH201" si="109">COUNT(R200:GG200)</f>
        <v>19</v>
      </c>
      <c r="GI200" s="25">
        <f t="shared" ref="GI200:GI201" si="110">COUNTIF(R200:GG200,"&gt;=2")</f>
        <v>8</v>
      </c>
      <c r="GJ200" s="25">
        <f t="shared" ref="GJ200:GJ201" si="111">COUNTIF(R200:GG200,"&gt;=5")</f>
        <v>3</v>
      </c>
      <c r="GK200" s="25">
        <f t="shared" ref="GK200:GK201" si="112">SUM(R200:GG200)</f>
        <v>210</v>
      </c>
      <c r="GL200" s="25">
        <f t="shared" ref="GL200:GL201" si="113">25*P200</f>
        <v>0</v>
      </c>
      <c r="GM200" s="25">
        <f t="shared" ref="GM200:GM201" si="114">GL200-GK200</f>
        <v>-210</v>
      </c>
      <c r="GN200" s="25"/>
      <c r="GO200" s="25"/>
      <c r="GP200" s="25"/>
      <c r="GQ200" s="25"/>
      <c r="GR200" s="25"/>
      <c r="GS200" s="25"/>
      <c r="GT200" s="25"/>
      <c r="GU200" s="25"/>
      <c r="GV200" s="25"/>
      <c r="GW200" s="25"/>
      <c r="GX200" s="25"/>
      <c r="GY200" s="25"/>
      <c r="GZ200" s="25"/>
      <c r="HA200" s="25"/>
      <c r="HB200" s="25"/>
      <c r="HC200" s="25"/>
      <c r="HD200" s="25"/>
      <c r="HE200" s="25"/>
      <c r="HF200" s="25"/>
      <c r="HG200" s="25"/>
      <c r="HH200" s="25"/>
      <c r="HI200" s="25"/>
    </row>
    <row r="201" spans="1:217" ht="13" x14ac:dyDescent="0.15">
      <c r="A201" s="24">
        <v>43557</v>
      </c>
      <c r="B201" s="25" t="s">
        <v>456</v>
      </c>
      <c r="C201" s="16">
        <f t="shared" si="102"/>
        <v>187</v>
      </c>
      <c r="D201" s="25">
        <v>21.316488</v>
      </c>
      <c r="E201" s="25">
        <v>-157.66426100000001</v>
      </c>
      <c r="F201" s="25" t="s">
        <v>418</v>
      </c>
      <c r="G201" s="26">
        <v>0.36458333333333331</v>
      </c>
      <c r="H201" s="26">
        <v>0.46875</v>
      </c>
      <c r="I201" s="25">
        <v>7</v>
      </c>
      <c r="J201" s="25">
        <v>10</v>
      </c>
      <c r="K201" s="25" t="s">
        <v>318</v>
      </c>
      <c r="L201" s="25">
        <v>5</v>
      </c>
      <c r="M201" s="25">
        <v>31</v>
      </c>
      <c r="N201" s="25" t="s">
        <v>462</v>
      </c>
      <c r="O201" s="25" t="s">
        <v>463</v>
      </c>
      <c r="P201" s="25">
        <v>27</v>
      </c>
      <c r="Q201" s="25"/>
      <c r="R201" s="25"/>
      <c r="S201" s="25"/>
      <c r="T201" s="25"/>
      <c r="U201" s="25"/>
      <c r="V201" s="25"/>
      <c r="W201" s="25"/>
      <c r="X201" s="25">
        <v>10</v>
      </c>
      <c r="Y201" s="25"/>
      <c r="Z201" s="25"/>
      <c r="AA201" s="25"/>
      <c r="AB201" s="25">
        <v>11</v>
      </c>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v>2</v>
      </c>
      <c r="BG201" s="25"/>
      <c r="BH201" s="25"/>
      <c r="BI201" s="25"/>
      <c r="BJ201" s="25"/>
      <c r="BK201" s="25"/>
      <c r="BL201" s="25">
        <v>1</v>
      </c>
      <c r="BM201" s="25">
        <v>20</v>
      </c>
      <c r="BN201" s="25"/>
      <c r="BO201" s="25"/>
      <c r="BP201" s="25"/>
      <c r="BQ201" s="25">
        <v>3</v>
      </c>
      <c r="BR201" s="25"/>
      <c r="BS201" s="25"/>
      <c r="BT201" s="25"/>
      <c r="BU201" s="25">
        <v>3</v>
      </c>
      <c r="BV201" s="25"/>
      <c r="BW201" s="25"/>
      <c r="BX201" s="25"/>
      <c r="BY201" s="25">
        <v>1</v>
      </c>
      <c r="BZ201" s="25"/>
      <c r="CA201" s="25"/>
      <c r="CB201" s="25"/>
      <c r="CC201" s="25"/>
      <c r="CD201" s="25"/>
      <c r="CE201" s="25"/>
      <c r="CF201" s="25"/>
      <c r="CG201" s="25"/>
      <c r="CH201" s="25"/>
      <c r="CI201" s="25"/>
      <c r="CJ201" s="25"/>
      <c r="CK201" s="25"/>
      <c r="CL201" s="25"/>
      <c r="CM201" s="25"/>
      <c r="CN201" s="25"/>
      <c r="CO201" s="25">
        <v>6</v>
      </c>
      <c r="CP201" s="25"/>
      <c r="CQ201" s="25"/>
      <c r="CR201" s="25"/>
      <c r="CS201" s="25"/>
      <c r="CT201" s="25"/>
      <c r="CU201" s="25"/>
      <c r="CV201" s="25"/>
      <c r="CW201" s="25"/>
      <c r="CX201" s="25"/>
      <c r="CY201" s="25"/>
      <c r="CZ201" s="25"/>
      <c r="DA201" s="25"/>
      <c r="DB201" s="25"/>
      <c r="DC201" s="25"/>
      <c r="DD201" s="25"/>
      <c r="DE201" s="25"/>
      <c r="DF201" s="25"/>
      <c r="DG201" s="25">
        <v>1</v>
      </c>
      <c r="DH201" s="25"/>
      <c r="DI201" s="25"/>
      <c r="DJ201" s="25">
        <v>1</v>
      </c>
      <c r="DK201" s="25"/>
      <c r="DL201" s="25"/>
      <c r="DM201" s="25"/>
      <c r="DN201" s="25"/>
      <c r="DO201" s="25">
        <v>3</v>
      </c>
      <c r="DP201" s="25"/>
      <c r="DQ201" s="25"/>
      <c r="DR201" s="25"/>
      <c r="DS201" s="25">
        <v>7</v>
      </c>
      <c r="DT201" s="25"/>
      <c r="DU201" s="25"/>
      <c r="DV201" s="25"/>
      <c r="DW201" s="25"/>
      <c r="DX201" s="25"/>
      <c r="DY201" s="25"/>
      <c r="DZ201" s="25"/>
      <c r="EA201" s="25"/>
      <c r="EB201" s="25">
        <v>2</v>
      </c>
      <c r="EC201" s="25"/>
      <c r="ED201" s="25"/>
      <c r="EE201" s="25"/>
      <c r="EF201" s="25"/>
      <c r="EG201" s="25"/>
      <c r="EH201" s="25"/>
      <c r="EI201" s="25"/>
      <c r="EJ201" s="25">
        <v>37</v>
      </c>
      <c r="EK201" s="25">
        <v>3</v>
      </c>
      <c r="EL201" s="25"/>
      <c r="EM201" s="25"/>
      <c r="EN201" s="25"/>
      <c r="EO201" s="25"/>
      <c r="EP201" s="25"/>
      <c r="EQ201" s="25"/>
      <c r="ER201" s="25"/>
      <c r="ES201" s="25"/>
      <c r="ET201" s="25"/>
      <c r="EU201" s="25"/>
      <c r="EV201" s="25"/>
      <c r="EW201" s="25"/>
      <c r="EX201" s="25"/>
      <c r="EY201" s="25"/>
      <c r="EZ201" s="25"/>
      <c r="FA201" s="25">
        <v>2</v>
      </c>
      <c r="FB201" s="25"/>
      <c r="FC201" s="25"/>
      <c r="FD201" s="25"/>
      <c r="FE201" s="25"/>
      <c r="FF201" s="25">
        <v>36</v>
      </c>
      <c r="FG201" s="25"/>
      <c r="FH201" s="25"/>
      <c r="FI201" s="25"/>
      <c r="FJ201" s="25"/>
      <c r="FK201" s="25"/>
      <c r="FL201" s="25"/>
      <c r="FM201" s="25"/>
      <c r="FN201" s="25"/>
      <c r="FO201" s="25"/>
      <c r="FP201" s="25"/>
      <c r="FQ201" s="25"/>
      <c r="FR201" s="25"/>
      <c r="FS201" s="25">
        <v>254</v>
      </c>
      <c r="FT201" s="25"/>
      <c r="FU201" s="25"/>
      <c r="FV201" s="25"/>
      <c r="FW201" s="25"/>
      <c r="FX201" s="25"/>
      <c r="FY201" s="25"/>
      <c r="FZ201" s="25"/>
      <c r="GA201" s="25"/>
      <c r="GB201" s="25"/>
      <c r="GC201" s="25"/>
      <c r="GD201" s="25"/>
      <c r="GE201" s="25"/>
      <c r="GF201" s="25">
        <v>3</v>
      </c>
      <c r="GG201" s="25"/>
      <c r="GH201" s="25">
        <f t="shared" si="109"/>
        <v>20</v>
      </c>
      <c r="GI201" s="25">
        <f t="shared" si="110"/>
        <v>16</v>
      </c>
      <c r="GJ201" s="25">
        <f t="shared" si="111"/>
        <v>8</v>
      </c>
      <c r="GK201" s="25">
        <f t="shared" si="112"/>
        <v>406</v>
      </c>
      <c r="GL201" s="25">
        <f t="shared" si="113"/>
        <v>675</v>
      </c>
      <c r="GM201" s="25">
        <f t="shared" si="114"/>
        <v>269</v>
      </c>
      <c r="GN201" s="25"/>
      <c r="GO201" s="25"/>
      <c r="GP201" s="25"/>
      <c r="GQ201" s="25"/>
      <c r="GR201" s="25"/>
      <c r="GS201" s="25"/>
      <c r="GT201" s="25"/>
      <c r="GU201" s="25"/>
      <c r="GV201" s="25"/>
      <c r="GW201" s="25"/>
      <c r="GX201" s="25"/>
      <c r="GY201" s="25"/>
      <c r="GZ201" s="25"/>
      <c r="HA201" s="25"/>
      <c r="HB201" s="25"/>
      <c r="HC201" s="25"/>
      <c r="HD201" s="25"/>
      <c r="HE201" s="25"/>
      <c r="HF201" s="25"/>
      <c r="HG201" s="25"/>
      <c r="HH201" s="25"/>
      <c r="HI201" s="25"/>
    </row>
    <row r="202" spans="1:217" ht="13" x14ac:dyDescent="0.15">
      <c r="A202" s="19">
        <v>43557</v>
      </c>
      <c r="B202" s="20" t="s">
        <v>499</v>
      </c>
      <c r="C202" s="16"/>
      <c r="D202" s="20"/>
      <c r="E202" s="20"/>
      <c r="F202" s="20"/>
      <c r="G202" s="21"/>
      <c r="H202" s="21"/>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c r="DU202" s="20"/>
      <c r="DV202" s="20"/>
      <c r="DW202" s="20"/>
      <c r="DX202" s="20"/>
      <c r="DY202" s="20"/>
      <c r="DZ202" s="20"/>
      <c r="EA202" s="20"/>
      <c r="EB202" s="20"/>
      <c r="EC202" s="20"/>
      <c r="ED202" s="20"/>
      <c r="EE202" s="20"/>
      <c r="EF202" s="20"/>
      <c r="EG202" s="20"/>
      <c r="EH202" s="20"/>
      <c r="EI202" s="20"/>
      <c r="EJ202" s="20"/>
      <c r="EK202" s="20"/>
      <c r="EL202" s="20"/>
      <c r="EM202" s="20"/>
      <c r="EN202" s="20"/>
      <c r="EO202" s="20"/>
      <c r="EP202" s="20"/>
      <c r="EQ202" s="20"/>
      <c r="ER202" s="20"/>
      <c r="ES202" s="20"/>
      <c r="ET202" s="20"/>
      <c r="EU202" s="20"/>
      <c r="EV202" s="20"/>
      <c r="EW202" s="20"/>
      <c r="EX202" s="20"/>
      <c r="EY202" s="20"/>
      <c r="EZ202" s="20"/>
      <c r="FA202" s="20"/>
      <c r="FB202" s="20"/>
      <c r="FC202" s="20"/>
      <c r="FD202" s="20"/>
      <c r="FE202" s="20"/>
      <c r="FF202" s="20"/>
      <c r="FG202" s="20"/>
      <c r="FH202" s="20"/>
      <c r="FI202" s="20"/>
      <c r="FJ202" s="20"/>
      <c r="FK202" s="20"/>
      <c r="FL202" s="20"/>
      <c r="FM202" s="20"/>
      <c r="FN202" s="20"/>
      <c r="FO202" s="20"/>
      <c r="FP202" s="20"/>
      <c r="FQ202" s="20"/>
      <c r="FR202" s="20"/>
      <c r="FS202" s="20"/>
      <c r="FT202" s="20"/>
      <c r="FU202" s="20"/>
      <c r="FV202" s="20"/>
      <c r="FW202" s="20"/>
      <c r="FX202" s="20"/>
      <c r="FY202" s="20"/>
      <c r="FZ202" s="20"/>
      <c r="GA202" s="20"/>
      <c r="GB202" s="20"/>
      <c r="GC202" s="20"/>
      <c r="GD202" s="20"/>
      <c r="GE202" s="20"/>
      <c r="GF202" s="20"/>
      <c r="GG202" s="20"/>
      <c r="GH202" s="20"/>
      <c r="GI202" s="20"/>
      <c r="GJ202" s="20"/>
      <c r="GK202" s="20"/>
      <c r="GL202" s="20"/>
      <c r="GM202" s="20"/>
      <c r="GN202" s="20"/>
      <c r="GO202" s="20"/>
      <c r="GP202" s="20"/>
      <c r="GQ202" s="20"/>
      <c r="GR202" s="20"/>
      <c r="GS202" s="20"/>
      <c r="GT202" s="20"/>
      <c r="GU202" s="20"/>
      <c r="GV202" s="20"/>
      <c r="GW202" s="20"/>
      <c r="GX202" s="20"/>
      <c r="GY202" s="20"/>
      <c r="GZ202" s="20"/>
      <c r="HA202" s="20"/>
      <c r="HB202" s="20"/>
      <c r="HC202" s="20"/>
      <c r="HD202" s="20"/>
      <c r="HE202" s="20"/>
      <c r="HF202" s="20"/>
      <c r="HG202" s="20"/>
      <c r="HH202" s="20"/>
      <c r="HI202" s="20"/>
    </row>
    <row r="203" spans="1:217" ht="13" x14ac:dyDescent="0.15">
      <c r="A203" s="13">
        <v>43558</v>
      </c>
      <c r="B203" s="3" t="s">
        <v>456</v>
      </c>
      <c r="C203" s="16">
        <v>188</v>
      </c>
      <c r="D203" s="3">
        <v>21.316488</v>
      </c>
      <c r="E203" s="3">
        <v>-157.66426100000001</v>
      </c>
      <c r="F203" s="3" t="s">
        <v>418</v>
      </c>
      <c r="G203" s="14">
        <v>0.375</v>
      </c>
      <c r="H203" s="14">
        <v>0.45833333333333331</v>
      </c>
      <c r="I203" s="3">
        <v>5</v>
      </c>
      <c r="J203" s="3">
        <v>10</v>
      </c>
      <c r="K203" s="3" t="s">
        <v>318</v>
      </c>
      <c r="L203" s="3">
        <v>5</v>
      </c>
      <c r="M203" s="3">
        <v>22</v>
      </c>
      <c r="N203" s="3" t="s">
        <v>464</v>
      </c>
      <c r="P203" s="3">
        <v>22</v>
      </c>
      <c r="T203" s="3">
        <v>2</v>
      </c>
      <c r="AJ203" s="3"/>
      <c r="AK203" s="3"/>
      <c r="AL203" s="3"/>
      <c r="AM203" s="3">
        <v>23</v>
      </c>
      <c r="AZ203" s="3">
        <v>13</v>
      </c>
      <c r="BA203" s="3"/>
      <c r="BB203" s="3">
        <v>10</v>
      </c>
      <c r="BF203" s="3">
        <v>6</v>
      </c>
      <c r="BM203" s="3">
        <v>42</v>
      </c>
      <c r="CC203" s="3">
        <v>1</v>
      </c>
      <c r="CN203" s="3"/>
      <c r="CO203" s="3">
        <v>6</v>
      </c>
      <c r="CV203" s="3">
        <v>7</v>
      </c>
      <c r="DI203" s="3">
        <v>1</v>
      </c>
      <c r="EE203" s="3"/>
      <c r="EF203" s="3"/>
      <c r="EG203" s="3"/>
      <c r="EH203" s="3"/>
      <c r="EI203" s="3"/>
      <c r="EJ203" s="3">
        <v>39</v>
      </c>
      <c r="EK203" s="3">
        <v>8</v>
      </c>
      <c r="FF203" s="3">
        <v>6</v>
      </c>
      <c r="FS203" s="3">
        <v>110</v>
      </c>
      <c r="GA203" s="3">
        <v>3</v>
      </c>
      <c r="GG203" s="3">
        <v>8</v>
      </c>
      <c r="GH203" s="3">
        <f>COUNT(R203:GG203)</f>
        <v>16</v>
      </c>
      <c r="GI203" s="3">
        <f>COUNTIF(R203:GG203,"&gt;=2")</f>
        <v>14</v>
      </c>
      <c r="GJ203" s="3">
        <f>COUNTIF(R203:GG203,"&gt;=5")</f>
        <v>12</v>
      </c>
      <c r="GK203" s="3">
        <f>SUM(R203:GG203)</f>
        <v>285</v>
      </c>
      <c r="GL203" s="3">
        <f>25*P203</f>
        <v>550</v>
      </c>
      <c r="GM203" s="3">
        <f>GL203-GK203</f>
        <v>265</v>
      </c>
    </row>
    <row r="204" spans="1:217" ht="13" x14ac:dyDescent="0.15">
      <c r="A204" s="27">
        <v>43558</v>
      </c>
      <c r="B204" s="28" t="s">
        <v>216</v>
      </c>
      <c r="C204" s="16">
        <f t="shared" ref="C204:C207" si="115">C203+1</f>
        <v>189</v>
      </c>
      <c r="D204" s="28">
        <v>21.3002</v>
      </c>
      <c r="E204" s="28">
        <v>-157.882599</v>
      </c>
      <c r="F204" s="28" t="s">
        <v>542</v>
      </c>
      <c r="G204" s="29">
        <v>0.39305555555555555</v>
      </c>
      <c r="H204" s="29">
        <v>0.44791666666666669</v>
      </c>
      <c r="I204" s="28">
        <v>6</v>
      </c>
      <c r="J204" s="28">
        <v>18</v>
      </c>
      <c r="K204" s="28" t="s">
        <v>198</v>
      </c>
      <c r="L204" s="28">
        <v>5</v>
      </c>
      <c r="M204" s="28">
        <v>12</v>
      </c>
      <c r="N204" s="28" t="s">
        <v>543</v>
      </c>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v>10</v>
      </c>
      <c r="AO204" s="28"/>
      <c r="AP204" s="28"/>
      <c r="AQ204" s="28"/>
      <c r="AR204" s="28"/>
      <c r="AS204" s="28"/>
      <c r="AT204" s="28"/>
      <c r="AU204" s="28"/>
      <c r="AV204" s="28"/>
      <c r="AW204" s="28"/>
      <c r="AX204" s="28"/>
      <c r="AY204" s="28"/>
      <c r="AZ204" s="28"/>
      <c r="BA204" s="28"/>
      <c r="BB204" s="28"/>
      <c r="BC204" s="28"/>
      <c r="BD204" s="28"/>
      <c r="BE204" s="28">
        <v>1</v>
      </c>
      <c r="BF204" s="28"/>
      <c r="BG204" s="28"/>
      <c r="BH204" s="28"/>
      <c r="BI204" s="28"/>
      <c r="BJ204" s="28"/>
      <c r="BK204" s="28"/>
      <c r="BL204" s="28"/>
      <c r="BM204" s="28">
        <v>3</v>
      </c>
      <c r="BN204" s="28"/>
      <c r="BO204" s="28"/>
      <c r="BP204" s="28"/>
      <c r="BQ204" s="28"/>
      <c r="BR204" s="28"/>
      <c r="BS204" s="28"/>
      <c r="BT204" s="28">
        <v>3</v>
      </c>
      <c r="BU204" s="28">
        <v>2</v>
      </c>
      <c r="BV204" s="28">
        <v>1</v>
      </c>
      <c r="BW204" s="28"/>
      <c r="BX204" s="28"/>
      <c r="BY204" s="28"/>
      <c r="BZ204" s="28"/>
      <c r="CA204" s="28"/>
      <c r="CB204" s="28"/>
      <c r="CC204" s="28"/>
      <c r="CD204" s="28"/>
      <c r="CE204" s="28"/>
      <c r="CF204" s="28"/>
      <c r="CG204" s="28"/>
      <c r="CH204" s="28"/>
      <c r="CI204" s="28"/>
      <c r="CJ204" s="28"/>
      <c r="CK204" s="28"/>
      <c r="CL204" s="28"/>
      <c r="CM204" s="28"/>
      <c r="CN204" s="28"/>
      <c r="CO204" s="28"/>
      <c r="CP204" s="28"/>
      <c r="CQ204" s="28"/>
      <c r="CR204" s="28"/>
      <c r="CS204" s="28"/>
      <c r="CT204" s="28"/>
      <c r="CU204" s="28"/>
      <c r="CV204" s="28"/>
      <c r="CW204" s="28"/>
      <c r="CX204" s="28"/>
      <c r="CY204" s="28"/>
      <c r="CZ204" s="28"/>
      <c r="DA204" s="28"/>
      <c r="DB204" s="28"/>
      <c r="DC204" s="28"/>
      <c r="DD204" s="28"/>
      <c r="DE204" s="28"/>
      <c r="DF204" s="28"/>
      <c r="DG204" s="28"/>
      <c r="DH204" s="28"/>
      <c r="DI204" s="28"/>
      <c r="DJ204" s="28"/>
      <c r="DK204" s="28"/>
      <c r="DL204" s="28"/>
      <c r="DM204" s="28">
        <v>1</v>
      </c>
      <c r="DN204" s="28"/>
      <c r="DO204" s="28"/>
      <c r="DP204" s="28"/>
      <c r="DQ204" s="28"/>
      <c r="DR204" s="28"/>
      <c r="DS204" s="28"/>
      <c r="DT204" s="28"/>
      <c r="DU204" s="28"/>
      <c r="DV204" s="28"/>
      <c r="DW204" s="28"/>
      <c r="DX204" s="28"/>
      <c r="DY204" s="28"/>
      <c r="DZ204" s="28"/>
      <c r="EA204" s="28"/>
      <c r="EB204" s="28"/>
      <c r="EC204" s="28">
        <v>1</v>
      </c>
      <c r="ED204" s="28"/>
      <c r="EE204" s="28"/>
      <c r="EF204" s="28"/>
      <c r="EG204" s="28"/>
      <c r="EH204" s="28"/>
      <c r="EI204" s="28"/>
      <c r="EJ204" s="28">
        <v>3</v>
      </c>
      <c r="EK204" s="28"/>
      <c r="EL204" s="28"/>
      <c r="EM204" s="28"/>
      <c r="EN204" s="28"/>
      <c r="EO204" s="28"/>
      <c r="EP204" s="28"/>
      <c r="EQ204" s="28"/>
      <c r="ER204" s="28"/>
      <c r="ES204" s="28"/>
      <c r="ET204" s="28"/>
      <c r="EU204" s="28"/>
      <c r="EV204" s="28"/>
      <c r="EW204" s="28"/>
      <c r="EX204" s="28"/>
      <c r="EY204" s="28"/>
      <c r="EZ204" s="28"/>
      <c r="FA204" s="28"/>
      <c r="FB204" s="28"/>
      <c r="FC204" s="28"/>
      <c r="FD204" s="28"/>
      <c r="FE204" s="28"/>
      <c r="FF204" s="28"/>
      <c r="FG204" s="28"/>
      <c r="FH204" s="28"/>
      <c r="FI204" s="28"/>
      <c r="FJ204" s="28"/>
      <c r="FK204" s="28"/>
      <c r="FL204" s="28"/>
      <c r="FM204" s="28"/>
      <c r="FN204" s="28"/>
      <c r="FO204" s="28"/>
      <c r="FP204" s="28"/>
      <c r="FQ204" s="28"/>
      <c r="FR204" s="28"/>
      <c r="FS204" s="28">
        <v>6</v>
      </c>
      <c r="FT204" s="28"/>
      <c r="FU204" s="28"/>
      <c r="FV204" s="28"/>
      <c r="FW204" s="28"/>
      <c r="FX204" s="28"/>
      <c r="FY204" s="28"/>
      <c r="FZ204" s="28"/>
      <c r="GA204" s="28"/>
      <c r="GB204" s="28"/>
      <c r="GC204" s="28"/>
      <c r="GD204" s="28"/>
      <c r="GE204" s="28"/>
      <c r="GF204" s="28"/>
      <c r="GG204" s="28"/>
      <c r="GH204" s="28"/>
      <c r="GI204" s="28"/>
      <c r="GJ204" s="28"/>
      <c r="GK204" s="28"/>
      <c r="GL204" s="28"/>
      <c r="GM204" s="28"/>
      <c r="GN204" s="28"/>
      <c r="GO204" s="28"/>
      <c r="GP204" s="28"/>
      <c r="GQ204" s="28"/>
      <c r="GR204" s="28"/>
      <c r="GS204" s="28"/>
      <c r="GT204" s="28"/>
      <c r="GU204" s="28"/>
      <c r="GV204" s="28"/>
      <c r="GW204" s="28"/>
      <c r="GX204" s="28"/>
      <c r="GY204" s="28"/>
      <c r="GZ204" s="28"/>
      <c r="HA204" s="28"/>
      <c r="HB204" s="28"/>
      <c r="HC204" s="28"/>
      <c r="HD204" s="28"/>
      <c r="HE204" s="28"/>
      <c r="HF204" s="28"/>
      <c r="HG204" s="28"/>
      <c r="HH204" s="28"/>
      <c r="HI204" s="28"/>
    </row>
    <row r="205" spans="1:217" ht="13" x14ac:dyDescent="0.15">
      <c r="A205" s="13">
        <v>43559</v>
      </c>
      <c r="B205" s="3" t="s">
        <v>456</v>
      </c>
      <c r="C205" s="16">
        <f t="shared" si="115"/>
        <v>190</v>
      </c>
      <c r="D205" s="3">
        <v>21.316488</v>
      </c>
      <c r="E205" s="3">
        <v>-157.66426100000001</v>
      </c>
      <c r="F205" s="3" t="s">
        <v>418</v>
      </c>
      <c r="G205" s="14">
        <v>0.375</v>
      </c>
      <c r="H205" s="14">
        <v>0.47916666666666669</v>
      </c>
      <c r="I205" s="3">
        <v>5</v>
      </c>
      <c r="J205" s="3">
        <v>10</v>
      </c>
      <c r="K205" s="3" t="s">
        <v>318</v>
      </c>
      <c r="L205" s="3">
        <v>5</v>
      </c>
      <c r="M205" s="3">
        <v>25</v>
      </c>
      <c r="P205" s="3">
        <v>25</v>
      </c>
      <c r="BD205" s="3">
        <v>6</v>
      </c>
      <c r="BI205" s="3"/>
      <c r="BJ205" s="3"/>
      <c r="BK205" s="3">
        <v>1</v>
      </c>
      <c r="BM205" s="3">
        <v>68</v>
      </c>
      <c r="BS205" s="3"/>
      <c r="BT205" s="3">
        <v>1</v>
      </c>
      <c r="BY205" s="3">
        <v>10</v>
      </c>
      <c r="BZ205" s="3">
        <v>23</v>
      </c>
      <c r="CC205" s="3">
        <v>1</v>
      </c>
      <c r="CF205" s="3">
        <v>2</v>
      </c>
      <c r="CN205" s="3"/>
      <c r="CO205" s="3">
        <v>8</v>
      </c>
      <c r="DO205" s="3">
        <v>1</v>
      </c>
      <c r="DR205" s="3"/>
      <c r="DS205" s="3">
        <v>4</v>
      </c>
      <c r="EC205" s="3">
        <v>1</v>
      </c>
      <c r="EE205" s="3"/>
      <c r="EF205" s="3"/>
      <c r="EG205" s="3"/>
      <c r="EH205" s="3"/>
      <c r="EI205" s="3"/>
      <c r="EJ205" s="3">
        <v>45</v>
      </c>
      <c r="EK205" s="3">
        <v>11</v>
      </c>
      <c r="EW205" s="3">
        <v>2</v>
      </c>
      <c r="FG205" s="3"/>
      <c r="FH205" s="3">
        <v>2</v>
      </c>
      <c r="FS205" s="3">
        <v>151</v>
      </c>
      <c r="GH205" s="3">
        <f>COUNT(R205:GG205)</f>
        <v>17</v>
      </c>
      <c r="GI205" s="3">
        <f>COUNTIF(R205:GG205,"&gt;=2")</f>
        <v>12</v>
      </c>
      <c r="GJ205" s="3">
        <f>COUNTIF(R205:GG205,"&gt;=5")</f>
        <v>8</v>
      </c>
      <c r="GK205" s="3">
        <f>SUM(R205:GG205)</f>
        <v>337</v>
      </c>
      <c r="GL205" s="3">
        <f>25*P205</f>
        <v>625</v>
      </c>
      <c r="GM205" s="3">
        <f>GL205-GK205</f>
        <v>288</v>
      </c>
    </row>
    <row r="206" spans="1:217" ht="13" x14ac:dyDescent="0.15">
      <c r="A206" s="27">
        <v>43560</v>
      </c>
      <c r="B206" s="28" t="s">
        <v>544</v>
      </c>
      <c r="C206" s="16">
        <f t="shared" si="115"/>
        <v>191</v>
      </c>
      <c r="D206" s="28">
        <v>19.5791</v>
      </c>
      <c r="E206" s="28">
        <v>-155.967804</v>
      </c>
      <c r="F206" s="28" t="s">
        <v>508</v>
      </c>
      <c r="G206" s="29">
        <v>0.43055555555555558</v>
      </c>
      <c r="H206" s="29">
        <v>0.4548611111111111</v>
      </c>
      <c r="I206" s="28">
        <v>5</v>
      </c>
      <c r="J206" s="28">
        <v>20</v>
      </c>
      <c r="K206" s="28" t="s">
        <v>198</v>
      </c>
      <c r="L206" s="28">
        <v>6</v>
      </c>
      <c r="M206" s="28">
        <v>29</v>
      </c>
      <c r="N206" s="28" t="s">
        <v>545</v>
      </c>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v>7</v>
      </c>
      <c r="BN206" s="28"/>
      <c r="BO206" s="28"/>
      <c r="BP206" s="28"/>
      <c r="BQ206" s="28"/>
      <c r="BR206" s="28"/>
      <c r="BS206" s="28"/>
      <c r="BT206" s="28"/>
      <c r="BU206" s="28"/>
      <c r="BV206" s="28"/>
      <c r="BW206" s="28"/>
      <c r="BX206" s="28"/>
      <c r="BY206" s="28"/>
      <c r="BZ206" s="28"/>
      <c r="CA206" s="28"/>
      <c r="CB206" s="28"/>
      <c r="CC206" s="28">
        <v>3</v>
      </c>
      <c r="CD206" s="28"/>
      <c r="CE206" s="28"/>
      <c r="CF206" s="28"/>
      <c r="CG206" s="28"/>
      <c r="CH206" s="28"/>
      <c r="CI206" s="28"/>
      <c r="CJ206" s="28"/>
      <c r="CK206" s="28"/>
      <c r="CL206" s="28"/>
      <c r="CM206" s="28"/>
      <c r="CN206" s="28"/>
      <c r="CO206" s="28"/>
      <c r="CP206" s="28"/>
      <c r="CQ206" s="28"/>
      <c r="CR206" s="28"/>
      <c r="CS206" s="28"/>
      <c r="CT206" s="28"/>
      <c r="CU206" s="28"/>
      <c r="CV206" s="28"/>
      <c r="CW206" s="28"/>
      <c r="CX206" s="28"/>
      <c r="CY206" s="28"/>
      <c r="CZ206" s="28"/>
      <c r="DA206" s="28"/>
      <c r="DB206" s="28"/>
      <c r="DC206" s="28"/>
      <c r="DD206" s="28"/>
      <c r="DE206" s="28"/>
      <c r="DF206" s="28"/>
      <c r="DG206" s="28"/>
      <c r="DH206" s="28"/>
      <c r="DI206" s="28"/>
      <c r="DJ206" s="28"/>
      <c r="DK206" s="28"/>
      <c r="DL206" s="28"/>
      <c r="DM206" s="28"/>
      <c r="DN206" s="28"/>
      <c r="DO206" s="28"/>
      <c r="DP206" s="28"/>
      <c r="DQ206" s="28"/>
      <c r="DR206" s="28"/>
      <c r="DS206" s="28"/>
      <c r="DT206" s="28"/>
      <c r="DU206" s="28"/>
      <c r="DV206" s="28"/>
      <c r="DW206" s="28"/>
      <c r="DX206" s="28"/>
      <c r="DY206" s="28"/>
      <c r="DZ206" s="28"/>
      <c r="EA206" s="28"/>
      <c r="EB206" s="28"/>
      <c r="EC206" s="28"/>
      <c r="ED206" s="28">
        <v>3</v>
      </c>
      <c r="EE206" s="28"/>
      <c r="EF206" s="28"/>
      <c r="EG206" s="28"/>
      <c r="EH206" s="28"/>
      <c r="EI206" s="28"/>
      <c r="EJ206" s="28"/>
      <c r="EK206" s="28"/>
      <c r="EL206" s="28"/>
      <c r="EM206" s="28"/>
      <c r="EN206" s="28"/>
      <c r="EO206" s="28"/>
      <c r="EP206" s="28"/>
      <c r="EQ206" s="28"/>
      <c r="ER206" s="28"/>
      <c r="ES206" s="28"/>
      <c r="ET206" s="28"/>
      <c r="EU206" s="28"/>
      <c r="EV206" s="28"/>
      <c r="EW206" s="28"/>
      <c r="EX206" s="28"/>
      <c r="EY206" s="28"/>
      <c r="EZ206" s="28"/>
      <c r="FA206" s="28"/>
      <c r="FB206" s="28"/>
      <c r="FC206" s="28"/>
      <c r="FD206" s="28"/>
      <c r="FE206" s="28"/>
      <c r="FF206" s="28"/>
      <c r="FG206" s="28"/>
      <c r="FH206" s="28"/>
      <c r="FI206" s="28"/>
      <c r="FJ206" s="28"/>
      <c r="FK206" s="28"/>
      <c r="FL206" s="28"/>
      <c r="FM206" s="28">
        <v>25</v>
      </c>
      <c r="FN206" s="28"/>
      <c r="FO206" s="28"/>
      <c r="FP206" s="28"/>
      <c r="FQ206" s="28"/>
      <c r="FR206" s="28"/>
      <c r="FS206" s="28">
        <v>598</v>
      </c>
      <c r="FT206" s="28"/>
      <c r="FU206" s="28"/>
      <c r="FV206" s="28"/>
      <c r="FW206" s="28"/>
      <c r="FX206" s="28"/>
      <c r="FY206" s="28"/>
      <c r="FZ206" s="28"/>
      <c r="GA206" s="28"/>
      <c r="GB206" s="28"/>
      <c r="GC206" s="28"/>
      <c r="GD206" s="28"/>
      <c r="GE206" s="28"/>
      <c r="GF206" s="28"/>
      <c r="GG206" s="28"/>
      <c r="GH206" s="28"/>
      <c r="GI206" s="28"/>
      <c r="GJ206" s="28"/>
      <c r="GK206" s="28"/>
      <c r="GL206" s="28"/>
      <c r="GM206" s="28"/>
      <c r="GN206" s="28"/>
      <c r="GO206" s="28"/>
      <c r="GP206" s="28"/>
      <c r="GQ206" s="28"/>
      <c r="GR206" s="28"/>
      <c r="GS206" s="28"/>
      <c r="GT206" s="28"/>
      <c r="GU206" s="28"/>
      <c r="GV206" s="28"/>
      <c r="GW206" s="28"/>
      <c r="GX206" s="28"/>
      <c r="GY206" s="28"/>
      <c r="GZ206" s="28"/>
      <c r="HA206" s="28"/>
      <c r="HB206" s="28"/>
      <c r="HC206" s="28"/>
      <c r="HD206" s="28"/>
      <c r="HE206" s="28"/>
      <c r="HF206" s="28"/>
      <c r="HG206" s="28"/>
      <c r="HH206" s="28"/>
      <c r="HI206" s="28"/>
    </row>
    <row r="207" spans="1:217" ht="13" x14ac:dyDescent="0.15">
      <c r="A207" s="27">
        <v>43562</v>
      </c>
      <c r="B207" s="28" t="s">
        <v>293</v>
      </c>
      <c r="C207" s="16">
        <f t="shared" si="115"/>
        <v>192</v>
      </c>
      <c r="D207" s="28">
        <v>19.738602</v>
      </c>
      <c r="E207" s="28">
        <v>-155.03887900000001</v>
      </c>
      <c r="F207" s="28" t="s">
        <v>482</v>
      </c>
      <c r="G207" s="29">
        <v>0.45833333333333331</v>
      </c>
      <c r="H207" s="29">
        <v>0.47916666666666669</v>
      </c>
      <c r="I207" s="28">
        <v>2</v>
      </c>
      <c r="J207" s="28">
        <v>10</v>
      </c>
      <c r="K207" s="28" t="s">
        <v>198</v>
      </c>
      <c r="L207" s="28">
        <v>5</v>
      </c>
      <c r="M207" s="28">
        <v>10</v>
      </c>
      <c r="N207" s="28" t="s">
        <v>546</v>
      </c>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v>10</v>
      </c>
      <c r="BL207" s="28"/>
      <c r="BM207" s="28">
        <v>40</v>
      </c>
      <c r="BN207" s="28"/>
      <c r="BO207" s="28"/>
      <c r="BP207" s="28"/>
      <c r="BQ207" s="28"/>
      <c r="BR207" s="28"/>
      <c r="BS207" s="28"/>
      <c r="BT207" s="28"/>
      <c r="BU207" s="28"/>
      <c r="BV207" s="28"/>
      <c r="BW207" s="28"/>
      <c r="BX207" s="28"/>
      <c r="BY207" s="28"/>
      <c r="BZ207" s="28"/>
      <c r="CA207" s="28"/>
      <c r="CB207" s="28"/>
      <c r="CC207" s="28">
        <v>2</v>
      </c>
      <c r="CD207" s="28"/>
      <c r="CE207" s="28"/>
      <c r="CF207" s="28"/>
      <c r="CG207" s="28"/>
      <c r="CH207" s="28"/>
      <c r="CI207" s="28"/>
      <c r="CJ207" s="28"/>
      <c r="CK207" s="28"/>
      <c r="CL207" s="28"/>
      <c r="CM207" s="28"/>
      <c r="CN207" s="28"/>
      <c r="CO207" s="28">
        <v>7</v>
      </c>
      <c r="CP207" s="28"/>
      <c r="CQ207" s="28"/>
      <c r="CR207" s="28"/>
      <c r="CS207" s="28"/>
      <c r="CT207" s="28"/>
      <c r="CU207" s="28"/>
      <c r="CV207" s="28"/>
      <c r="CW207" s="28"/>
      <c r="CX207" s="28"/>
      <c r="CY207" s="28"/>
      <c r="CZ207" s="28"/>
      <c r="DA207" s="28"/>
      <c r="DB207" s="28"/>
      <c r="DC207" s="28"/>
      <c r="DD207" s="28"/>
      <c r="DE207" s="28"/>
      <c r="DF207" s="28"/>
      <c r="DG207" s="28"/>
      <c r="DH207" s="28"/>
      <c r="DI207" s="28"/>
      <c r="DJ207" s="28"/>
      <c r="DK207" s="28"/>
      <c r="DL207" s="28"/>
      <c r="DM207" s="28"/>
      <c r="DN207" s="28"/>
      <c r="DO207" s="28"/>
      <c r="DP207" s="28"/>
      <c r="DQ207" s="28"/>
      <c r="DR207" s="28"/>
      <c r="DS207" s="28"/>
      <c r="DT207" s="28"/>
      <c r="DU207" s="28"/>
      <c r="DV207" s="28"/>
      <c r="DW207" s="28"/>
      <c r="DX207" s="28"/>
      <c r="DY207" s="28">
        <v>1</v>
      </c>
      <c r="DZ207" s="28"/>
      <c r="EA207" s="28"/>
      <c r="EB207" s="28"/>
      <c r="EC207" s="28"/>
      <c r="ED207" s="28"/>
      <c r="EE207" s="28"/>
      <c r="EF207" s="28"/>
      <c r="EG207" s="28"/>
      <c r="EH207" s="28"/>
      <c r="EI207" s="28"/>
      <c r="EJ207" s="28">
        <v>4</v>
      </c>
      <c r="EK207" s="28"/>
      <c r="EL207" s="28"/>
      <c r="EM207" s="28"/>
      <c r="EN207" s="28"/>
      <c r="EO207" s="28"/>
      <c r="EP207" s="28"/>
      <c r="EQ207" s="28"/>
      <c r="ER207" s="28">
        <v>1</v>
      </c>
      <c r="ES207" s="28">
        <v>3</v>
      </c>
      <c r="ET207" s="28"/>
      <c r="EU207" s="28"/>
      <c r="EV207" s="28"/>
      <c r="EW207" s="28"/>
      <c r="EX207" s="28"/>
      <c r="EY207" s="28"/>
      <c r="EZ207" s="28"/>
      <c r="FA207" s="28"/>
      <c r="FB207" s="28"/>
      <c r="FC207" s="28"/>
      <c r="FD207" s="28"/>
      <c r="FE207" s="28"/>
      <c r="FF207" s="28"/>
      <c r="FG207" s="28"/>
      <c r="FH207" s="28"/>
      <c r="FI207" s="28"/>
      <c r="FJ207" s="28"/>
      <c r="FK207" s="28"/>
      <c r="FL207" s="28"/>
      <c r="FM207" s="28"/>
      <c r="FN207" s="28"/>
      <c r="FO207" s="28"/>
      <c r="FP207" s="28">
        <v>1</v>
      </c>
      <c r="FQ207" s="28"/>
      <c r="FR207" s="28"/>
      <c r="FS207" s="28">
        <v>146</v>
      </c>
      <c r="FT207" s="28"/>
      <c r="FU207" s="28"/>
      <c r="FV207" s="28"/>
      <c r="FW207" s="28"/>
      <c r="FX207" s="28"/>
      <c r="FY207" s="28"/>
      <c r="FZ207" s="28"/>
      <c r="GA207" s="28"/>
      <c r="GB207" s="28"/>
      <c r="GC207" s="28"/>
      <c r="GD207" s="28"/>
      <c r="GE207" s="28"/>
      <c r="GF207" s="28"/>
      <c r="GG207" s="28"/>
      <c r="GH207" s="28"/>
      <c r="GI207" s="28"/>
      <c r="GJ207" s="28"/>
      <c r="GK207" s="28"/>
      <c r="GL207" s="28"/>
      <c r="GM207" s="28"/>
      <c r="GN207" s="28"/>
      <c r="GO207" s="28"/>
      <c r="GP207" s="28"/>
      <c r="GQ207" s="28"/>
      <c r="GR207" s="28"/>
      <c r="GS207" s="28"/>
      <c r="GT207" s="28"/>
      <c r="GU207" s="28"/>
      <c r="GV207" s="28"/>
      <c r="GW207" s="28"/>
      <c r="GX207" s="28"/>
      <c r="GY207" s="28"/>
      <c r="GZ207" s="28"/>
      <c r="HA207" s="28"/>
      <c r="HB207" s="28"/>
      <c r="HC207" s="28"/>
      <c r="HD207" s="28"/>
      <c r="HE207" s="28"/>
      <c r="HF207" s="28"/>
      <c r="HG207" s="28"/>
      <c r="HH207" s="28"/>
      <c r="HI207" s="28"/>
    </row>
    <row r="208" spans="1:217" ht="13" x14ac:dyDescent="0.15">
      <c r="A208" s="19">
        <v>43563</v>
      </c>
      <c r="B208" s="20" t="s">
        <v>216</v>
      </c>
      <c r="C208" s="16"/>
      <c r="D208" s="20"/>
      <c r="E208" s="20"/>
      <c r="F208" s="20"/>
      <c r="G208" s="21"/>
      <c r="H208" s="21"/>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c r="DU208" s="20"/>
      <c r="DV208" s="20"/>
      <c r="DW208" s="20"/>
      <c r="DX208" s="20"/>
      <c r="DY208" s="20"/>
      <c r="DZ208" s="20"/>
      <c r="EA208" s="20"/>
      <c r="EB208" s="20"/>
      <c r="EC208" s="20"/>
      <c r="ED208" s="20"/>
      <c r="EE208" s="20"/>
      <c r="EF208" s="20"/>
      <c r="EG208" s="20"/>
      <c r="EH208" s="20"/>
      <c r="EI208" s="20"/>
      <c r="EJ208" s="20"/>
      <c r="EK208" s="20"/>
      <c r="EL208" s="20"/>
      <c r="EM208" s="20"/>
      <c r="EN208" s="20"/>
      <c r="EO208" s="20"/>
      <c r="EP208" s="20"/>
      <c r="EQ208" s="20"/>
      <c r="ER208" s="20"/>
      <c r="ES208" s="20"/>
      <c r="ET208" s="20"/>
      <c r="EU208" s="20"/>
      <c r="EV208" s="20"/>
      <c r="EW208" s="20"/>
      <c r="EX208" s="20"/>
      <c r="EY208" s="20"/>
      <c r="EZ208" s="20"/>
      <c r="FA208" s="20"/>
      <c r="FB208" s="20"/>
      <c r="FC208" s="20"/>
      <c r="FD208" s="20"/>
      <c r="FE208" s="20"/>
      <c r="FF208" s="20"/>
      <c r="FG208" s="20"/>
      <c r="FH208" s="20"/>
      <c r="FI208" s="20"/>
      <c r="FJ208" s="20"/>
      <c r="FK208" s="20"/>
      <c r="FL208" s="20"/>
      <c r="FM208" s="20"/>
      <c r="FN208" s="20"/>
      <c r="FO208" s="20"/>
      <c r="FP208" s="20"/>
      <c r="FQ208" s="20"/>
      <c r="FR208" s="20"/>
      <c r="FS208" s="20"/>
      <c r="FT208" s="20"/>
      <c r="FU208" s="20"/>
      <c r="FV208" s="20"/>
      <c r="FW208" s="20"/>
      <c r="FX208" s="20"/>
      <c r="FY208" s="20"/>
      <c r="FZ208" s="20"/>
      <c r="GA208" s="20"/>
      <c r="GB208" s="20"/>
      <c r="GC208" s="20"/>
      <c r="GD208" s="20"/>
      <c r="GE208" s="20"/>
      <c r="GF208" s="20"/>
      <c r="GG208" s="20"/>
      <c r="GH208" s="20"/>
      <c r="GI208" s="20"/>
      <c r="GJ208" s="20"/>
      <c r="GK208" s="20"/>
      <c r="GL208" s="20"/>
      <c r="GM208" s="20"/>
      <c r="GN208" s="20"/>
      <c r="GO208" s="20"/>
      <c r="GP208" s="20"/>
      <c r="GQ208" s="20"/>
      <c r="GR208" s="20"/>
      <c r="GS208" s="20"/>
      <c r="GT208" s="20"/>
      <c r="GU208" s="20"/>
      <c r="GV208" s="20"/>
      <c r="GW208" s="20"/>
      <c r="GX208" s="20"/>
      <c r="GY208" s="20"/>
      <c r="GZ208" s="20"/>
      <c r="HA208" s="20"/>
      <c r="HB208" s="20"/>
      <c r="HC208" s="20"/>
      <c r="HD208" s="20"/>
      <c r="HE208" s="20"/>
      <c r="HF208" s="20"/>
      <c r="HG208" s="20"/>
      <c r="HH208" s="20"/>
      <c r="HI208" s="20"/>
    </row>
    <row r="209" spans="1:217" ht="13" x14ac:dyDescent="0.15">
      <c r="A209" s="13">
        <v>43563</v>
      </c>
      <c r="B209" s="3" t="s">
        <v>400</v>
      </c>
      <c r="C209" s="16">
        <v>193</v>
      </c>
      <c r="D209" s="3">
        <v>21.900562000000001</v>
      </c>
      <c r="E209" s="3">
        <v>-159.60981799999999</v>
      </c>
      <c r="F209" s="3" t="s">
        <v>465</v>
      </c>
      <c r="G209" s="14">
        <v>0.4548611111111111</v>
      </c>
      <c r="H209" s="14">
        <v>0.48958333333333331</v>
      </c>
      <c r="I209" s="3">
        <v>6</v>
      </c>
      <c r="J209" s="3">
        <v>10</v>
      </c>
      <c r="K209" s="3" t="s">
        <v>198</v>
      </c>
      <c r="L209" s="3">
        <v>5</v>
      </c>
      <c r="M209" s="3">
        <v>29</v>
      </c>
      <c r="N209" s="3" t="s">
        <v>466</v>
      </c>
      <c r="P209" s="3">
        <v>29</v>
      </c>
      <c r="R209" s="3">
        <v>14</v>
      </c>
      <c r="BA209" s="3"/>
      <c r="BB209" s="3">
        <v>2</v>
      </c>
      <c r="BL209" s="3">
        <v>2</v>
      </c>
      <c r="BW209" s="3">
        <v>19</v>
      </c>
      <c r="CE209" s="3">
        <v>6</v>
      </c>
      <c r="DM209" s="3">
        <v>174</v>
      </c>
      <c r="DR209" s="3"/>
      <c r="DS209" s="3">
        <v>12</v>
      </c>
      <c r="DT209" s="3"/>
      <c r="DU209" s="3"/>
      <c r="DV209" s="3">
        <v>8</v>
      </c>
      <c r="DY209" s="3"/>
      <c r="DZ209" s="3">
        <v>2</v>
      </c>
      <c r="EB209" s="3">
        <v>1</v>
      </c>
      <c r="ED209" s="3">
        <v>1</v>
      </c>
      <c r="EE209" s="3"/>
      <c r="EF209" s="3"/>
      <c r="EG209" s="3"/>
      <c r="EH209" s="3"/>
      <c r="EI209" s="3"/>
      <c r="EJ209" s="3">
        <v>55</v>
      </c>
      <c r="EL209" s="3"/>
      <c r="EM209" s="3"/>
      <c r="EN209" s="3">
        <v>1</v>
      </c>
      <c r="FB209" s="3">
        <v>31</v>
      </c>
      <c r="FC209" s="3">
        <v>1</v>
      </c>
      <c r="FR209" s="3">
        <v>2</v>
      </c>
      <c r="FS209" s="3">
        <v>15</v>
      </c>
      <c r="GA209" s="3">
        <v>2</v>
      </c>
      <c r="GB209" s="3"/>
      <c r="GC209" s="3">
        <v>3</v>
      </c>
      <c r="GD209" s="3">
        <v>1</v>
      </c>
      <c r="GH209" s="3">
        <f t="shared" ref="GH209:GH211" si="116">COUNT(R209:GG209)</f>
        <v>20</v>
      </c>
      <c r="GI209" s="3">
        <f t="shared" ref="GI209:GI211" si="117">COUNTIF(R209:GG209,"&gt;=2")</f>
        <v>15</v>
      </c>
      <c r="GJ209" s="3">
        <f t="shared" ref="GJ209:GJ211" si="118">COUNTIF(R209:GG209,"&gt;=5")</f>
        <v>9</v>
      </c>
      <c r="GK209" s="3">
        <f t="shared" ref="GK209:GK211" si="119">SUM(R209:GG209)</f>
        <v>352</v>
      </c>
      <c r="GL209" s="3">
        <f t="shared" ref="GL209:GL211" si="120">25*P209</f>
        <v>725</v>
      </c>
      <c r="GM209" s="3">
        <f t="shared" ref="GM209:GM211" si="121">GL209-GK209</f>
        <v>373</v>
      </c>
    </row>
    <row r="210" spans="1:217" ht="13" x14ac:dyDescent="0.15">
      <c r="A210" s="13">
        <v>43564</v>
      </c>
      <c r="B210" s="3" t="s">
        <v>456</v>
      </c>
      <c r="C210" s="16">
        <f t="shared" ref="C210:C224" si="122">C209+1</f>
        <v>194</v>
      </c>
      <c r="D210" s="3">
        <v>21.316488</v>
      </c>
      <c r="E210" s="3">
        <v>-157.66426100000001</v>
      </c>
      <c r="F210" s="3" t="s">
        <v>469</v>
      </c>
      <c r="G210" s="14">
        <v>0.36319444444444443</v>
      </c>
      <c r="H210" s="14">
        <v>0.39583333333333331</v>
      </c>
      <c r="I210" s="3">
        <v>4</v>
      </c>
      <c r="J210" s="3">
        <v>40</v>
      </c>
      <c r="K210" s="3" t="s">
        <v>470</v>
      </c>
      <c r="L210" s="3">
        <v>5</v>
      </c>
      <c r="M210" s="3">
        <v>10</v>
      </c>
      <c r="N210" s="3" t="s">
        <v>471</v>
      </c>
      <c r="P210" s="3">
        <v>10</v>
      </c>
      <c r="CC210" s="3">
        <v>2</v>
      </c>
      <c r="CG210" s="3"/>
      <c r="CH210" s="3">
        <v>3</v>
      </c>
      <c r="DF210" s="3"/>
      <c r="DG210" s="3">
        <v>2</v>
      </c>
      <c r="EE210" s="3"/>
      <c r="EF210" s="3"/>
      <c r="EG210" s="3"/>
      <c r="EH210" s="3"/>
      <c r="EI210" s="3"/>
      <c r="EJ210" s="3">
        <v>15</v>
      </c>
      <c r="FS210" s="3">
        <v>13</v>
      </c>
      <c r="GH210" s="3">
        <f t="shared" si="116"/>
        <v>5</v>
      </c>
      <c r="GI210" s="3">
        <f t="shared" si="117"/>
        <v>5</v>
      </c>
      <c r="GJ210" s="3">
        <f t="shared" si="118"/>
        <v>2</v>
      </c>
      <c r="GK210" s="3">
        <f t="shared" si="119"/>
        <v>35</v>
      </c>
      <c r="GL210" s="3">
        <f t="shared" si="120"/>
        <v>250</v>
      </c>
      <c r="GM210" s="3">
        <f t="shared" si="121"/>
        <v>215</v>
      </c>
    </row>
    <row r="211" spans="1:217" ht="13" x14ac:dyDescent="0.15">
      <c r="A211" s="13">
        <v>43564</v>
      </c>
      <c r="B211" s="3" t="s">
        <v>244</v>
      </c>
      <c r="C211" s="16">
        <f t="shared" si="122"/>
        <v>195</v>
      </c>
      <c r="D211" s="3">
        <v>21.310611999999999</v>
      </c>
      <c r="E211" s="3">
        <v>-158.00441000000001</v>
      </c>
      <c r="F211" s="3" t="s">
        <v>326</v>
      </c>
      <c r="G211" s="14">
        <v>0.39583333333333331</v>
      </c>
      <c r="H211" s="14">
        <v>0.4375</v>
      </c>
      <c r="I211" s="3">
        <v>7</v>
      </c>
      <c r="J211" s="3">
        <v>20</v>
      </c>
      <c r="K211" s="3" t="s">
        <v>198</v>
      </c>
      <c r="L211" s="3">
        <v>5</v>
      </c>
      <c r="M211" s="3">
        <v>28</v>
      </c>
      <c r="N211" s="3" t="s">
        <v>472</v>
      </c>
      <c r="P211" s="3">
        <v>28</v>
      </c>
      <c r="R211" s="3">
        <v>1</v>
      </c>
      <c r="Y211" s="3"/>
      <c r="Z211" s="3"/>
      <c r="AA211" s="3"/>
      <c r="AB211" s="3">
        <v>1</v>
      </c>
      <c r="AE211" s="3">
        <v>29</v>
      </c>
      <c r="BC211" s="3">
        <v>16</v>
      </c>
      <c r="BE211" s="3">
        <v>49</v>
      </c>
      <c r="BM211" s="3">
        <v>16</v>
      </c>
      <c r="BS211" s="3">
        <v>1</v>
      </c>
      <c r="BV211" s="3">
        <v>11</v>
      </c>
      <c r="BZ211" s="3">
        <v>29</v>
      </c>
      <c r="CN211" s="3">
        <v>1</v>
      </c>
      <c r="DF211" s="3"/>
      <c r="DG211" s="3">
        <v>4</v>
      </c>
      <c r="DN211" s="3">
        <v>5</v>
      </c>
      <c r="DO211" s="3">
        <v>10</v>
      </c>
      <c r="DP211" s="3">
        <v>5</v>
      </c>
      <c r="EE211" s="3"/>
      <c r="EF211" s="3"/>
      <c r="EG211" s="3"/>
      <c r="EH211" s="3"/>
      <c r="EI211" s="3"/>
      <c r="EJ211" s="3">
        <v>99</v>
      </c>
      <c r="FB211" s="3">
        <v>20</v>
      </c>
      <c r="FS211" s="3">
        <v>23</v>
      </c>
      <c r="GH211" s="3">
        <f t="shared" si="116"/>
        <v>17</v>
      </c>
      <c r="GI211" s="3">
        <f t="shared" si="117"/>
        <v>13</v>
      </c>
      <c r="GJ211" s="3">
        <f t="shared" si="118"/>
        <v>12</v>
      </c>
      <c r="GK211" s="3">
        <f t="shared" si="119"/>
        <v>320</v>
      </c>
      <c r="GL211" s="3">
        <f t="shared" si="120"/>
        <v>700</v>
      </c>
      <c r="GM211" s="3">
        <f t="shared" si="121"/>
        <v>380</v>
      </c>
    </row>
    <row r="212" spans="1:217" ht="13" x14ac:dyDescent="0.15">
      <c r="A212" s="27">
        <v>43564</v>
      </c>
      <c r="B212" s="28" t="s">
        <v>246</v>
      </c>
      <c r="C212" s="16">
        <f t="shared" si="122"/>
        <v>196</v>
      </c>
      <c r="D212" s="28">
        <v>21.2882</v>
      </c>
      <c r="E212" s="28">
        <v>-157.66799900000001</v>
      </c>
      <c r="F212" s="28" t="s">
        <v>548</v>
      </c>
      <c r="G212" s="29">
        <v>0.3888888888888889</v>
      </c>
      <c r="H212" s="29">
        <v>0.45833333333333331</v>
      </c>
      <c r="I212" s="28">
        <v>6</v>
      </c>
      <c r="J212" s="28">
        <v>12</v>
      </c>
      <c r="K212" s="28" t="s">
        <v>198</v>
      </c>
      <c r="L212" s="28">
        <v>6</v>
      </c>
      <c r="M212" s="28">
        <v>20</v>
      </c>
      <c r="N212" s="28" t="s">
        <v>549</v>
      </c>
      <c r="O212" s="28"/>
      <c r="P212" s="28"/>
      <c r="Q212" s="28"/>
      <c r="R212" s="28"/>
      <c r="S212" s="28"/>
      <c r="T212" s="28"/>
      <c r="U212" s="28"/>
      <c r="V212" s="28"/>
      <c r="W212" s="28"/>
      <c r="X212" s="28"/>
      <c r="Y212" s="28"/>
      <c r="Z212" s="28"/>
      <c r="AA212" s="28"/>
      <c r="AB212" s="28">
        <v>8</v>
      </c>
      <c r="AC212" s="28"/>
      <c r="AD212" s="28"/>
      <c r="AE212" s="28"/>
      <c r="AF212" s="28"/>
      <c r="AG212" s="28"/>
      <c r="AH212" s="28"/>
      <c r="AI212" s="28"/>
      <c r="AJ212" s="28"/>
      <c r="AK212" s="28"/>
      <c r="AL212" s="28"/>
      <c r="AM212" s="28"/>
      <c r="AN212" s="28"/>
      <c r="AO212" s="28"/>
      <c r="AP212" s="28"/>
      <c r="AQ212" s="28"/>
      <c r="AR212" s="28">
        <v>1</v>
      </c>
      <c r="AS212" s="28"/>
      <c r="AT212" s="28"/>
      <c r="AU212" s="28"/>
      <c r="AV212" s="28"/>
      <c r="AW212" s="28"/>
      <c r="AX212" s="28"/>
      <c r="AY212" s="28"/>
      <c r="AZ212" s="28"/>
      <c r="BA212" s="28"/>
      <c r="BB212" s="28"/>
      <c r="BC212" s="28"/>
      <c r="BD212" s="28"/>
      <c r="BE212" s="28"/>
      <c r="BF212" s="28"/>
      <c r="BG212" s="28"/>
      <c r="BH212" s="28"/>
      <c r="BI212" s="28"/>
      <c r="BJ212" s="28"/>
      <c r="BK212" s="28">
        <v>1</v>
      </c>
      <c r="BL212" s="28"/>
      <c r="BM212" s="28"/>
      <c r="BN212" s="28"/>
      <c r="BO212" s="28"/>
      <c r="BP212" s="28"/>
      <c r="BQ212" s="28"/>
      <c r="BR212" s="28"/>
      <c r="BS212" s="28"/>
      <c r="BT212" s="28"/>
      <c r="BU212" s="28"/>
      <c r="BV212" s="28"/>
      <c r="BW212" s="28"/>
      <c r="BX212" s="28"/>
      <c r="BY212" s="28"/>
      <c r="BZ212" s="28"/>
      <c r="CA212" s="28"/>
      <c r="CB212" s="28"/>
      <c r="CC212" s="28"/>
      <c r="CD212" s="28"/>
      <c r="CE212" s="28"/>
      <c r="CF212" s="28"/>
      <c r="CG212" s="28"/>
      <c r="CH212" s="28"/>
      <c r="CI212" s="28"/>
      <c r="CJ212" s="28"/>
      <c r="CK212" s="28"/>
      <c r="CL212" s="28"/>
      <c r="CM212" s="28"/>
      <c r="CN212" s="28"/>
      <c r="CO212" s="28"/>
      <c r="CP212" s="28"/>
      <c r="CQ212" s="28"/>
      <c r="CR212" s="28"/>
      <c r="CS212" s="28"/>
      <c r="CT212" s="28"/>
      <c r="CU212" s="28"/>
      <c r="CV212" s="28"/>
      <c r="CW212" s="28"/>
      <c r="CX212" s="28"/>
      <c r="CY212" s="28"/>
      <c r="CZ212" s="28"/>
      <c r="DA212" s="28"/>
      <c r="DB212" s="28"/>
      <c r="DC212" s="28"/>
      <c r="DD212" s="28"/>
      <c r="DE212" s="28"/>
      <c r="DF212" s="28"/>
      <c r="DG212" s="28"/>
      <c r="DH212" s="28"/>
      <c r="DI212" s="28"/>
      <c r="DJ212" s="28"/>
      <c r="DK212" s="28"/>
      <c r="DL212" s="28"/>
      <c r="DM212" s="28"/>
      <c r="DN212" s="28"/>
      <c r="DO212" s="28"/>
      <c r="DP212" s="28"/>
      <c r="DQ212" s="28"/>
      <c r="DR212" s="28"/>
      <c r="DS212" s="28"/>
      <c r="DT212" s="28"/>
      <c r="DU212" s="28"/>
      <c r="DV212" s="28"/>
      <c r="DW212" s="28"/>
      <c r="DX212" s="28"/>
      <c r="DY212" s="28"/>
      <c r="DZ212" s="28"/>
      <c r="EA212" s="28"/>
      <c r="EB212" s="28"/>
      <c r="EC212" s="28"/>
      <c r="ED212" s="28"/>
      <c r="EE212" s="28"/>
      <c r="EF212" s="28"/>
      <c r="EG212" s="28"/>
      <c r="EH212" s="28"/>
      <c r="EI212" s="28"/>
      <c r="EJ212" s="28">
        <v>14</v>
      </c>
      <c r="EK212" s="28"/>
      <c r="EL212" s="28"/>
      <c r="EM212" s="28"/>
      <c r="EN212" s="28"/>
      <c r="EO212" s="28"/>
      <c r="EP212" s="28"/>
      <c r="EQ212" s="28"/>
      <c r="ER212" s="28"/>
      <c r="ES212" s="28"/>
      <c r="ET212" s="28"/>
      <c r="EU212" s="28"/>
      <c r="EV212" s="28"/>
      <c r="EW212" s="28"/>
      <c r="EX212" s="28"/>
      <c r="EY212" s="28"/>
      <c r="EZ212" s="28"/>
      <c r="FA212" s="28"/>
      <c r="FB212" s="28">
        <v>5</v>
      </c>
      <c r="FC212" s="28"/>
      <c r="FD212" s="28"/>
      <c r="FE212" s="28"/>
      <c r="FF212" s="28"/>
      <c r="FG212" s="28"/>
      <c r="FH212" s="28"/>
      <c r="FI212" s="28"/>
      <c r="FJ212" s="28"/>
      <c r="FK212" s="28"/>
      <c r="FL212" s="28"/>
      <c r="FM212" s="28"/>
      <c r="FN212" s="28"/>
      <c r="FO212" s="28"/>
      <c r="FP212" s="28"/>
      <c r="FQ212" s="28"/>
      <c r="FR212" s="28">
        <v>2</v>
      </c>
      <c r="FS212" s="28">
        <v>142</v>
      </c>
      <c r="FT212" s="28"/>
      <c r="FU212" s="28"/>
      <c r="FV212" s="28"/>
      <c r="FW212" s="28"/>
      <c r="FX212" s="28"/>
      <c r="FY212" s="28"/>
      <c r="FZ212" s="28"/>
      <c r="GA212" s="28"/>
      <c r="GB212" s="28"/>
      <c r="GC212" s="28"/>
      <c r="GD212" s="28"/>
      <c r="GE212" s="28"/>
      <c r="GF212" s="28"/>
      <c r="GG212" s="28"/>
      <c r="GH212" s="28"/>
      <c r="GI212" s="28"/>
      <c r="GJ212" s="28"/>
      <c r="GK212" s="28"/>
      <c r="GL212" s="28"/>
      <c r="GM212" s="28"/>
      <c r="GN212" s="28"/>
      <c r="GO212" s="28"/>
      <c r="GP212" s="28"/>
      <c r="GQ212" s="28"/>
      <c r="GR212" s="28"/>
      <c r="GS212" s="28"/>
      <c r="GT212" s="28"/>
      <c r="GU212" s="28"/>
      <c r="GV212" s="28"/>
      <c r="GW212" s="28"/>
      <c r="GX212" s="28"/>
      <c r="GY212" s="28"/>
      <c r="GZ212" s="28"/>
      <c r="HA212" s="28"/>
      <c r="HB212" s="28"/>
      <c r="HC212" s="28"/>
      <c r="HD212" s="28"/>
      <c r="HE212" s="28"/>
      <c r="HF212" s="28"/>
      <c r="HG212" s="28"/>
      <c r="HH212" s="28"/>
      <c r="HI212" s="28"/>
    </row>
    <row r="213" spans="1:217" ht="13" x14ac:dyDescent="0.15">
      <c r="A213" s="27">
        <v>43566</v>
      </c>
      <c r="B213" s="28" t="s">
        <v>246</v>
      </c>
      <c r="C213" s="16">
        <f t="shared" si="122"/>
        <v>197</v>
      </c>
      <c r="D213" s="28">
        <v>21.2882</v>
      </c>
      <c r="E213" s="28">
        <v>-157.66799900000001</v>
      </c>
      <c r="F213" s="28" t="s">
        <v>548</v>
      </c>
      <c r="G213" s="29">
        <v>0.3888888888888889</v>
      </c>
      <c r="H213" s="29">
        <v>0.46180555555555558</v>
      </c>
      <c r="I213" s="28">
        <v>5</v>
      </c>
      <c r="J213" s="28">
        <v>10</v>
      </c>
      <c r="K213" s="28" t="s">
        <v>198</v>
      </c>
      <c r="L213" s="28">
        <v>6</v>
      </c>
      <c r="M213" s="28">
        <v>11</v>
      </c>
      <c r="N213" s="28" t="s">
        <v>550</v>
      </c>
      <c r="O213" s="28"/>
      <c r="P213" s="28"/>
      <c r="Q213" s="28"/>
      <c r="R213" s="28"/>
      <c r="S213" s="28"/>
      <c r="T213" s="28"/>
      <c r="U213" s="28"/>
      <c r="V213" s="28"/>
      <c r="W213" s="28"/>
      <c r="X213" s="28"/>
      <c r="Y213" s="28"/>
      <c r="Z213" s="28"/>
      <c r="AA213" s="28"/>
      <c r="AB213" s="28"/>
      <c r="AC213" s="28"/>
      <c r="AD213" s="28"/>
      <c r="AE213" s="28"/>
      <c r="AF213" s="28"/>
      <c r="AG213" s="28">
        <v>1</v>
      </c>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v>1</v>
      </c>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c r="CC213" s="28"/>
      <c r="CD213" s="28"/>
      <c r="CE213" s="28"/>
      <c r="CF213" s="28"/>
      <c r="CG213" s="28"/>
      <c r="CH213" s="28"/>
      <c r="CI213" s="28"/>
      <c r="CJ213" s="28"/>
      <c r="CK213" s="28"/>
      <c r="CL213" s="28"/>
      <c r="CM213" s="28"/>
      <c r="CN213" s="28"/>
      <c r="CO213" s="28"/>
      <c r="CP213" s="28"/>
      <c r="CQ213" s="28"/>
      <c r="CR213" s="28"/>
      <c r="CS213" s="28"/>
      <c r="CT213" s="28"/>
      <c r="CU213" s="28"/>
      <c r="CV213" s="28"/>
      <c r="CW213" s="28"/>
      <c r="CX213" s="28"/>
      <c r="CY213" s="28"/>
      <c r="CZ213" s="28"/>
      <c r="DA213" s="28"/>
      <c r="DB213" s="28"/>
      <c r="DC213" s="28"/>
      <c r="DD213" s="28"/>
      <c r="DE213" s="28"/>
      <c r="DF213" s="28"/>
      <c r="DG213" s="28"/>
      <c r="DH213" s="28"/>
      <c r="DI213" s="28"/>
      <c r="DJ213" s="28"/>
      <c r="DK213" s="28"/>
      <c r="DL213" s="28"/>
      <c r="DM213" s="28"/>
      <c r="DN213" s="28"/>
      <c r="DO213" s="28"/>
      <c r="DP213" s="28"/>
      <c r="DQ213" s="28"/>
      <c r="DR213" s="28"/>
      <c r="DS213" s="28"/>
      <c r="DT213" s="28"/>
      <c r="DU213" s="28"/>
      <c r="DV213" s="28"/>
      <c r="DW213" s="28"/>
      <c r="DX213" s="28"/>
      <c r="DY213" s="28"/>
      <c r="DZ213" s="28"/>
      <c r="EA213" s="28"/>
      <c r="EB213" s="28"/>
      <c r="EC213" s="28"/>
      <c r="ED213" s="28"/>
      <c r="EE213" s="28"/>
      <c r="EF213" s="28"/>
      <c r="EG213" s="28"/>
      <c r="EH213" s="28"/>
      <c r="EI213" s="28">
        <v>1</v>
      </c>
      <c r="EJ213" s="28">
        <v>2</v>
      </c>
      <c r="EK213" s="28"/>
      <c r="EL213" s="28"/>
      <c r="EM213" s="28"/>
      <c r="EN213" s="28"/>
      <c r="EO213" s="28"/>
      <c r="EP213" s="28"/>
      <c r="EQ213" s="28"/>
      <c r="ER213" s="28"/>
      <c r="ES213" s="28"/>
      <c r="ET213" s="28"/>
      <c r="EU213" s="28"/>
      <c r="EV213" s="28"/>
      <c r="EW213" s="28"/>
      <c r="EX213" s="28"/>
      <c r="EY213" s="28"/>
      <c r="EZ213" s="28"/>
      <c r="FA213" s="28"/>
      <c r="FB213" s="28"/>
      <c r="FC213" s="28"/>
      <c r="FD213" s="28"/>
      <c r="FE213" s="28"/>
      <c r="FF213" s="28"/>
      <c r="FG213" s="28"/>
      <c r="FH213" s="28"/>
      <c r="FI213" s="28"/>
      <c r="FJ213" s="28"/>
      <c r="FK213" s="28"/>
      <c r="FL213" s="28"/>
      <c r="FM213" s="28"/>
      <c r="FN213" s="28"/>
      <c r="FO213" s="28"/>
      <c r="FP213" s="28"/>
      <c r="FQ213" s="28"/>
      <c r="FR213" s="28">
        <v>1</v>
      </c>
      <c r="FS213" s="28">
        <v>34</v>
      </c>
      <c r="FT213" s="28"/>
      <c r="FU213" s="28"/>
      <c r="FV213" s="28"/>
      <c r="FW213" s="28"/>
      <c r="FX213" s="28"/>
      <c r="FY213" s="28"/>
      <c r="FZ213" s="28"/>
      <c r="GA213" s="28"/>
      <c r="GB213" s="28"/>
      <c r="GC213" s="28"/>
      <c r="GD213" s="28">
        <v>12</v>
      </c>
      <c r="GE213" s="28"/>
      <c r="GF213" s="28"/>
      <c r="GG213" s="28"/>
      <c r="GH213" s="28"/>
      <c r="GI213" s="28"/>
      <c r="GJ213" s="28"/>
      <c r="GK213" s="28"/>
      <c r="GL213" s="28"/>
      <c r="GM213" s="28"/>
      <c r="GN213" s="28"/>
      <c r="GO213" s="28"/>
      <c r="GP213" s="28"/>
      <c r="GQ213" s="28"/>
      <c r="GR213" s="28"/>
      <c r="GS213" s="28"/>
      <c r="GT213" s="28"/>
      <c r="GU213" s="28"/>
      <c r="GV213" s="28"/>
      <c r="GW213" s="28"/>
      <c r="GX213" s="28"/>
      <c r="GY213" s="28"/>
      <c r="GZ213" s="28"/>
      <c r="HA213" s="28"/>
      <c r="HB213" s="28"/>
      <c r="HC213" s="28"/>
      <c r="HD213" s="28"/>
      <c r="HE213" s="28"/>
      <c r="HF213" s="28"/>
      <c r="HG213" s="28"/>
      <c r="HH213" s="28"/>
      <c r="HI213" s="28"/>
    </row>
    <row r="214" spans="1:217" ht="13" x14ac:dyDescent="0.15">
      <c r="A214" s="24">
        <v>43566</v>
      </c>
      <c r="B214" s="25" t="s">
        <v>473</v>
      </c>
      <c r="C214" s="16">
        <f t="shared" si="122"/>
        <v>198</v>
      </c>
      <c r="D214" s="25">
        <v>21.3962</v>
      </c>
      <c r="E214" s="25">
        <v>-157.72030599999999</v>
      </c>
      <c r="F214" s="25" t="s">
        <v>418</v>
      </c>
      <c r="G214" s="26">
        <v>0.41666666666666669</v>
      </c>
      <c r="H214" s="26">
        <v>0.47916666666666669</v>
      </c>
      <c r="I214" s="25">
        <v>6</v>
      </c>
      <c r="J214" s="25">
        <v>11</v>
      </c>
      <c r="K214" s="25" t="s">
        <v>318</v>
      </c>
      <c r="L214" s="25">
        <v>10</v>
      </c>
      <c r="M214" s="25">
        <v>40</v>
      </c>
      <c r="N214" s="25" t="s">
        <v>474</v>
      </c>
      <c r="O214" s="25"/>
      <c r="P214" s="25"/>
      <c r="Q214" s="25"/>
      <c r="R214" s="25"/>
      <c r="S214" s="25"/>
      <c r="T214" s="25"/>
      <c r="U214" s="25"/>
      <c r="V214" s="25"/>
      <c r="W214" s="25"/>
      <c r="X214" s="25"/>
      <c r="Y214" s="25"/>
      <c r="Z214" s="25"/>
      <c r="AA214" s="25"/>
      <c r="AB214" s="25"/>
      <c r="AC214" s="25"/>
      <c r="AD214" s="25">
        <v>39</v>
      </c>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v>195</v>
      </c>
      <c r="BN214" s="25"/>
      <c r="BO214" s="25"/>
      <c r="BP214" s="25"/>
      <c r="BQ214" s="25"/>
      <c r="BR214" s="25"/>
      <c r="BS214" s="25"/>
      <c r="BT214" s="25"/>
      <c r="BU214" s="25"/>
      <c r="BV214" s="25"/>
      <c r="BW214" s="25"/>
      <c r="BX214" s="25"/>
      <c r="BY214" s="25"/>
      <c r="BZ214" s="25"/>
      <c r="CA214" s="25">
        <v>71</v>
      </c>
      <c r="CB214" s="25"/>
      <c r="CC214" s="25"/>
      <c r="CD214" s="25"/>
      <c r="CE214" s="25"/>
      <c r="CF214" s="25"/>
      <c r="CG214" s="25"/>
      <c r="CH214" s="25"/>
      <c r="CI214" s="25"/>
      <c r="CJ214" s="25"/>
      <c r="CK214" s="25"/>
      <c r="CL214" s="25"/>
      <c r="CM214" s="25"/>
      <c r="CN214" s="25"/>
      <c r="CO214" s="25"/>
      <c r="CP214" s="25"/>
      <c r="CQ214" s="25"/>
      <c r="CR214" s="25"/>
      <c r="CS214" s="25"/>
      <c r="CT214" s="25"/>
      <c r="CU214" s="25"/>
      <c r="CV214" s="25"/>
      <c r="CW214" s="25"/>
      <c r="CX214" s="25"/>
      <c r="CY214" s="25"/>
      <c r="CZ214" s="25"/>
      <c r="DA214" s="25"/>
      <c r="DB214" s="25"/>
      <c r="DC214" s="25"/>
      <c r="DD214" s="25"/>
      <c r="DE214" s="25"/>
      <c r="DF214" s="25"/>
      <c r="DG214" s="25"/>
      <c r="DH214" s="25">
        <v>23</v>
      </c>
      <c r="DI214" s="25"/>
      <c r="DJ214" s="25"/>
      <c r="DK214" s="25"/>
      <c r="DL214" s="25"/>
      <c r="DM214" s="25"/>
      <c r="DN214" s="25"/>
      <c r="DO214" s="25"/>
      <c r="DP214" s="25">
        <v>18</v>
      </c>
      <c r="DQ214" s="25"/>
      <c r="DR214" s="25"/>
      <c r="DS214" s="25">
        <v>2</v>
      </c>
      <c r="DT214" s="25"/>
      <c r="DU214" s="25"/>
      <c r="DV214" s="25"/>
      <c r="DW214" s="25"/>
      <c r="DX214" s="25"/>
      <c r="DY214" s="25"/>
      <c r="DZ214" s="25"/>
      <c r="EA214" s="25"/>
      <c r="EB214" s="25"/>
      <c r="EC214" s="25"/>
      <c r="ED214" s="25"/>
      <c r="EE214" s="25"/>
      <c r="EF214" s="25"/>
      <c r="EG214" s="25"/>
      <c r="EH214" s="25"/>
      <c r="EI214" s="25"/>
      <c r="EJ214" s="25"/>
      <c r="EK214" s="25"/>
      <c r="EL214" s="25"/>
      <c r="EM214" s="25"/>
      <c r="EN214" s="25">
        <v>5</v>
      </c>
      <c r="EO214" s="25"/>
      <c r="EP214" s="25"/>
      <c r="EQ214" s="25"/>
      <c r="ER214" s="25"/>
      <c r="ES214" s="25"/>
      <c r="ET214" s="25"/>
      <c r="EU214" s="25"/>
      <c r="EV214" s="25"/>
      <c r="EW214" s="25"/>
      <c r="EX214" s="25"/>
      <c r="EY214" s="25"/>
      <c r="EZ214" s="25"/>
      <c r="FA214" s="25"/>
      <c r="FB214" s="25"/>
      <c r="FC214" s="25">
        <v>3</v>
      </c>
      <c r="FD214" s="25"/>
      <c r="FE214" s="25"/>
      <c r="FF214" s="25"/>
      <c r="FG214" s="25"/>
      <c r="FH214" s="25"/>
      <c r="FI214" s="25"/>
      <c r="FJ214" s="25"/>
      <c r="FK214" s="25"/>
      <c r="FL214" s="25"/>
      <c r="FM214" s="25"/>
      <c r="FN214" s="25"/>
      <c r="FO214" s="25"/>
      <c r="FP214" s="25"/>
      <c r="FQ214" s="25"/>
      <c r="FR214" s="25"/>
      <c r="FS214" s="25">
        <v>54</v>
      </c>
      <c r="FT214" s="25"/>
      <c r="FU214" s="25"/>
      <c r="FV214" s="25"/>
      <c r="FW214" s="25"/>
      <c r="FX214" s="25"/>
      <c r="FY214" s="25"/>
      <c r="FZ214" s="25"/>
      <c r="GA214" s="25"/>
      <c r="GB214" s="25"/>
      <c r="GC214" s="25"/>
      <c r="GD214" s="25"/>
      <c r="GE214" s="25"/>
      <c r="GF214" s="25"/>
      <c r="GG214" s="25"/>
      <c r="GH214" s="25">
        <f>COUNT(R214:GG214)</f>
        <v>9</v>
      </c>
      <c r="GI214" s="25">
        <f>COUNTIF(R214:GG214,"&gt;=2")</f>
        <v>9</v>
      </c>
      <c r="GJ214" s="25">
        <f>COUNTIF(R214:GG214,"&gt;=5")</f>
        <v>7</v>
      </c>
      <c r="GK214" s="25">
        <f>SUM(R214:GG214)</f>
        <v>410</v>
      </c>
      <c r="GL214" s="25">
        <f>25*P214</f>
        <v>0</v>
      </c>
      <c r="GM214" s="25">
        <f>GL214-GK214</f>
        <v>-410</v>
      </c>
      <c r="GN214" s="25"/>
      <c r="GO214" s="25"/>
      <c r="GP214" s="25"/>
      <c r="GQ214" s="25"/>
      <c r="GR214" s="25"/>
      <c r="GS214" s="25"/>
      <c r="GT214" s="25"/>
      <c r="GU214" s="25"/>
      <c r="GV214" s="25"/>
      <c r="GW214" s="25"/>
      <c r="GX214" s="25"/>
      <c r="GY214" s="25"/>
      <c r="GZ214" s="25"/>
      <c r="HA214" s="25"/>
      <c r="HB214" s="25"/>
      <c r="HC214" s="25"/>
      <c r="HD214" s="25"/>
      <c r="HE214" s="25"/>
      <c r="HF214" s="25"/>
      <c r="HG214" s="25"/>
      <c r="HH214" s="25"/>
      <c r="HI214" s="25"/>
    </row>
    <row r="215" spans="1:217" ht="13" x14ac:dyDescent="0.15">
      <c r="A215" s="27">
        <v>43567</v>
      </c>
      <c r="B215" s="28" t="s">
        <v>473</v>
      </c>
      <c r="C215" s="16">
        <f t="shared" si="122"/>
        <v>199</v>
      </c>
      <c r="D215" s="28">
        <v>21.3962</v>
      </c>
      <c r="E215" s="28">
        <v>-157.72030599999999</v>
      </c>
      <c r="F215" s="28" t="s">
        <v>418</v>
      </c>
      <c r="G215" s="29">
        <v>0.41666666666666669</v>
      </c>
      <c r="H215" s="29">
        <v>0.5</v>
      </c>
      <c r="I215" s="28">
        <v>5</v>
      </c>
      <c r="J215" s="28">
        <v>15</v>
      </c>
      <c r="K215" s="28" t="s">
        <v>314</v>
      </c>
      <c r="L215" s="28">
        <v>5</v>
      </c>
      <c r="M215" s="28">
        <v>9</v>
      </c>
      <c r="N215" s="28" t="s">
        <v>551</v>
      </c>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v>7</v>
      </c>
      <c r="BN215" s="28"/>
      <c r="BO215" s="28"/>
      <c r="BP215" s="28"/>
      <c r="BQ215" s="28">
        <v>33</v>
      </c>
      <c r="BR215" s="28"/>
      <c r="BS215" s="28"/>
      <c r="BT215" s="28"/>
      <c r="BU215" s="28"/>
      <c r="BV215" s="28"/>
      <c r="BW215" s="28"/>
      <c r="BX215" s="28"/>
      <c r="BY215" s="28"/>
      <c r="BZ215" s="28"/>
      <c r="CA215" s="28"/>
      <c r="CB215" s="28"/>
      <c r="CC215" s="28"/>
      <c r="CD215" s="28"/>
      <c r="CE215" s="28"/>
      <c r="CF215" s="28"/>
      <c r="CG215" s="28"/>
      <c r="CH215" s="28"/>
      <c r="CI215" s="28"/>
      <c r="CJ215" s="28"/>
      <c r="CK215" s="28"/>
      <c r="CL215" s="28"/>
      <c r="CM215" s="28"/>
      <c r="CN215" s="28"/>
      <c r="CO215" s="28"/>
      <c r="CP215" s="28"/>
      <c r="CQ215" s="28"/>
      <c r="CR215" s="28"/>
      <c r="CS215" s="28"/>
      <c r="CT215" s="28"/>
      <c r="CU215" s="28"/>
      <c r="CV215" s="28"/>
      <c r="CW215" s="28"/>
      <c r="CX215" s="28"/>
      <c r="CY215" s="28"/>
      <c r="CZ215" s="28"/>
      <c r="DA215" s="28"/>
      <c r="DB215" s="28"/>
      <c r="DC215" s="28"/>
      <c r="DD215" s="28"/>
      <c r="DE215" s="28"/>
      <c r="DF215" s="28"/>
      <c r="DG215" s="28"/>
      <c r="DH215" s="28"/>
      <c r="DI215" s="28"/>
      <c r="DJ215" s="28"/>
      <c r="DK215" s="28"/>
      <c r="DL215" s="28"/>
      <c r="DM215" s="28"/>
      <c r="DN215" s="28"/>
      <c r="DO215" s="28"/>
      <c r="DP215" s="28">
        <v>18</v>
      </c>
      <c r="DQ215" s="28"/>
      <c r="DR215" s="28"/>
      <c r="DS215" s="28"/>
      <c r="DT215" s="28"/>
      <c r="DU215" s="28"/>
      <c r="DV215" s="28"/>
      <c r="DW215" s="28"/>
      <c r="DX215" s="28"/>
      <c r="DY215" s="28"/>
      <c r="DZ215" s="28"/>
      <c r="EA215" s="28"/>
      <c r="EB215" s="28"/>
      <c r="EC215" s="28"/>
      <c r="ED215" s="28"/>
      <c r="EE215" s="28"/>
      <c r="EF215" s="28"/>
      <c r="EG215" s="28"/>
      <c r="EH215" s="28"/>
      <c r="EI215" s="28"/>
      <c r="EJ215" s="28"/>
      <c r="EK215" s="28"/>
      <c r="EL215" s="28"/>
      <c r="EM215" s="28"/>
      <c r="EN215" s="28"/>
      <c r="EO215" s="28"/>
      <c r="EP215" s="28"/>
      <c r="EQ215" s="28"/>
      <c r="ER215" s="28"/>
      <c r="ES215" s="28"/>
      <c r="ET215" s="28"/>
      <c r="EU215" s="28"/>
      <c r="EV215" s="28"/>
      <c r="EW215" s="28"/>
      <c r="EX215" s="28"/>
      <c r="EY215" s="28"/>
      <c r="EZ215" s="28"/>
      <c r="FA215" s="28"/>
      <c r="FB215" s="28"/>
      <c r="FC215" s="28"/>
      <c r="FD215" s="28"/>
      <c r="FE215" s="28"/>
      <c r="FF215" s="28"/>
      <c r="FG215" s="28"/>
      <c r="FH215" s="28"/>
      <c r="FI215" s="28"/>
      <c r="FJ215" s="28"/>
      <c r="FK215" s="28"/>
      <c r="FL215" s="28"/>
      <c r="FM215" s="28"/>
      <c r="FN215" s="28"/>
      <c r="FO215" s="28"/>
      <c r="FP215" s="28"/>
      <c r="FQ215" s="28"/>
      <c r="FR215" s="28"/>
      <c r="FS215" s="28">
        <v>30</v>
      </c>
      <c r="FT215" s="28"/>
      <c r="FU215" s="28"/>
      <c r="FV215" s="28"/>
      <c r="FW215" s="28"/>
      <c r="FX215" s="28"/>
      <c r="FY215" s="28"/>
      <c r="FZ215" s="28"/>
      <c r="GA215" s="28"/>
      <c r="GB215" s="28"/>
      <c r="GC215" s="28"/>
      <c r="GD215" s="28"/>
      <c r="GE215" s="28"/>
      <c r="GF215" s="28"/>
      <c r="GG215" s="28"/>
      <c r="GH215" s="28"/>
      <c r="GI215" s="28"/>
      <c r="GJ215" s="28"/>
      <c r="GK215" s="28"/>
      <c r="GL215" s="28"/>
      <c r="GM215" s="28"/>
      <c r="GN215" s="28"/>
      <c r="GO215" s="28"/>
      <c r="GP215" s="28"/>
      <c r="GQ215" s="28"/>
      <c r="GR215" s="28"/>
      <c r="GS215" s="28"/>
      <c r="GT215" s="28"/>
      <c r="GU215" s="28"/>
      <c r="GV215" s="28"/>
      <c r="GW215" s="28"/>
      <c r="GX215" s="28"/>
      <c r="GY215" s="28"/>
      <c r="GZ215" s="28"/>
      <c r="HA215" s="28"/>
      <c r="HB215" s="28"/>
      <c r="HC215" s="28"/>
      <c r="HD215" s="28"/>
      <c r="HE215" s="28"/>
      <c r="HF215" s="28"/>
      <c r="HG215" s="28"/>
      <c r="HH215" s="28"/>
      <c r="HI215" s="28"/>
    </row>
    <row r="216" spans="1:217" ht="13" x14ac:dyDescent="0.15">
      <c r="A216" s="13">
        <v>43571</v>
      </c>
      <c r="B216" s="3" t="s">
        <v>244</v>
      </c>
      <c r="C216" s="16">
        <f t="shared" si="122"/>
        <v>200</v>
      </c>
      <c r="D216" s="3">
        <v>21.310611999999999</v>
      </c>
      <c r="E216" s="3">
        <v>-158.00441000000001</v>
      </c>
      <c r="F216" s="3" t="s">
        <v>326</v>
      </c>
      <c r="G216" s="14">
        <v>0.3888888888888889</v>
      </c>
      <c r="H216" s="14">
        <v>0.41319444444444442</v>
      </c>
      <c r="I216" s="3">
        <v>5</v>
      </c>
      <c r="J216" s="3">
        <v>20</v>
      </c>
      <c r="K216" s="3" t="s">
        <v>198</v>
      </c>
      <c r="L216" s="3">
        <v>5</v>
      </c>
      <c r="M216" s="3">
        <v>20</v>
      </c>
      <c r="N216" s="3" t="s">
        <v>476</v>
      </c>
      <c r="P216" s="3">
        <v>20</v>
      </c>
      <c r="R216" s="3">
        <v>6</v>
      </c>
      <c r="AE216" s="3">
        <v>1</v>
      </c>
      <c r="AN216" s="3">
        <v>1</v>
      </c>
      <c r="BA216" s="3"/>
      <c r="BB216" s="3">
        <v>1</v>
      </c>
      <c r="BC216" s="3">
        <v>17</v>
      </c>
      <c r="BE216" s="3">
        <v>22</v>
      </c>
      <c r="BV216" s="3">
        <v>9</v>
      </c>
      <c r="BZ216" s="3">
        <v>22</v>
      </c>
      <c r="CI216" s="3"/>
      <c r="CJ216" s="3"/>
      <c r="CK216" s="3">
        <v>1</v>
      </c>
      <c r="CO216" s="3">
        <v>2</v>
      </c>
      <c r="DM216" s="3">
        <v>19</v>
      </c>
      <c r="DO216" s="3">
        <v>2</v>
      </c>
      <c r="DT216" s="3"/>
      <c r="DU216" s="3"/>
      <c r="DV216" s="3">
        <v>4</v>
      </c>
      <c r="EC216" s="3">
        <v>9</v>
      </c>
      <c r="EE216" s="3"/>
      <c r="EF216" s="3"/>
      <c r="EG216" s="3"/>
      <c r="EH216" s="3"/>
      <c r="EI216" s="3"/>
      <c r="EJ216" s="3">
        <v>111</v>
      </c>
      <c r="EX216" s="3">
        <v>3</v>
      </c>
      <c r="FR216" s="3">
        <v>3</v>
      </c>
      <c r="FS216" s="3">
        <v>65</v>
      </c>
      <c r="GH216" s="3">
        <f t="shared" ref="GH216:GH224" si="123">COUNT(R216:GG216)</f>
        <v>18</v>
      </c>
      <c r="GI216" s="3">
        <f t="shared" ref="GI216:GI224" si="124">COUNTIF(R216:GG216,"&gt;=2")</f>
        <v>14</v>
      </c>
      <c r="GJ216" s="3">
        <f t="shared" ref="GJ216:GJ224" si="125">COUNTIF(R216:GG216,"&gt;=5")</f>
        <v>9</v>
      </c>
      <c r="GK216" s="3">
        <f t="shared" ref="GK216:GK224" si="126">SUM(R216:GG216)</f>
        <v>298</v>
      </c>
      <c r="GL216" s="3">
        <f t="shared" ref="GL216:GL224" si="127">25*P216</f>
        <v>500</v>
      </c>
      <c r="GM216" s="3">
        <f t="shared" ref="GM216:GM224" si="128">GL216-GK216</f>
        <v>202</v>
      </c>
    </row>
    <row r="217" spans="1:217" ht="13" x14ac:dyDescent="0.15">
      <c r="A217" s="13">
        <v>43571</v>
      </c>
      <c r="B217" s="3" t="s">
        <v>201</v>
      </c>
      <c r="C217" s="16">
        <f t="shared" si="122"/>
        <v>201</v>
      </c>
      <c r="D217" s="3">
        <v>21.25544</v>
      </c>
      <c r="E217" s="3">
        <v>-157.810303</v>
      </c>
      <c r="F217" s="3" t="s">
        <v>477</v>
      </c>
      <c r="G217" s="14">
        <v>0.3576388888888889</v>
      </c>
      <c r="H217" s="14">
        <v>0.41666666666666669</v>
      </c>
      <c r="I217" s="3">
        <v>6</v>
      </c>
      <c r="J217" s="3">
        <v>12.5</v>
      </c>
      <c r="K217" s="3" t="s">
        <v>318</v>
      </c>
      <c r="L217" s="3">
        <v>5</v>
      </c>
      <c r="M217" s="3">
        <v>28</v>
      </c>
      <c r="N217" s="3" t="s">
        <v>478</v>
      </c>
      <c r="P217" s="3">
        <v>28</v>
      </c>
      <c r="BA217" s="3"/>
      <c r="BB217" s="3">
        <v>5</v>
      </c>
      <c r="BM217" s="3">
        <v>28</v>
      </c>
      <c r="BV217" s="3">
        <v>3</v>
      </c>
      <c r="BW217" s="3">
        <v>9</v>
      </c>
      <c r="BY217" s="3">
        <v>11</v>
      </c>
      <c r="DB217" s="3"/>
      <c r="DC217" s="3">
        <v>1</v>
      </c>
      <c r="DK217" s="3"/>
      <c r="DL217" s="3">
        <v>55</v>
      </c>
      <c r="DM217" s="3">
        <v>2</v>
      </c>
      <c r="DR217" s="3"/>
      <c r="DS217" s="3">
        <v>27</v>
      </c>
      <c r="DT217" s="3"/>
      <c r="DU217" s="3"/>
      <c r="DV217" s="3">
        <v>22</v>
      </c>
      <c r="EE217" s="3"/>
      <c r="EF217" s="3"/>
      <c r="EG217" s="3"/>
      <c r="EH217" s="3"/>
      <c r="EI217" s="3"/>
      <c r="EJ217" s="3">
        <v>95</v>
      </c>
      <c r="EY217" s="3"/>
      <c r="EZ217" s="3">
        <v>18</v>
      </c>
      <c r="FA217" s="3">
        <v>1</v>
      </c>
      <c r="FB217" s="3">
        <v>3</v>
      </c>
      <c r="FR217" s="3">
        <v>98</v>
      </c>
      <c r="FS217" s="3">
        <v>85</v>
      </c>
      <c r="GH217" s="3">
        <f t="shared" si="123"/>
        <v>16</v>
      </c>
      <c r="GI217" s="3">
        <f t="shared" si="124"/>
        <v>14</v>
      </c>
      <c r="GJ217" s="3">
        <f t="shared" si="125"/>
        <v>11</v>
      </c>
      <c r="GK217" s="3">
        <f t="shared" si="126"/>
        <v>463</v>
      </c>
      <c r="GL217" s="3">
        <f t="shared" si="127"/>
        <v>700</v>
      </c>
      <c r="GM217" s="3">
        <f t="shared" si="128"/>
        <v>237</v>
      </c>
    </row>
    <row r="218" spans="1:217" ht="13" x14ac:dyDescent="0.15">
      <c r="A218" s="13">
        <v>43572</v>
      </c>
      <c r="B218" s="3" t="s">
        <v>201</v>
      </c>
      <c r="C218" s="16">
        <f t="shared" si="122"/>
        <v>202</v>
      </c>
      <c r="D218" s="3">
        <v>21.25544</v>
      </c>
      <c r="E218" s="3">
        <v>-157.810303</v>
      </c>
      <c r="F218" s="3" t="s">
        <v>477</v>
      </c>
      <c r="G218" s="14">
        <v>0.3611111111111111</v>
      </c>
      <c r="H218" s="14">
        <v>0.41666666666666669</v>
      </c>
      <c r="I218" s="3">
        <v>5</v>
      </c>
      <c r="J218" s="3">
        <v>11</v>
      </c>
      <c r="K218" s="3" t="s">
        <v>318</v>
      </c>
      <c r="L218" s="3">
        <v>10</v>
      </c>
      <c r="M218" s="3">
        <v>46</v>
      </c>
      <c r="N218" s="3" t="s">
        <v>481</v>
      </c>
      <c r="P218" s="3">
        <v>46</v>
      </c>
      <c r="T218" s="3">
        <v>1</v>
      </c>
      <c r="Y218" s="3"/>
      <c r="Z218" s="3"/>
      <c r="AA218" s="3"/>
      <c r="AB218" s="3">
        <v>5</v>
      </c>
      <c r="AQ218" s="3"/>
      <c r="AR218" s="3">
        <v>1</v>
      </c>
      <c r="BC218" s="3">
        <v>1</v>
      </c>
      <c r="BM218" s="3">
        <v>92</v>
      </c>
      <c r="BU218" s="3">
        <v>14</v>
      </c>
      <c r="BV218" s="3">
        <v>4</v>
      </c>
      <c r="BW218" s="3">
        <v>9</v>
      </c>
      <c r="BX218" s="3">
        <v>6</v>
      </c>
      <c r="BZ218" s="3">
        <v>44</v>
      </c>
      <c r="DB218" s="3"/>
      <c r="DC218" s="3">
        <v>1</v>
      </c>
      <c r="DD218" s="3"/>
      <c r="DE218" s="3">
        <v>8</v>
      </c>
      <c r="DJ218" s="3">
        <v>5</v>
      </c>
      <c r="DK218" s="3"/>
      <c r="DL218" s="3">
        <v>4</v>
      </c>
      <c r="DR218" s="3"/>
      <c r="DS218" s="3">
        <v>68</v>
      </c>
      <c r="DT218" s="3"/>
      <c r="DU218" s="3"/>
      <c r="DV218" s="3">
        <v>3</v>
      </c>
      <c r="EE218" s="3"/>
      <c r="EF218" s="3"/>
      <c r="EG218" s="3"/>
      <c r="EH218" s="3"/>
      <c r="EI218" s="3"/>
      <c r="EJ218" s="3">
        <v>471</v>
      </c>
      <c r="EY218" s="3"/>
      <c r="EZ218" s="3">
        <v>16</v>
      </c>
      <c r="FA218" s="3">
        <v>5</v>
      </c>
      <c r="FF218" s="3">
        <v>7</v>
      </c>
      <c r="FR218" s="3">
        <v>59</v>
      </c>
      <c r="FS218" s="3">
        <v>119</v>
      </c>
      <c r="FV218" s="3"/>
      <c r="FW218" s="3">
        <v>20</v>
      </c>
      <c r="GH218" s="3">
        <f t="shared" si="123"/>
        <v>23</v>
      </c>
      <c r="GI218" s="3">
        <f t="shared" si="124"/>
        <v>19</v>
      </c>
      <c r="GJ218" s="3">
        <f t="shared" si="125"/>
        <v>16</v>
      </c>
      <c r="GK218" s="3">
        <f t="shared" si="126"/>
        <v>963</v>
      </c>
      <c r="GL218" s="3">
        <f t="shared" si="127"/>
        <v>1150</v>
      </c>
      <c r="GM218" s="3">
        <f t="shared" si="128"/>
        <v>187</v>
      </c>
    </row>
    <row r="219" spans="1:217" ht="13" x14ac:dyDescent="0.15">
      <c r="A219" s="24">
        <v>43572</v>
      </c>
      <c r="B219" s="25" t="s">
        <v>259</v>
      </c>
      <c r="C219" s="16">
        <f t="shared" si="122"/>
        <v>203</v>
      </c>
      <c r="D219" s="25">
        <v>19.737894000000001</v>
      </c>
      <c r="E219" s="25">
        <v>-155.03405799999999</v>
      </c>
      <c r="F219" s="25" t="s">
        <v>482</v>
      </c>
      <c r="G219" s="26">
        <v>0.36805555555555558</v>
      </c>
      <c r="H219" s="26">
        <v>0.44791666666666669</v>
      </c>
      <c r="I219" s="25">
        <v>7</v>
      </c>
      <c r="J219" s="25">
        <v>20</v>
      </c>
      <c r="K219" s="25" t="s">
        <v>217</v>
      </c>
      <c r="L219" s="25">
        <v>5</v>
      </c>
      <c r="M219" s="25">
        <v>29</v>
      </c>
      <c r="N219" s="25" t="s">
        <v>483</v>
      </c>
      <c r="O219" s="25"/>
      <c r="P219" s="25"/>
      <c r="Q219" s="25"/>
      <c r="R219" s="25"/>
      <c r="S219" s="25"/>
      <c r="T219" s="25"/>
      <c r="U219" s="25"/>
      <c r="V219" s="25"/>
      <c r="W219" s="25"/>
      <c r="X219" s="25"/>
      <c r="Y219" s="25"/>
      <c r="Z219" s="25"/>
      <c r="AA219" s="25"/>
      <c r="AB219" s="25"/>
      <c r="AC219" s="25"/>
      <c r="AD219" s="25"/>
      <c r="AE219" s="25"/>
      <c r="AF219" s="25"/>
      <c r="AG219" s="25">
        <v>4</v>
      </c>
      <c r="AH219" s="25"/>
      <c r="AI219" s="25"/>
      <c r="AJ219" s="25"/>
      <c r="AK219" s="25"/>
      <c r="AL219" s="25"/>
      <c r="AM219" s="25">
        <v>94</v>
      </c>
      <c r="AN219" s="25"/>
      <c r="AO219" s="25"/>
      <c r="AP219" s="25">
        <v>1</v>
      </c>
      <c r="AQ219" s="25"/>
      <c r="AR219" s="25"/>
      <c r="AS219" s="25"/>
      <c r="AT219" s="25"/>
      <c r="AU219" s="25"/>
      <c r="AV219" s="25"/>
      <c r="AW219" s="25"/>
      <c r="AX219" s="25"/>
      <c r="AY219" s="25"/>
      <c r="AZ219" s="25"/>
      <c r="BA219" s="25"/>
      <c r="BB219" s="25">
        <v>12</v>
      </c>
      <c r="BC219" s="25"/>
      <c r="BD219" s="25"/>
      <c r="BE219" s="25"/>
      <c r="BF219" s="25"/>
      <c r="BG219" s="25"/>
      <c r="BH219" s="25"/>
      <c r="BI219" s="25"/>
      <c r="BJ219" s="25"/>
      <c r="BK219" s="25">
        <v>20</v>
      </c>
      <c r="BL219" s="25"/>
      <c r="BM219" s="25">
        <v>75</v>
      </c>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c r="CO219" s="25">
        <v>11</v>
      </c>
      <c r="CP219" s="25"/>
      <c r="CQ219" s="25"/>
      <c r="CR219" s="25"/>
      <c r="CS219" s="25"/>
      <c r="CT219" s="25"/>
      <c r="CU219" s="25"/>
      <c r="CV219" s="25"/>
      <c r="CW219" s="25"/>
      <c r="CX219" s="25"/>
      <c r="CY219" s="25"/>
      <c r="CZ219" s="25"/>
      <c r="DA219" s="25"/>
      <c r="DB219" s="25"/>
      <c r="DC219" s="25"/>
      <c r="DD219" s="25"/>
      <c r="DE219" s="25"/>
      <c r="DF219" s="25"/>
      <c r="DG219" s="25"/>
      <c r="DH219" s="25">
        <v>28</v>
      </c>
      <c r="DI219" s="25"/>
      <c r="DJ219" s="25"/>
      <c r="DK219" s="25"/>
      <c r="DL219" s="25"/>
      <c r="DM219" s="25"/>
      <c r="DN219" s="25"/>
      <c r="DO219" s="25"/>
      <c r="DP219" s="25"/>
      <c r="DQ219" s="25"/>
      <c r="DR219" s="25"/>
      <c r="DS219" s="25"/>
      <c r="DT219" s="25"/>
      <c r="DU219" s="25"/>
      <c r="DV219" s="25"/>
      <c r="DW219" s="25"/>
      <c r="DX219" s="25"/>
      <c r="DY219" s="25"/>
      <c r="DZ219" s="25"/>
      <c r="EA219" s="25"/>
      <c r="EB219" s="25"/>
      <c r="EC219" s="25"/>
      <c r="ED219" s="25"/>
      <c r="EE219" s="25"/>
      <c r="EF219" s="25"/>
      <c r="EG219" s="25"/>
      <c r="EH219" s="25"/>
      <c r="EI219" s="25"/>
      <c r="EJ219" s="25"/>
      <c r="EK219" s="25"/>
      <c r="EL219" s="25"/>
      <c r="EM219" s="25"/>
      <c r="EN219" s="25"/>
      <c r="EO219" s="25"/>
      <c r="EP219" s="25"/>
      <c r="EQ219" s="25"/>
      <c r="ER219" s="25"/>
      <c r="ES219" s="25"/>
      <c r="ET219" s="25"/>
      <c r="EU219" s="25"/>
      <c r="EV219" s="25"/>
      <c r="EW219" s="25"/>
      <c r="EX219" s="25"/>
      <c r="EY219" s="25"/>
      <c r="EZ219" s="25"/>
      <c r="FA219" s="25"/>
      <c r="FB219" s="25"/>
      <c r="FC219" s="25"/>
      <c r="FD219" s="25"/>
      <c r="FE219" s="25">
        <v>17</v>
      </c>
      <c r="FF219" s="25"/>
      <c r="FG219" s="25"/>
      <c r="FH219" s="25"/>
      <c r="FI219" s="25"/>
      <c r="FJ219" s="25"/>
      <c r="FK219" s="25"/>
      <c r="FL219" s="25"/>
      <c r="FM219" s="25">
        <v>3</v>
      </c>
      <c r="FN219" s="25"/>
      <c r="FO219" s="25"/>
      <c r="FP219" s="25"/>
      <c r="FQ219" s="25"/>
      <c r="FR219" s="25"/>
      <c r="FS219" s="25">
        <v>186</v>
      </c>
      <c r="FT219" s="25"/>
      <c r="FU219" s="25"/>
      <c r="FV219" s="25"/>
      <c r="FW219" s="25">
        <v>8</v>
      </c>
      <c r="FX219" s="25"/>
      <c r="FY219" s="25"/>
      <c r="FZ219" s="25"/>
      <c r="GA219" s="25"/>
      <c r="GB219" s="25"/>
      <c r="GC219" s="25"/>
      <c r="GD219" s="25"/>
      <c r="GE219" s="25"/>
      <c r="GF219" s="25"/>
      <c r="GG219" s="25"/>
      <c r="GH219" s="25">
        <f t="shared" si="123"/>
        <v>12</v>
      </c>
      <c r="GI219" s="25">
        <f t="shared" si="124"/>
        <v>11</v>
      </c>
      <c r="GJ219" s="25">
        <f t="shared" si="125"/>
        <v>9</v>
      </c>
      <c r="GK219" s="25">
        <f t="shared" si="126"/>
        <v>459</v>
      </c>
      <c r="GL219" s="25">
        <f t="shared" si="127"/>
        <v>0</v>
      </c>
      <c r="GM219" s="25">
        <f t="shared" si="128"/>
        <v>-459</v>
      </c>
      <c r="GN219" s="25"/>
      <c r="GO219" s="25"/>
      <c r="GP219" s="25"/>
      <c r="GQ219" s="25"/>
      <c r="GR219" s="25"/>
      <c r="GS219" s="25"/>
      <c r="GT219" s="25"/>
      <c r="GU219" s="25"/>
      <c r="GV219" s="25"/>
      <c r="GW219" s="25"/>
      <c r="GX219" s="25"/>
      <c r="GY219" s="25"/>
      <c r="GZ219" s="25"/>
      <c r="HA219" s="25"/>
      <c r="HB219" s="25"/>
      <c r="HC219" s="25"/>
      <c r="HD219" s="25"/>
      <c r="HE219" s="25"/>
      <c r="HF219" s="25"/>
      <c r="HG219" s="25"/>
      <c r="HH219" s="25"/>
      <c r="HI219" s="25"/>
    </row>
    <row r="220" spans="1:217" ht="13" x14ac:dyDescent="0.15">
      <c r="A220" s="13">
        <v>43573</v>
      </c>
      <c r="B220" s="3" t="s">
        <v>340</v>
      </c>
      <c r="C220" s="16">
        <f t="shared" si="122"/>
        <v>204</v>
      </c>
      <c r="D220" s="3">
        <v>19.643276</v>
      </c>
      <c r="E220" s="3">
        <v>-156.01019299999999</v>
      </c>
      <c r="F220" s="3" t="s">
        <v>418</v>
      </c>
      <c r="G220" s="14">
        <v>0.41319444444444442</v>
      </c>
      <c r="H220" s="14">
        <v>0.47916666666666669</v>
      </c>
      <c r="I220" s="3">
        <v>4</v>
      </c>
      <c r="J220" s="3">
        <v>18</v>
      </c>
      <c r="K220" s="3" t="s">
        <v>198</v>
      </c>
      <c r="L220" s="3">
        <v>10</v>
      </c>
      <c r="M220" s="3">
        <v>26</v>
      </c>
      <c r="N220" s="3" t="s">
        <v>486</v>
      </c>
      <c r="P220" s="3">
        <v>26</v>
      </c>
      <c r="T220" s="3">
        <v>19</v>
      </c>
      <c r="AC220" s="3"/>
      <c r="AD220" s="3">
        <v>5</v>
      </c>
      <c r="AH220" s="3">
        <v>1</v>
      </c>
      <c r="AU220" s="3"/>
      <c r="AV220" s="3">
        <v>1</v>
      </c>
      <c r="BA220" s="3"/>
      <c r="BB220" s="3">
        <v>2</v>
      </c>
      <c r="BG220" s="3">
        <v>18</v>
      </c>
      <c r="BH220" s="3">
        <v>11</v>
      </c>
      <c r="BM220" s="3">
        <v>68</v>
      </c>
      <c r="BY220" s="3">
        <v>5</v>
      </c>
      <c r="CC220" s="3">
        <v>6</v>
      </c>
      <c r="CD220" s="3">
        <v>3</v>
      </c>
      <c r="DM220" s="3">
        <v>11</v>
      </c>
      <c r="DP220" s="3">
        <v>3</v>
      </c>
      <c r="DW220" s="3">
        <v>13</v>
      </c>
      <c r="EE220" s="3"/>
      <c r="EF220" s="3"/>
      <c r="EG220" s="3"/>
      <c r="EH220" s="3"/>
      <c r="EI220" s="3"/>
      <c r="EJ220" s="3">
        <v>10</v>
      </c>
      <c r="FB220" s="3">
        <v>48</v>
      </c>
      <c r="FS220" s="3">
        <v>117</v>
      </c>
      <c r="FZ220" s="3">
        <v>12</v>
      </c>
      <c r="GH220" s="3">
        <f t="shared" si="123"/>
        <v>18</v>
      </c>
      <c r="GI220" s="3">
        <f t="shared" si="124"/>
        <v>16</v>
      </c>
      <c r="GJ220" s="3">
        <f t="shared" si="125"/>
        <v>13</v>
      </c>
      <c r="GK220" s="3">
        <f t="shared" si="126"/>
        <v>353</v>
      </c>
      <c r="GL220" s="3">
        <f t="shared" si="127"/>
        <v>650</v>
      </c>
      <c r="GM220" s="3">
        <f t="shared" si="128"/>
        <v>297</v>
      </c>
    </row>
    <row r="221" spans="1:217" ht="13" x14ac:dyDescent="0.15">
      <c r="A221" s="24">
        <v>43573</v>
      </c>
      <c r="B221" s="25" t="s">
        <v>259</v>
      </c>
      <c r="C221" s="16">
        <f t="shared" si="122"/>
        <v>205</v>
      </c>
      <c r="D221" s="25">
        <v>19.737894000000001</v>
      </c>
      <c r="E221" s="25">
        <v>-155.03405799999999</v>
      </c>
      <c r="F221" s="25" t="s">
        <v>482</v>
      </c>
      <c r="G221" s="26">
        <v>0.375</v>
      </c>
      <c r="H221" s="26">
        <v>0.44791666666666669</v>
      </c>
      <c r="I221" s="25">
        <v>7</v>
      </c>
      <c r="J221" s="25">
        <v>20</v>
      </c>
      <c r="K221" s="25" t="s">
        <v>217</v>
      </c>
      <c r="L221" s="25">
        <v>5</v>
      </c>
      <c r="M221" s="25">
        <v>33</v>
      </c>
      <c r="N221" s="25" t="s">
        <v>487</v>
      </c>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v>49</v>
      </c>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v>24</v>
      </c>
      <c r="BL221" s="25"/>
      <c r="BM221" s="25">
        <v>36</v>
      </c>
      <c r="BN221" s="25"/>
      <c r="BO221" s="25"/>
      <c r="BP221" s="25"/>
      <c r="BQ221" s="25"/>
      <c r="BR221" s="25"/>
      <c r="BS221" s="25"/>
      <c r="BT221" s="25"/>
      <c r="BU221" s="25"/>
      <c r="BV221" s="25"/>
      <c r="BW221" s="25"/>
      <c r="BX221" s="25"/>
      <c r="BY221" s="25"/>
      <c r="BZ221" s="25"/>
      <c r="CA221" s="25"/>
      <c r="CB221" s="25"/>
      <c r="CC221" s="25"/>
      <c r="CD221" s="25">
        <v>1</v>
      </c>
      <c r="CE221" s="25"/>
      <c r="CF221" s="25"/>
      <c r="CG221" s="25"/>
      <c r="CH221" s="25"/>
      <c r="CI221" s="25"/>
      <c r="CJ221" s="25"/>
      <c r="CK221" s="25"/>
      <c r="CL221" s="25"/>
      <c r="CM221" s="25"/>
      <c r="CN221" s="25"/>
      <c r="CO221" s="25"/>
      <c r="CP221" s="25"/>
      <c r="CQ221" s="25"/>
      <c r="CR221" s="25"/>
      <c r="CS221" s="25"/>
      <c r="CT221" s="25"/>
      <c r="CU221" s="25"/>
      <c r="CV221" s="25"/>
      <c r="CW221" s="25"/>
      <c r="CX221" s="25"/>
      <c r="CY221" s="25"/>
      <c r="CZ221" s="25"/>
      <c r="DA221" s="25"/>
      <c r="DB221" s="25"/>
      <c r="DC221" s="25"/>
      <c r="DD221" s="25"/>
      <c r="DE221" s="25"/>
      <c r="DF221" s="25"/>
      <c r="DG221" s="25"/>
      <c r="DH221" s="25">
        <v>48</v>
      </c>
      <c r="DI221" s="25"/>
      <c r="DJ221" s="25"/>
      <c r="DK221" s="25"/>
      <c r="DL221" s="25"/>
      <c r="DM221" s="25"/>
      <c r="DN221" s="25"/>
      <c r="DO221" s="25"/>
      <c r="DP221" s="25"/>
      <c r="DQ221" s="25"/>
      <c r="DR221" s="25"/>
      <c r="DS221" s="25"/>
      <c r="DT221" s="25"/>
      <c r="DU221" s="25"/>
      <c r="DV221" s="25"/>
      <c r="DW221" s="25"/>
      <c r="DX221" s="25"/>
      <c r="DY221" s="25"/>
      <c r="DZ221" s="25"/>
      <c r="EA221" s="25"/>
      <c r="EB221" s="25"/>
      <c r="EC221" s="25"/>
      <c r="ED221" s="25"/>
      <c r="EE221" s="25"/>
      <c r="EF221" s="25"/>
      <c r="EG221" s="25"/>
      <c r="EH221" s="25"/>
      <c r="EI221" s="25"/>
      <c r="EJ221" s="25"/>
      <c r="EK221" s="25"/>
      <c r="EL221" s="25"/>
      <c r="EM221" s="25"/>
      <c r="EN221" s="25"/>
      <c r="EO221" s="25"/>
      <c r="EP221" s="25"/>
      <c r="EQ221" s="25"/>
      <c r="ER221" s="25"/>
      <c r="ES221" s="25"/>
      <c r="ET221" s="25"/>
      <c r="EU221" s="25"/>
      <c r="EV221" s="25"/>
      <c r="EW221" s="25"/>
      <c r="EX221" s="25"/>
      <c r="EY221" s="25"/>
      <c r="EZ221" s="25"/>
      <c r="FA221" s="25"/>
      <c r="FB221" s="25"/>
      <c r="FC221" s="25"/>
      <c r="FD221" s="25"/>
      <c r="FE221" s="25">
        <v>2</v>
      </c>
      <c r="FF221" s="25"/>
      <c r="FG221" s="25"/>
      <c r="FH221" s="25"/>
      <c r="FI221" s="25"/>
      <c r="FJ221" s="25"/>
      <c r="FK221" s="25"/>
      <c r="FL221" s="25"/>
      <c r="FM221" s="25">
        <v>3</v>
      </c>
      <c r="FN221" s="25"/>
      <c r="FO221" s="25"/>
      <c r="FP221" s="25">
        <v>1</v>
      </c>
      <c r="FQ221" s="25">
        <v>6</v>
      </c>
      <c r="FR221" s="25"/>
      <c r="FS221" s="25">
        <v>336</v>
      </c>
      <c r="FT221" s="25"/>
      <c r="FU221" s="25"/>
      <c r="FV221" s="25"/>
      <c r="FW221" s="25">
        <v>3</v>
      </c>
      <c r="FX221" s="25"/>
      <c r="FY221" s="25"/>
      <c r="FZ221" s="25"/>
      <c r="GA221" s="25"/>
      <c r="GB221" s="25"/>
      <c r="GC221" s="25"/>
      <c r="GD221" s="25"/>
      <c r="GE221" s="25"/>
      <c r="GF221" s="25"/>
      <c r="GG221" s="25"/>
      <c r="GH221" s="25">
        <f t="shared" si="123"/>
        <v>11</v>
      </c>
      <c r="GI221" s="25">
        <f t="shared" si="124"/>
        <v>9</v>
      </c>
      <c r="GJ221" s="25">
        <f t="shared" si="125"/>
        <v>6</v>
      </c>
      <c r="GK221" s="25">
        <f t="shared" si="126"/>
        <v>509</v>
      </c>
      <c r="GL221" s="25">
        <f t="shared" si="127"/>
        <v>0</v>
      </c>
      <c r="GM221" s="25">
        <f t="shared" si="128"/>
        <v>-509</v>
      </c>
      <c r="GN221" s="25"/>
      <c r="GO221" s="25"/>
      <c r="GP221" s="25"/>
      <c r="GQ221" s="25"/>
      <c r="GR221" s="25"/>
      <c r="GS221" s="25"/>
      <c r="GT221" s="25"/>
      <c r="GU221" s="25"/>
      <c r="GV221" s="25"/>
      <c r="GW221" s="25"/>
      <c r="GX221" s="25"/>
      <c r="GY221" s="25"/>
      <c r="GZ221" s="25"/>
      <c r="HA221" s="25"/>
      <c r="HB221" s="25"/>
      <c r="HC221" s="25"/>
      <c r="HD221" s="25"/>
      <c r="HE221" s="25"/>
      <c r="HF221" s="25"/>
      <c r="HG221" s="25"/>
      <c r="HH221" s="25"/>
      <c r="HI221" s="25"/>
    </row>
    <row r="222" spans="1:217" ht="13" x14ac:dyDescent="0.15">
      <c r="A222" s="13">
        <v>43573</v>
      </c>
      <c r="B222" s="3" t="s">
        <v>489</v>
      </c>
      <c r="C222" s="16">
        <f t="shared" si="122"/>
        <v>206</v>
      </c>
      <c r="D222" s="3">
        <v>19.640812</v>
      </c>
      <c r="E222" s="3">
        <v>-156.00692699999999</v>
      </c>
      <c r="F222" s="3" t="s">
        <v>367</v>
      </c>
      <c r="G222" s="14">
        <v>0.375</v>
      </c>
      <c r="H222" s="14">
        <v>0.47916666666666669</v>
      </c>
      <c r="I222" s="3">
        <v>4</v>
      </c>
      <c r="J222" s="3">
        <v>20</v>
      </c>
      <c r="K222" s="3" t="s">
        <v>198</v>
      </c>
      <c r="L222" s="3">
        <v>10</v>
      </c>
      <c r="M222" s="3">
        <v>26</v>
      </c>
      <c r="N222" s="3" t="s">
        <v>486</v>
      </c>
      <c r="P222" s="3">
        <v>26</v>
      </c>
      <c r="T222" s="3">
        <v>24</v>
      </c>
      <c r="AH222" s="3">
        <v>1</v>
      </c>
      <c r="AU222" s="3"/>
      <c r="AV222" s="3">
        <v>1</v>
      </c>
      <c r="BA222" s="3"/>
      <c r="BB222" s="3">
        <v>2</v>
      </c>
      <c r="BG222" s="3">
        <v>18</v>
      </c>
      <c r="BH222" s="3">
        <v>11</v>
      </c>
      <c r="BM222" s="3">
        <v>68</v>
      </c>
      <c r="BY222" s="3">
        <v>5</v>
      </c>
      <c r="CC222" s="3">
        <v>6</v>
      </c>
      <c r="CD222" s="3">
        <v>3</v>
      </c>
      <c r="DM222" s="3">
        <v>11</v>
      </c>
      <c r="DP222" s="3">
        <v>3</v>
      </c>
      <c r="EJ222" s="3">
        <v>10</v>
      </c>
      <c r="FB222" s="3">
        <v>48</v>
      </c>
      <c r="FS222" s="3">
        <v>117</v>
      </c>
      <c r="FZ222" s="3">
        <v>12</v>
      </c>
      <c r="GH222" s="3">
        <f t="shared" si="123"/>
        <v>16</v>
      </c>
      <c r="GI222" s="3">
        <f t="shared" si="124"/>
        <v>14</v>
      </c>
      <c r="GJ222" s="3">
        <f t="shared" si="125"/>
        <v>11</v>
      </c>
      <c r="GK222" s="3">
        <f t="shared" si="126"/>
        <v>340</v>
      </c>
      <c r="GL222" s="3">
        <f t="shared" si="127"/>
        <v>650</v>
      </c>
      <c r="GM222" s="3">
        <f t="shared" si="128"/>
        <v>310</v>
      </c>
    </row>
    <row r="223" spans="1:217" ht="13" x14ac:dyDescent="0.15">
      <c r="A223" s="13">
        <v>43573</v>
      </c>
      <c r="B223" s="3" t="s">
        <v>201</v>
      </c>
      <c r="C223" s="16">
        <f t="shared" si="122"/>
        <v>207</v>
      </c>
      <c r="D223" s="3">
        <v>21.25544</v>
      </c>
      <c r="E223" s="3">
        <v>-157.810303</v>
      </c>
      <c r="F223" s="3" t="s">
        <v>477</v>
      </c>
      <c r="G223" s="14">
        <v>0.375</v>
      </c>
      <c r="H223" s="14">
        <v>0.43055555555555558</v>
      </c>
      <c r="I223" s="3">
        <v>5</v>
      </c>
      <c r="J223" s="3">
        <v>10.5</v>
      </c>
      <c r="K223" s="3" t="s">
        <v>318</v>
      </c>
      <c r="L223" s="3">
        <v>10</v>
      </c>
      <c r="M223" s="3">
        <v>46</v>
      </c>
      <c r="N223" s="3" t="s">
        <v>491</v>
      </c>
      <c r="P223" s="3">
        <v>46</v>
      </c>
      <c r="R223" s="3">
        <v>1</v>
      </c>
      <c r="AJ223" s="3"/>
      <c r="AK223" s="3"/>
      <c r="AL223" s="3"/>
      <c r="AM223" s="3">
        <v>1</v>
      </c>
      <c r="AT223" s="3">
        <v>1</v>
      </c>
      <c r="BM223" s="3">
        <v>63</v>
      </c>
      <c r="BU223" s="3">
        <v>2</v>
      </c>
      <c r="BV223" s="3">
        <v>19</v>
      </c>
      <c r="BW223" s="3">
        <v>4</v>
      </c>
      <c r="DB223" s="3"/>
      <c r="DC223" s="3">
        <v>2</v>
      </c>
      <c r="DF223" s="3"/>
      <c r="DG223" s="3">
        <v>2</v>
      </c>
      <c r="DJ223" s="3">
        <v>1</v>
      </c>
      <c r="DK223" s="3"/>
      <c r="DL223" s="3">
        <v>8</v>
      </c>
      <c r="DM223" s="3">
        <v>24</v>
      </c>
      <c r="DR223" s="3"/>
      <c r="DS223" s="3">
        <v>91</v>
      </c>
      <c r="DT223" s="3"/>
      <c r="DU223" s="3"/>
      <c r="DV223" s="3">
        <v>12</v>
      </c>
      <c r="EC223" s="3">
        <v>1</v>
      </c>
      <c r="EE223" s="3"/>
      <c r="EF223" s="3"/>
      <c r="EG223" s="3"/>
      <c r="EH223" s="3"/>
      <c r="EI223" s="3"/>
      <c r="EJ223" s="3">
        <v>318</v>
      </c>
      <c r="EY223" s="3"/>
      <c r="EZ223" s="3">
        <v>18</v>
      </c>
      <c r="FA223" s="3">
        <v>15</v>
      </c>
      <c r="FB223" s="3">
        <v>51</v>
      </c>
      <c r="FI223" s="3">
        <v>1</v>
      </c>
      <c r="FQ223" s="3">
        <v>20</v>
      </c>
      <c r="FR223" s="3">
        <v>132</v>
      </c>
      <c r="FS223" s="3">
        <v>46</v>
      </c>
      <c r="FV223" s="3"/>
      <c r="FW223" s="3">
        <v>1</v>
      </c>
      <c r="GH223" s="3">
        <f t="shared" si="123"/>
        <v>24</v>
      </c>
      <c r="GI223" s="3">
        <f t="shared" si="124"/>
        <v>17</v>
      </c>
      <c r="GJ223" s="3">
        <f t="shared" si="125"/>
        <v>13</v>
      </c>
      <c r="GK223" s="3">
        <f t="shared" si="126"/>
        <v>834</v>
      </c>
      <c r="GL223" s="3">
        <f t="shared" si="127"/>
        <v>1150</v>
      </c>
      <c r="GM223" s="3">
        <f t="shared" si="128"/>
        <v>316</v>
      </c>
    </row>
    <row r="224" spans="1:217" ht="13" x14ac:dyDescent="0.15">
      <c r="A224" s="13">
        <v>43573</v>
      </c>
      <c r="B224" s="3" t="s">
        <v>492</v>
      </c>
      <c r="C224" s="16">
        <f t="shared" si="122"/>
        <v>208</v>
      </c>
      <c r="D224" s="3">
        <v>21.452874999999999</v>
      </c>
      <c r="E224" s="3">
        <v>-158.19996599999999</v>
      </c>
      <c r="F224" s="3" t="s">
        <v>493</v>
      </c>
      <c r="G224" s="14">
        <v>0.35416666666666669</v>
      </c>
      <c r="H224" s="14">
        <v>0.39930555555555558</v>
      </c>
      <c r="I224" s="3">
        <v>6</v>
      </c>
      <c r="J224" s="3">
        <v>11</v>
      </c>
      <c r="K224" s="3" t="s">
        <v>318</v>
      </c>
      <c r="L224" s="3">
        <v>5</v>
      </c>
      <c r="M224" s="3">
        <v>30</v>
      </c>
      <c r="P224" s="3">
        <v>30</v>
      </c>
      <c r="R224" s="3">
        <v>7</v>
      </c>
      <c r="BM224" s="3">
        <v>19</v>
      </c>
      <c r="BV224" s="3">
        <v>8</v>
      </c>
      <c r="BZ224" s="3">
        <v>35</v>
      </c>
      <c r="CE224" s="3">
        <v>25</v>
      </c>
      <c r="CF224" s="3">
        <v>12</v>
      </c>
      <c r="DM224" s="3">
        <v>89</v>
      </c>
      <c r="EE224" s="3"/>
      <c r="EF224" s="3"/>
      <c r="EG224" s="3"/>
      <c r="EH224" s="3"/>
      <c r="EI224" s="3"/>
      <c r="EJ224" s="3">
        <v>111</v>
      </c>
      <c r="EY224" s="3"/>
      <c r="EZ224" s="3">
        <v>2</v>
      </c>
      <c r="FB224" s="3">
        <v>187</v>
      </c>
      <c r="FI224" s="3">
        <v>11</v>
      </c>
      <c r="FR224" s="3">
        <v>12</v>
      </c>
      <c r="FS224" s="3">
        <v>157</v>
      </c>
      <c r="GH224" s="3">
        <f t="shared" si="123"/>
        <v>13</v>
      </c>
      <c r="GI224" s="3">
        <f t="shared" si="124"/>
        <v>13</v>
      </c>
      <c r="GJ224" s="3">
        <f t="shared" si="125"/>
        <v>12</v>
      </c>
      <c r="GK224" s="3">
        <f t="shared" si="126"/>
        <v>675</v>
      </c>
      <c r="GL224" s="3">
        <f t="shared" si="127"/>
        <v>750</v>
      </c>
      <c r="GM224" s="3">
        <f t="shared" si="128"/>
        <v>75</v>
      </c>
    </row>
    <row r="225" spans="1:217" ht="13" x14ac:dyDescent="0.15">
      <c r="A225" s="19">
        <v>43573</v>
      </c>
      <c r="B225" s="20" t="s">
        <v>246</v>
      </c>
      <c r="C225" s="16"/>
      <c r="D225" s="20"/>
      <c r="E225" s="20"/>
      <c r="F225" s="20"/>
      <c r="G225" s="21"/>
      <c r="H225" s="21"/>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c r="DU225" s="20"/>
      <c r="DV225" s="20"/>
      <c r="DW225" s="20"/>
      <c r="DX225" s="20"/>
      <c r="DY225" s="20"/>
      <c r="DZ225" s="20"/>
      <c r="EA225" s="20"/>
      <c r="EB225" s="20"/>
      <c r="EC225" s="20"/>
      <c r="ED225" s="20"/>
      <c r="EE225" s="20"/>
      <c r="EF225" s="20"/>
      <c r="EG225" s="20"/>
      <c r="EH225" s="20"/>
      <c r="EI225" s="20"/>
      <c r="EJ225" s="20"/>
      <c r="EK225" s="20"/>
      <c r="EL225" s="20"/>
      <c r="EM225" s="20"/>
      <c r="EN225" s="20"/>
      <c r="EO225" s="20"/>
      <c r="EP225" s="20"/>
      <c r="EQ225" s="20"/>
      <c r="ER225" s="20"/>
      <c r="ES225" s="20"/>
      <c r="ET225" s="20"/>
      <c r="EU225" s="20"/>
      <c r="EV225" s="20"/>
      <c r="EW225" s="20"/>
      <c r="EX225" s="20"/>
      <c r="EY225" s="20"/>
      <c r="EZ225" s="20"/>
      <c r="FA225" s="20"/>
      <c r="FB225" s="20"/>
      <c r="FC225" s="20"/>
      <c r="FD225" s="20"/>
      <c r="FE225" s="20"/>
      <c r="FF225" s="20"/>
      <c r="FG225" s="20"/>
      <c r="FH225" s="20"/>
      <c r="FI225" s="20"/>
      <c r="FJ225" s="20"/>
      <c r="FK225" s="20"/>
      <c r="FL225" s="20"/>
      <c r="FM225" s="20"/>
      <c r="FN225" s="20"/>
      <c r="FO225" s="20"/>
      <c r="FP225" s="20"/>
      <c r="FQ225" s="20"/>
      <c r="FR225" s="20"/>
      <c r="FS225" s="20"/>
      <c r="FT225" s="20"/>
      <c r="FU225" s="20"/>
      <c r="FV225" s="20"/>
      <c r="FW225" s="20"/>
      <c r="FX225" s="20"/>
      <c r="FY225" s="20"/>
      <c r="FZ225" s="20"/>
      <c r="GA225" s="20"/>
      <c r="GB225" s="20"/>
      <c r="GC225" s="20"/>
      <c r="GD225" s="20"/>
      <c r="GE225" s="20"/>
      <c r="GF225" s="20"/>
      <c r="GG225" s="20"/>
      <c r="GH225" s="20"/>
      <c r="GI225" s="20"/>
      <c r="GJ225" s="20"/>
      <c r="GK225" s="20"/>
      <c r="GL225" s="20"/>
      <c r="GM225" s="20"/>
      <c r="GN225" s="20"/>
      <c r="GO225" s="20"/>
      <c r="GP225" s="20"/>
      <c r="GQ225" s="20"/>
      <c r="GR225" s="20"/>
      <c r="GS225" s="20"/>
      <c r="GT225" s="20"/>
      <c r="GU225" s="20"/>
      <c r="GV225" s="20"/>
      <c r="GW225" s="20"/>
      <c r="GX225" s="20"/>
      <c r="GY225" s="20"/>
      <c r="GZ225" s="20"/>
      <c r="HA225" s="20"/>
      <c r="HB225" s="20"/>
      <c r="HC225" s="20"/>
      <c r="HD225" s="20"/>
      <c r="HE225" s="20"/>
      <c r="HF225" s="20"/>
      <c r="HG225" s="20"/>
      <c r="HH225" s="20"/>
      <c r="HI225" s="20"/>
    </row>
    <row r="226" spans="1:217" ht="13" x14ac:dyDescent="0.15">
      <c r="A226" s="13">
        <v>43577</v>
      </c>
      <c r="B226" s="3" t="s">
        <v>301</v>
      </c>
      <c r="C226" s="16">
        <v>209</v>
      </c>
      <c r="D226" s="3">
        <v>22.065598999999999</v>
      </c>
      <c r="E226" s="3">
        <v>-159.31770299999999</v>
      </c>
      <c r="F226" s="3" t="s">
        <v>347</v>
      </c>
      <c r="G226" s="14">
        <v>0.45833333333333331</v>
      </c>
      <c r="H226" s="14">
        <v>0.5</v>
      </c>
      <c r="I226" s="3">
        <v>5</v>
      </c>
      <c r="J226" s="3">
        <v>7</v>
      </c>
      <c r="K226" s="3" t="s">
        <v>198</v>
      </c>
      <c r="L226" s="3">
        <v>8</v>
      </c>
      <c r="M226" s="3">
        <v>40</v>
      </c>
      <c r="P226" s="3">
        <v>40</v>
      </c>
      <c r="AC226" s="3"/>
      <c r="AD226" s="3">
        <v>23</v>
      </c>
      <c r="BM226" s="3">
        <v>13</v>
      </c>
      <c r="BN226" s="3">
        <v>2</v>
      </c>
      <c r="BV226" s="3">
        <v>35</v>
      </c>
      <c r="BW226" s="3">
        <v>37</v>
      </c>
      <c r="BX226" s="3">
        <v>28</v>
      </c>
      <c r="BZ226" s="3">
        <v>2</v>
      </c>
      <c r="CD226" s="3">
        <v>2</v>
      </c>
      <c r="DK226" s="3"/>
      <c r="DL226" s="3">
        <v>13</v>
      </c>
      <c r="DM226" s="3">
        <v>23</v>
      </c>
      <c r="DR226" s="3"/>
      <c r="DS226" s="3">
        <v>6</v>
      </c>
      <c r="EB226" s="3">
        <v>1</v>
      </c>
      <c r="EE226" s="3"/>
      <c r="EF226" s="3"/>
      <c r="EG226" s="3"/>
      <c r="EH226" s="3"/>
      <c r="EI226" s="3"/>
      <c r="EJ226" s="3">
        <v>117</v>
      </c>
      <c r="FB226" s="3">
        <v>12</v>
      </c>
      <c r="FR226" s="3">
        <v>9</v>
      </c>
      <c r="FS226" s="3">
        <v>478</v>
      </c>
      <c r="GG226" s="3">
        <v>2</v>
      </c>
      <c r="GH226" s="3">
        <f t="shared" ref="GH226:GH230" si="129">COUNT(R226:GG226)</f>
        <v>17</v>
      </c>
      <c r="GI226" s="3">
        <f t="shared" ref="GI226:GI230" si="130">COUNTIF(R226:GG226,"&gt;=2")</f>
        <v>16</v>
      </c>
      <c r="GJ226" s="3">
        <f t="shared" ref="GJ226:GJ230" si="131">COUNTIF(R226:GG226,"&gt;=5")</f>
        <v>12</v>
      </c>
      <c r="GK226" s="3">
        <f t="shared" ref="GK226:GK230" si="132">SUM(R226:GG226)</f>
        <v>803</v>
      </c>
      <c r="GL226" s="3">
        <f t="shared" ref="GL226:GL230" si="133">25*P226</f>
        <v>1000</v>
      </c>
      <c r="GM226" s="3">
        <f t="shared" ref="GM226:GM230" si="134">GL226-GK226</f>
        <v>197</v>
      </c>
    </row>
    <row r="227" spans="1:217" ht="13" x14ac:dyDescent="0.15">
      <c r="A227" s="24">
        <v>43577</v>
      </c>
      <c r="B227" s="25" t="s">
        <v>266</v>
      </c>
      <c r="C227" s="16">
        <f t="shared" ref="C227:C231" si="135">C226+1</f>
        <v>210</v>
      </c>
      <c r="D227" s="25">
        <v>22.060683999999998</v>
      </c>
      <c r="E227" s="25">
        <v>-159.318512</v>
      </c>
      <c r="F227" s="25" t="s">
        <v>418</v>
      </c>
      <c r="G227" s="26">
        <v>0.46180555555555558</v>
      </c>
      <c r="H227" s="26">
        <v>0.5</v>
      </c>
      <c r="I227" s="25">
        <v>5</v>
      </c>
      <c r="J227" s="25">
        <v>15</v>
      </c>
      <c r="K227" s="25" t="s">
        <v>198</v>
      </c>
      <c r="L227" s="25">
        <v>9</v>
      </c>
      <c r="M227" s="25">
        <v>40</v>
      </c>
      <c r="N227" s="25" t="s">
        <v>494</v>
      </c>
      <c r="O227" s="25"/>
      <c r="P227" s="25"/>
      <c r="Q227" s="25"/>
      <c r="R227" s="25"/>
      <c r="S227" s="25">
        <v>1</v>
      </c>
      <c r="T227" s="25"/>
      <c r="U227" s="25"/>
      <c r="V227" s="25"/>
      <c r="W227" s="25"/>
      <c r="X227" s="25"/>
      <c r="Y227" s="25"/>
      <c r="Z227" s="25"/>
      <c r="AA227" s="25"/>
      <c r="AB227" s="25"/>
      <c r="AC227" s="25"/>
      <c r="AD227" s="25">
        <v>10</v>
      </c>
      <c r="AE227" s="25"/>
      <c r="AF227" s="25"/>
      <c r="AG227" s="25"/>
      <c r="AH227" s="25"/>
      <c r="AI227" s="25">
        <v>2</v>
      </c>
      <c r="AJ227" s="25"/>
      <c r="AK227" s="25"/>
      <c r="AL227" s="25"/>
      <c r="AM227" s="25"/>
      <c r="AN227" s="25"/>
      <c r="AO227" s="25"/>
      <c r="AP227" s="25"/>
      <c r="AQ227" s="25"/>
      <c r="AR227" s="25"/>
      <c r="AS227" s="25"/>
      <c r="AT227" s="25"/>
      <c r="AU227" s="25"/>
      <c r="AV227" s="25">
        <v>3</v>
      </c>
      <c r="AW227" s="25"/>
      <c r="AX227" s="25"/>
      <c r="AY227" s="25"/>
      <c r="AZ227" s="25"/>
      <c r="BA227" s="25"/>
      <c r="BB227" s="25">
        <v>7</v>
      </c>
      <c r="BC227" s="25"/>
      <c r="BD227" s="25"/>
      <c r="BE227" s="25"/>
      <c r="BF227" s="25"/>
      <c r="BG227" s="25"/>
      <c r="BH227" s="25"/>
      <c r="BI227" s="25"/>
      <c r="BJ227" s="25"/>
      <c r="BK227" s="25"/>
      <c r="BL227" s="25">
        <v>1</v>
      </c>
      <c r="BM227" s="25">
        <v>16</v>
      </c>
      <c r="BN227" s="25">
        <v>49</v>
      </c>
      <c r="BO227" s="25"/>
      <c r="BP227" s="25"/>
      <c r="BQ227" s="25"/>
      <c r="BR227" s="25"/>
      <c r="BS227" s="25"/>
      <c r="BT227" s="25"/>
      <c r="BU227" s="25">
        <v>1</v>
      </c>
      <c r="BV227" s="25">
        <v>57</v>
      </c>
      <c r="BW227" s="25"/>
      <c r="BX227" s="25"/>
      <c r="BY227" s="25"/>
      <c r="BZ227" s="25">
        <v>1</v>
      </c>
      <c r="CA227" s="25"/>
      <c r="CB227" s="25">
        <v>1</v>
      </c>
      <c r="CC227" s="25"/>
      <c r="CD227" s="25"/>
      <c r="CE227" s="25"/>
      <c r="CF227" s="25"/>
      <c r="CG227" s="25"/>
      <c r="CH227" s="25"/>
      <c r="CI227" s="25"/>
      <c r="CJ227" s="25"/>
      <c r="CK227" s="25"/>
      <c r="CL227" s="25"/>
      <c r="CM227" s="25"/>
      <c r="CN227" s="25"/>
      <c r="CO227" s="25"/>
      <c r="CP227" s="25"/>
      <c r="CQ227" s="25"/>
      <c r="CR227" s="25"/>
      <c r="CS227" s="25">
        <v>1</v>
      </c>
      <c r="CT227" s="25"/>
      <c r="CU227" s="25"/>
      <c r="CV227" s="25">
        <v>3</v>
      </c>
      <c r="CW227" s="25"/>
      <c r="CX227" s="25"/>
      <c r="CY227" s="25"/>
      <c r="CZ227" s="25"/>
      <c r="DA227" s="25"/>
      <c r="DB227" s="25"/>
      <c r="DC227" s="25"/>
      <c r="DD227" s="25"/>
      <c r="DE227" s="25"/>
      <c r="DF227" s="25"/>
      <c r="DG227" s="25">
        <v>2</v>
      </c>
      <c r="DH227" s="25"/>
      <c r="DI227" s="25"/>
      <c r="DJ227" s="25"/>
      <c r="DK227" s="25"/>
      <c r="DL227" s="25"/>
      <c r="DM227" s="25">
        <v>2</v>
      </c>
      <c r="DN227" s="25"/>
      <c r="DO227" s="25"/>
      <c r="DP227" s="25"/>
      <c r="DQ227" s="25"/>
      <c r="DR227" s="25"/>
      <c r="DS227" s="25">
        <v>251</v>
      </c>
      <c r="DT227" s="25"/>
      <c r="DU227" s="25"/>
      <c r="DV227" s="25">
        <v>59</v>
      </c>
      <c r="DW227" s="25"/>
      <c r="DX227" s="25"/>
      <c r="DY227" s="25"/>
      <c r="DZ227" s="25"/>
      <c r="EA227" s="25"/>
      <c r="EB227" s="25"/>
      <c r="EC227" s="25"/>
      <c r="ED227" s="25"/>
      <c r="EE227" s="25"/>
      <c r="EF227" s="25"/>
      <c r="EG227" s="25"/>
      <c r="EH227" s="25"/>
      <c r="EI227" s="25"/>
      <c r="EJ227" s="25">
        <v>32</v>
      </c>
      <c r="EK227" s="25"/>
      <c r="EL227" s="25"/>
      <c r="EM227" s="25"/>
      <c r="EN227" s="25"/>
      <c r="EO227" s="25"/>
      <c r="EP227" s="25"/>
      <c r="EQ227" s="25"/>
      <c r="ER227" s="25"/>
      <c r="ES227" s="25"/>
      <c r="ET227" s="25"/>
      <c r="EU227" s="25"/>
      <c r="EV227" s="25"/>
      <c r="EW227" s="25"/>
      <c r="EX227" s="25"/>
      <c r="EY227" s="25"/>
      <c r="EZ227" s="25"/>
      <c r="FA227" s="25"/>
      <c r="FB227" s="25">
        <v>1</v>
      </c>
      <c r="FC227" s="25"/>
      <c r="FD227" s="25"/>
      <c r="FE227" s="25"/>
      <c r="FF227" s="25"/>
      <c r="FG227" s="25"/>
      <c r="FH227" s="25"/>
      <c r="FI227" s="25"/>
      <c r="FJ227" s="25"/>
      <c r="FK227" s="25"/>
      <c r="FL227" s="25"/>
      <c r="FM227" s="25"/>
      <c r="FN227" s="25"/>
      <c r="FO227" s="25"/>
      <c r="FP227" s="25"/>
      <c r="FQ227" s="25">
        <v>1</v>
      </c>
      <c r="FR227" s="25">
        <v>7</v>
      </c>
      <c r="FS227" s="25">
        <v>56</v>
      </c>
      <c r="FT227" s="25"/>
      <c r="FU227" s="25"/>
      <c r="FV227" s="25"/>
      <c r="FW227" s="25">
        <v>26</v>
      </c>
      <c r="FX227" s="25"/>
      <c r="FY227" s="25"/>
      <c r="FZ227" s="25"/>
      <c r="GA227" s="25"/>
      <c r="GB227" s="25"/>
      <c r="GC227" s="25"/>
      <c r="GD227" s="25"/>
      <c r="GE227" s="25"/>
      <c r="GF227" s="25"/>
      <c r="GG227" s="25"/>
      <c r="GH227" s="25">
        <f t="shared" si="129"/>
        <v>24</v>
      </c>
      <c r="GI227" s="25">
        <f t="shared" si="130"/>
        <v>16</v>
      </c>
      <c r="GJ227" s="25">
        <f t="shared" si="131"/>
        <v>11</v>
      </c>
      <c r="GK227" s="25">
        <f t="shared" si="132"/>
        <v>590</v>
      </c>
      <c r="GL227" s="25">
        <f t="shared" si="133"/>
        <v>0</v>
      </c>
      <c r="GM227" s="25">
        <f t="shared" si="134"/>
        <v>-590</v>
      </c>
      <c r="GN227" s="25"/>
      <c r="GO227" s="25"/>
      <c r="GP227" s="25"/>
      <c r="GQ227" s="25"/>
      <c r="GR227" s="25"/>
      <c r="GS227" s="25"/>
      <c r="GT227" s="25"/>
      <c r="GU227" s="25"/>
      <c r="GV227" s="25"/>
      <c r="GW227" s="25"/>
      <c r="GX227" s="25"/>
      <c r="GY227" s="25"/>
      <c r="GZ227" s="25"/>
      <c r="HA227" s="25"/>
      <c r="HB227" s="25"/>
      <c r="HC227" s="25"/>
      <c r="HD227" s="25"/>
      <c r="HE227" s="25"/>
      <c r="HF227" s="25"/>
      <c r="HG227" s="25"/>
      <c r="HH227" s="25"/>
      <c r="HI227" s="25"/>
    </row>
    <row r="228" spans="1:217" ht="13" x14ac:dyDescent="0.15">
      <c r="A228" s="13">
        <v>43577</v>
      </c>
      <c r="B228" s="3" t="s">
        <v>293</v>
      </c>
      <c r="C228" s="16">
        <f t="shared" si="135"/>
        <v>211</v>
      </c>
      <c r="D228" s="3">
        <v>19.738602</v>
      </c>
      <c r="E228" s="3">
        <v>-155.03887900000001</v>
      </c>
      <c r="F228" s="3" t="s">
        <v>496</v>
      </c>
      <c r="G228" s="14">
        <v>0.41736111111111113</v>
      </c>
      <c r="H228" s="14">
        <v>0.45694444444444443</v>
      </c>
      <c r="I228" s="3">
        <v>6</v>
      </c>
      <c r="J228" s="3">
        <v>11</v>
      </c>
      <c r="K228" s="3" t="s">
        <v>318</v>
      </c>
      <c r="L228" s="3">
        <v>5</v>
      </c>
      <c r="M228" s="3">
        <v>27</v>
      </c>
      <c r="N228" s="3" t="s">
        <v>497</v>
      </c>
      <c r="P228" s="3">
        <v>27</v>
      </c>
      <c r="AC228" s="3"/>
      <c r="AD228" s="3">
        <v>1</v>
      </c>
      <c r="BI228" s="3"/>
      <c r="BJ228" s="3"/>
      <c r="BK228" s="3">
        <v>15</v>
      </c>
      <c r="BM228" s="3">
        <v>1</v>
      </c>
      <c r="CE228" s="3">
        <v>10</v>
      </c>
      <c r="DY228" s="3">
        <v>22</v>
      </c>
      <c r="EE228" s="3"/>
      <c r="EF228" s="3"/>
      <c r="EG228" s="3"/>
      <c r="EH228" s="3"/>
      <c r="EI228" s="3"/>
      <c r="EJ228" s="3">
        <v>5</v>
      </c>
      <c r="EK228" s="3">
        <v>3</v>
      </c>
      <c r="EP228" s="3">
        <v>6</v>
      </c>
      <c r="EQ228" s="3">
        <v>21</v>
      </c>
      <c r="ER228" s="3">
        <v>28</v>
      </c>
      <c r="FD228" s="3"/>
      <c r="FE228" s="3">
        <v>4</v>
      </c>
      <c r="FM228" s="3">
        <v>10</v>
      </c>
      <c r="FN228" s="3"/>
      <c r="FO228" s="3"/>
      <c r="FP228" s="3">
        <v>1</v>
      </c>
      <c r="FS228" s="3">
        <v>331</v>
      </c>
      <c r="GH228" s="3">
        <f t="shared" si="129"/>
        <v>14</v>
      </c>
      <c r="GI228" s="3">
        <f t="shared" si="130"/>
        <v>11</v>
      </c>
      <c r="GJ228" s="3">
        <f t="shared" si="131"/>
        <v>9</v>
      </c>
      <c r="GK228" s="3">
        <f t="shared" si="132"/>
        <v>458</v>
      </c>
      <c r="GL228" s="3">
        <f t="shared" si="133"/>
        <v>675</v>
      </c>
      <c r="GM228" s="3">
        <f t="shared" si="134"/>
        <v>217</v>
      </c>
    </row>
    <row r="229" spans="1:217" ht="13" x14ac:dyDescent="0.15">
      <c r="A229" s="13">
        <v>43578</v>
      </c>
      <c r="B229" s="3" t="s">
        <v>201</v>
      </c>
      <c r="C229" s="16">
        <f t="shared" si="135"/>
        <v>212</v>
      </c>
      <c r="D229" s="23">
        <v>21.25544</v>
      </c>
      <c r="E229" s="23">
        <v>-157.810303</v>
      </c>
      <c r="F229" s="3" t="s">
        <v>418</v>
      </c>
      <c r="G229" s="14">
        <v>0.47916666666666669</v>
      </c>
      <c r="H229" s="14">
        <v>0.51041666666666663</v>
      </c>
      <c r="I229" s="3">
        <v>6</v>
      </c>
      <c r="J229" s="3">
        <v>14</v>
      </c>
      <c r="K229" s="3" t="s">
        <v>198</v>
      </c>
      <c r="L229" s="3">
        <v>5</v>
      </c>
      <c r="M229" s="3">
        <v>18</v>
      </c>
      <c r="N229" s="3" t="s">
        <v>498</v>
      </c>
      <c r="O229" s="3"/>
      <c r="P229" s="3">
        <v>18</v>
      </c>
      <c r="R229" s="3">
        <v>5</v>
      </c>
      <c r="AD229" s="3">
        <v>9</v>
      </c>
      <c r="AN229" s="3"/>
      <c r="AS229" s="3">
        <v>5</v>
      </c>
      <c r="AU229" s="3"/>
      <c r="BM229" s="3"/>
      <c r="BW229" s="3"/>
      <c r="BZ229" s="3">
        <v>2</v>
      </c>
      <c r="CC229" s="3"/>
      <c r="CD229" s="3"/>
      <c r="CE229" s="3"/>
      <c r="DM229" s="3">
        <v>9</v>
      </c>
      <c r="DO229" s="3">
        <v>2</v>
      </c>
      <c r="DR229" s="3"/>
      <c r="DS229" s="3">
        <v>35</v>
      </c>
      <c r="EC229" s="3"/>
      <c r="ED229" s="3"/>
      <c r="EE229" s="3"/>
      <c r="EF229" s="3"/>
      <c r="EG229" s="3"/>
      <c r="EH229" s="3"/>
      <c r="EI229" s="3"/>
      <c r="EJ229" s="3">
        <v>139</v>
      </c>
      <c r="ES229" s="3"/>
      <c r="ET229" s="3"/>
      <c r="EU229" s="3"/>
      <c r="EV229" s="3"/>
      <c r="EY229" s="3"/>
      <c r="EZ229" s="3">
        <v>13</v>
      </c>
      <c r="FA229" s="3"/>
      <c r="FB229" s="3">
        <v>52</v>
      </c>
      <c r="FF229" s="3"/>
      <c r="FR229" s="3">
        <v>68</v>
      </c>
      <c r="FS229" s="3">
        <v>9</v>
      </c>
      <c r="FU229" s="3">
        <v>2</v>
      </c>
      <c r="GA229" s="3"/>
      <c r="GH229" s="3">
        <f t="shared" si="129"/>
        <v>13</v>
      </c>
      <c r="GI229" s="3">
        <f t="shared" si="130"/>
        <v>13</v>
      </c>
      <c r="GJ229" s="3">
        <f t="shared" si="131"/>
        <v>10</v>
      </c>
      <c r="GK229" s="3">
        <f t="shared" si="132"/>
        <v>350</v>
      </c>
      <c r="GL229" s="3">
        <f t="shared" si="133"/>
        <v>450</v>
      </c>
      <c r="GM229" s="3">
        <f t="shared" si="134"/>
        <v>100</v>
      </c>
    </row>
    <row r="230" spans="1:217" ht="13" x14ac:dyDescent="0.15">
      <c r="A230" s="24">
        <v>43587</v>
      </c>
      <c r="B230" s="25" t="s">
        <v>499</v>
      </c>
      <c r="C230" s="16">
        <f t="shared" si="135"/>
        <v>213</v>
      </c>
      <c r="D230" s="25">
        <v>20.714272999999999</v>
      </c>
      <c r="E230" s="25">
        <v>-156.44712799999999</v>
      </c>
      <c r="F230" s="25" t="s">
        <v>418</v>
      </c>
      <c r="G230" s="26">
        <v>0.39444444444444443</v>
      </c>
      <c r="H230" s="26">
        <v>0.42708333333333331</v>
      </c>
      <c r="I230" s="25">
        <v>10</v>
      </c>
      <c r="J230" s="25">
        <v>10</v>
      </c>
      <c r="K230" s="25" t="s">
        <v>198</v>
      </c>
      <c r="L230" s="25">
        <v>5</v>
      </c>
      <c r="M230" s="25">
        <v>25</v>
      </c>
      <c r="N230" s="25" t="s">
        <v>500</v>
      </c>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v>2</v>
      </c>
      <c r="AO230" s="25"/>
      <c r="AP230" s="25"/>
      <c r="AQ230" s="25"/>
      <c r="AR230" s="25"/>
      <c r="AS230" s="25"/>
      <c r="AT230" s="25"/>
      <c r="AU230" s="25">
        <v>1</v>
      </c>
      <c r="AV230" s="25"/>
      <c r="AW230" s="25"/>
      <c r="AX230" s="25"/>
      <c r="AY230" s="25"/>
      <c r="AZ230" s="25"/>
      <c r="BA230" s="25"/>
      <c r="BB230" s="25"/>
      <c r="BC230" s="25"/>
      <c r="BD230" s="25"/>
      <c r="BE230" s="25"/>
      <c r="BF230" s="25">
        <v>10</v>
      </c>
      <c r="BG230" s="25"/>
      <c r="BH230" s="25"/>
      <c r="BI230" s="25"/>
      <c r="BJ230" s="25"/>
      <c r="BK230" s="25"/>
      <c r="BL230" s="25"/>
      <c r="BM230" s="25">
        <v>21</v>
      </c>
      <c r="BN230" s="25"/>
      <c r="BO230" s="25"/>
      <c r="BP230" s="25"/>
      <c r="BQ230" s="25"/>
      <c r="BR230" s="25"/>
      <c r="BS230" s="25"/>
      <c r="BT230" s="25"/>
      <c r="BU230" s="25"/>
      <c r="BV230" s="25"/>
      <c r="BW230" s="25">
        <v>1</v>
      </c>
      <c r="BX230" s="25"/>
      <c r="BY230" s="25"/>
      <c r="BZ230" s="25"/>
      <c r="CA230" s="25"/>
      <c r="CB230" s="25"/>
      <c r="CC230" s="25">
        <v>14</v>
      </c>
      <c r="CD230" s="25">
        <v>4</v>
      </c>
      <c r="CE230" s="25">
        <v>2</v>
      </c>
      <c r="CF230" s="25"/>
      <c r="CG230" s="25"/>
      <c r="CH230" s="25"/>
      <c r="CI230" s="25"/>
      <c r="CJ230" s="25"/>
      <c r="CK230" s="25"/>
      <c r="CL230" s="25"/>
      <c r="CM230" s="25"/>
      <c r="CN230" s="25"/>
      <c r="CO230" s="25"/>
      <c r="CP230" s="25"/>
      <c r="CQ230" s="25"/>
      <c r="CR230" s="25"/>
      <c r="CS230" s="25"/>
      <c r="CT230" s="25"/>
      <c r="CU230" s="25"/>
      <c r="CV230" s="25"/>
      <c r="CW230" s="25"/>
      <c r="CX230" s="25"/>
      <c r="CY230" s="25"/>
      <c r="CZ230" s="25"/>
      <c r="DA230" s="25"/>
      <c r="DB230" s="25"/>
      <c r="DC230" s="25"/>
      <c r="DD230" s="25"/>
      <c r="DE230" s="25"/>
      <c r="DF230" s="25"/>
      <c r="DG230" s="25"/>
      <c r="DH230" s="25"/>
      <c r="DI230" s="25"/>
      <c r="DJ230" s="25"/>
      <c r="DK230" s="25"/>
      <c r="DL230" s="25"/>
      <c r="DM230" s="25"/>
      <c r="DN230" s="25"/>
      <c r="DO230" s="25"/>
      <c r="DP230" s="25"/>
      <c r="DQ230" s="25"/>
      <c r="DR230" s="25"/>
      <c r="DS230" s="25"/>
      <c r="DT230" s="25"/>
      <c r="DU230" s="25"/>
      <c r="DV230" s="25"/>
      <c r="DW230" s="25"/>
      <c r="DX230" s="25"/>
      <c r="DY230" s="25"/>
      <c r="DZ230" s="25"/>
      <c r="EA230" s="25"/>
      <c r="EB230" s="25"/>
      <c r="EC230" s="25">
        <v>2</v>
      </c>
      <c r="ED230" s="25">
        <v>5</v>
      </c>
      <c r="EE230" s="25"/>
      <c r="EF230" s="25"/>
      <c r="EG230" s="25"/>
      <c r="EH230" s="25"/>
      <c r="EI230" s="25"/>
      <c r="EJ230" s="25">
        <v>26</v>
      </c>
      <c r="EK230" s="25"/>
      <c r="EL230" s="25"/>
      <c r="EM230" s="25"/>
      <c r="EN230" s="25"/>
      <c r="EO230" s="25"/>
      <c r="EP230" s="25"/>
      <c r="EQ230" s="25"/>
      <c r="ER230" s="25"/>
      <c r="ES230" s="25"/>
      <c r="ET230" s="25"/>
      <c r="EU230" s="25"/>
      <c r="EV230" s="25">
        <v>13</v>
      </c>
      <c r="EW230" s="25"/>
      <c r="EX230" s="25"/>
      <c r="EY230" s="25"/>
      <c r="EZ230" s="25"/>
      <c r="FA230" s="25">
        <v>1</v>
      </c>
      <c r="FB230" s="25"/>
      <c r="FC230" s="25"/>
      <c r="FD230" s="25"/>
      <c r="FE230" s="25"/>
      <c r="FF230" s="25">
        <v>33</v>
      </c>
      <c r="FG230" s="25"/>
      <c r="FH230" s="25"/>
      <c r="FI230" s="25"/>
      <c r="FJ230" s="25"/>
      <c r="FK230" s="25"/>
      <c r="FL230" s="25"/>
      <c r="FM230" s="25"/>
      <c r="FN230" s="25"/>
      <c r="FO230" s="25"/>
      <c r="FP230" s="25"/>
      <c r="FQ230" s="25"/>
      <c r="FR230" s="25">
        <v>1</v>
      </c>
      <c r="FS230" s="25">
        <v>206</v>
      </c>
      <c r="FT230" s="25"/>
      <c r="FU230" s="25"/>
      <c r="FV230" s="25"/>
      <c r="FW230" s="25"/>
      <c r="FX230" s="25"/>
      <c r="FY230" s="25"/>
      <c r="FZ230" s="25"/>
      <c r="GA230" s="25">
        <v>5</v>
      </c>
      <c r="GB230" s="25"/>
      <c r="GC230" s="25"/>
      <c r="GD230" s="25"/>
      <c r="GE230" s="25"/>
      <c r="GF230" s="25"/>
      <c r="GG230" s="25"/>
      <c r="GH230" s="25">
        <f t="shared" si="129"/>
        <v>17</v>
      </c>
      <c r="GI230" s="25">
        <f t="shared" si="130"/>
        <v>13</v>
      </c>
      <c r="GJ230" s="25">
        <f t="shared" si="131"/>
        <v>9</v>
      </c>
      <c r="GK230" s="25">
        <f t="shared" si="132"/>
        <v>347</v>
      </c>
      <c r="GL230" s="25">
        <f t="shared" si="133"/>
        <v>0</v>
      </c>
      <c r="GM230" s="25">
        <f t="shared" si="134"/>
        <v>-347</v>
      </c>
      <c r="GN230" s="25"/>
      <c r="GO230" s="25"/>
      <c r="GP230" s="25"/>
      <c r="GQ230" s="25"/>
      <c r="GR230" s="25"/>
      <c r="GS230" s="25"/>
      <c r="GT230" s="25"/>
      <c r="GU230" s="25"/>
      <c r="GV230" s="25"/>
      <c r="GW230" s="25"/>
      <c r="GX230" s="25"/>
      <c r="GY230" s="25"/>
      <c r="GZ230" s="25"/>
      <c r="HA230" s="25"/>
      <c r="HB230" s="25"/>
      <c r="HC230" s="25"/>
      <c r="HD230" s="25"/>
      <c r="HE230" s="25"/>
      <c r="HF230" s="25"/>
      <c r="HG230" s="25"/>
      <c r="HH230" s="25"/>
      <c r="HI230" s="25"/>
    </row>
    <row r="231" spans="1:217" ht="13" x14ac:dyDescent="0.15">
      <c r="A231" s="27">
        <v>43588</v>
      </c>
      <c r="B231" s="28" t="s">
        <v>250</v>
      </c>
      <c r="C231" s="16">
        <f t="shared" si="135"/>
        <v>214</v>
      </c>
      <c r="D231" s="28">
        <v>21.410399999999999</v>
      </c>
      <c r="E231" s="28">
        <v>-158.17770400000001</v>
      </c>
      <c r="F231" s="28" t="s">
        <v>418</v>
      </c>
      <c r="G231" s="29">
        <v>0.375</v>
      </c>
      <c r="H231" s="29">
        <v>0.5</v>
      </c>
      <c r="I231" s="28">
        <v>6</v>
      </c>
      <c r="J231" s="28">
        <v>10</v>
      </c>
      <c r="K231" s="28" t="s">
        <v>217</v>
      </c>
      <c r="L231" s="28">
        <v>5</v>
      </c>
      <c r="M231" s="28">
        <v>1</v>
      </c>
      <c r="N231" s="28" t="s">
        <v>552</v>
      </c>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v>5</v>
      </c>
      <c r="BR231" s="28">
        <v>5</v>
      </c>
      <c r="BS231" s="28"/>
      <c r="BT231" s="28"/>
      <c r="BU231" s="28"/>
      <c r="BV231" s="28"/>
      <c r="BW231" s="28"/>
      <c r="BX231" s="28"/>
      <c r="BY231" s="28"/>
      <c r="BZ231" s="28"/>
      <c r="CA231" s="28"/>
      <c r="CB231" s="28"/>
      <c r="CC231" s="28"/>
      <c r="CD231" s="28"/>
      <c r="CE231" s="28"/>
      <c r="CF231" s="28"/>
      <c r="CG231" s="28"/>
      <c r="CH231" s="28"/>
      <c r="CI231" s="28"/>
      <c r="CJ231" s="28"/>
      <c r="CK231" s="28"/>
      <c r="CL231" s="28"/>
      <c r="CM231" s="28"/>
      <c r="CN231" s="28"/>
      <c r="CO231" s="28"/>
      <c r="CP231" s="28"/>
      <c r="CQ231" s="28"/>
      <c r="CR231" s="28"/>
      <c r="CS231" s="28"/>
      <c r="CT231" s="28"/>
      <c r="CU231" s="28"/>
      <c r="CV231" s="28"/>
      <c r="CW231" s="28"/>
      <c r="CX231" s="28"/>
      <c r="CY231" s="28"/>
      <c r="CZ231" s="28"/>
      <c r="DA231" s="28"/>
      <c r="DB231" s="28"/>
      <c r="DC231" s="28"/>
      <c r="DD231" s="28"/>
      <c r="DE231" s="28"/>
      <c r="DF231" s="28"/>
      <c r="DG231" s="28"/>
      <c r="DH231" s="28"/>
      <c r="DI231" s="28"/>
      <c r="DJ231" s="28"/>
      <c r="DK231" s="28"/>
      <c r="DL231" s="28"/>
      <c r="DM231" s="28">
        <v>2</v>
      </c>
      <c r="DN231" s="28"/>
      <c r="DO231" s="28"/>
      <c r="DP231" s="28"/>
      <c r="DQ231" s="28"/>
      <c r="DR231" s="28"/>
      <c r="DS231" s="28"/>
      <c r="DT231" s="28"/>
      <c r="DU231" s="28"/>
      <c r="DV231" s="28"/>
      <c r="DW231" s="28"/>
      <c r="DX231" s="28"/>
      <c r="DY231" s="28"/>
      <c r="DZ231" s="28"/>
      <c r="EA231" s="28"/>
      <c r="EB231" s="28"/>
      <c r="EC231" s="28"/>
      <c r="ED231" s="28"/>
      <c r="EE231" s="28"/>
      <c r="EF231" s="28"/>
      <c r="EG231" s="28"/>
      <c r="EH231" s="28"/>
      <c r="EI231" s="28"/>
      <c r="EJ231" s="28"/>
      <c r="EK231" s="28"/>
      <c r="EL231" s="28"/>
      <c r="EM231" s="28"/>
      <c r="EN231" s="28"/>
      <c r="EO231" s="28"/>
      <c r="EP231" s="28"/>
      <c r="EQ231" s="28"/>
      <c r="ER231" s="28"/>
      <c r="ES231" s="28"/>
      <c r="ET231" s="28"/>
      <c r="EU231" s="28"/>
      <c r="EV231" s="28"/>
      <c r="EW231" s="28"/>
      <c r="EX231" s="28"/>
      <c r="EY231" s="28"/>
      <c r="EZ231" s="28"/>
      <c r="FA231" s="28"/>
      <c r="FB231" s="28"/>
      <c r="FC231" s="28"/>
      <c r="FD231" s="28"/>
      <c r="FE231" s="28"/>
      <c r="FF231" s="28"/>
      <c r="FG231" s="28"/>
      <c r="FH231" s="28"/>
      <c r="FI231" s="28"/>
      <c r="FJ231" s="28"/>
      <c r="FK231" s="28"/>
      <c r="FL231" s="28"/>
      <c r="FM231" s="28"/>
      <c r="FN231" s="28"/>
      <c r="FO231" s="28"/>
      <c r="FP231" s="28"/>
      <c r="FQ231" s="28"/>
      <c r="FR231" s="28"/>
      <c r="FS231" s="28">
        <v>7</v>
      </c>
      <c r="FT231" s="28"/>
      <c r="FU231" s="28"/>
      <c r="FV231" s="28"/>
      <c r="FW231" s="28"/>
      <c r="FX231" s="28"/>
      <c r="FY231" s="28"/>
      <c r="FZ231" s="28"/>
      <c r="GA231" s="28"/>
      <c r="GB231" s="28"/>
      <c r="GC231" s="28"/>
      <c r="GD231" s="28"/>
      <c r="GE231" s="28"/>
      <c r="GF231" s="28"/>
      <c r="GG231" s="28">
        <v>1</v>
      </c>
      <c r="GH231" s="28"/>
      <c r="GI231" s="28"/>
      <c r="GJ231" s="28"/>
      <c r="GK231" s="28"/>
      <c r="GL231" s="28"/>
      <c r="GM231" s="28"/>
      <c r="GN231" s="28"/>
      <c r="GO231" s="28"/>
      <c r="GP231" s="28"/>
      <c r="GQ231" s="28"/>
      <c r="GR231" s="28"/>
      <c r="GS231" s="28"/>
      <c r="GT231" s="28"/>
      <c r="GU231" s="28"/>
      <c r="GV231" s="28"/>
      <c r="GW231" s="28"/>
      <c r="GX231" s="28"/>
      <c r="GY231" s="28"/>
      <c r="GZ231" s="28"/>
      <c r="HA231" s="28"/>
      <c r="HB231" s="28"/>
      <c r="HC231" s="28"/>
      <c r="HD231" s="28"/>
      <c r="HE231" s="28"/>
      <c r="HF231" s="28"/>
      <c r="HG231" s="28"/>
      <c r="HH231" s="28"/>
      <c r="HI231" s="28"/>
    </row>
    <row r="232" spans="1:217" ht="13" x14ac:dyDescent="0.15">
      <c r="A232" s="19">
        <v>43588</v>
      </c>
      <c r="B232" s="20" t="s">
        <v>233</v>
      </c>
      <c r="C232" s="16"/>
      <c r="D232" s="20"/>
      <c r="E232" s="20"/>
      <c r="F232" s="20"/>
      <c r="G232" s="21"/>
      <c r="H232" s="21"/>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c r="DU232" s="20"/>
      <c r="DV232" s="20"/>
      <c r="DW232" s="20"/>
      <c r="DX232" s="20"/>
      <c r="DY232" s="20"/>
      <c r="DZ232" s="20"/>
      <c r="EA232" s="20"/>
      <c r="EB232" s="20"/>
      <c r="EC232" s="20"/>
      <c r="ED232" s="20"/>
      <c r="EE232" s="20"/>
      <c r="EF232" s="20"/>
      <c r="EG232" s="20"/>
      <c r="EH232" s="20"/>
      <c r="EI232" s="20"/>
      <c r="EJ232" s="20"/>
      <c r="EK232" s="20"/>
      <c r="EL232" s="20"/>
      <c r="EM232" s="20"/>
      <c r="EN232" s="20"/>
      <c r="EO232" s="20"/>
      <c r="EP232" s="20"/>
      <c r="EQ232" s="20"/>
      <c r="ER232" s="20"/>
      <c r="ES232" s="20"/>
      <c r="ET232" s="20"/>
      <c r="EU232" s="20"/>
      <c r="EV232" s="20"/>
      <c r="EW232" s="20"/>
      <c r="EX232" s="20"/>
      <c r="EY232" s="20"/>
      <c r="EZ232" s="20"/>
      <c r="FA232" s="20"/>
      <c r="FB232" s="20"/>
      <c r="FC232" s="20"/>
      <c r="FD232" s="20"/>
      <c r="FE232" s="20"/>
      <c r="FF232" s="20"/>
      <c r="FG232" s="20"/>
      <c r="FH232" s="20"/>
      <c r="FI232" s="20"/>
      <c r="FJ232" s="20"/>
      <c r="FK232" s="20"/>
      <c r="FL232" s="20"/>
      <c r="FM232" s="20"/>
      <c r="FN232" s="20"/>
      <c r="FO232" s="20"/>
      <c r="FP232" s="20"/>
      <c r="FQ232" s="20"/>
      <c r="FR232" s="20"/>
      <c r="FS232" s="20"/>
      <c r="FT232" s="20"/>
      <c r="FU232" s="20"/>
      <c r="FV232" s="20"/>
      <c r="FW232" s="20"/>
      <c r="FX232" s="20"/>
      <c r="FY232" s="20"/>
      <c r="FZ232" s="20"/>
      <c r="GA232" s="20"/>
      <c r="GB232" s="20"/>
      <c r="GC232" s="20"/>
      <c r="GD232" s="20"/>
      <c r="GE232" s="20"/>
      <c r="GF232" s="20"/>
      <c r="GG232" s="20"/>
      <c r="GH232" s="20"/>
      <c r="GI232" s="20"/>
      <c r="GJ232" s="20"/>
      <c r="GK232" s="20"/>
      <c r="GL232" s="20"/>
      <c r="GM232" s="20"/>
      <c r="GN232" s="20"/>
      <c r="GO232" s="20"/>
      <c r="GP232" s="20"/>
      <c r="GQ232" s="20"/>
      <c r="GR232" s="20"/>
      <c r="GS232" s="20"/>
      <c r="GT232" s="20"/>
      <c r="GU232" s="20"/>
      <c r="GV232" s="20"/>
      <c r="GW232" s="20"/>
      <c r="GX232" s="20"/>
      <c r="GY232" s="20"/>
      <c r="GZ232" s="20"/>
      <c r="HA232" s="20"/>
      <c r="HB232" s="20"/>
      <c r="HC232" s="20"/>
      <c r="HD232" s="20"/>
      <c r="HE232" s="20"/>
      <c r="HF232" s="20"/>
      <c r="HG232" s="20"/>
      <c r="HH232" s="20"/>
      <c r="HI232" s="20"/>
    </row>
    <row r="233" spans="1:217" ht="13" x14ac:dyDescent="0.15">
      <c r="A233" s="27">
        <v>43591</v>
      </c>
      <c r="B233" s="28" t="s">
        <v>250</v>
      </c>
      <c r="C233" s="16">
        <v>215</v>
      </c>
      <c r="D233" s="28">
        <v>21.410399999999999</v>
      </c>
      <c r="E233" s="28">
        <v>-158.17770400000001</v>
      </c>
      <c r="F233" s="28" t="s">
        <v>418</v>
      </c>
      <c r="G233" s="29">
        <v>0.40625</v>
      </c>
      <c r="H233" s="29">
        <v>0.47916666666666669</v>
      </c>
      <c r="I233" s="28">
        <v>5</v>
      </c>
      <c r="J233" s="28">
        <v>20</v>
      </c>
      <c r="K233" s="28" t="s">
        <v>460</v>
      </c>
      <c r="L233" s="28">
        <v>5</v>
      </c>
      <c r="M233" s="28">
        <v>24</v>
      </c>
      <c r="N233" s="28" t="s">
        <v>298</v>
      </c>
      <c r="O233" s="28"/>
      <c r="P233" s="28"/>
      <c r="Q233" s="28"/>
      <c r="R233" s="28">
        <v>4</v>
      </c>
      <c r="S233" s="28">
        <v>3</v>
      </c>
      <c r="T233" s="28"/>
      <c r="U233" s="28"/>
      <c r="V233" s="28"/>
      <c r="W233" s="28"/>
      <c r="X233" s="28"/>
      <c r="Y233" s="28"/>
      <c r="Z233" s="28"/>
      <c r="AA233" s="28"/>
      <c r="AB233" s="28"/>
      <c r="AC233" s="28">
        <v>6</v>
      </c>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v>2</v>
      </c>
      <c r="BE233" s="28"/>
      <c r="BF233" s="28"/>
      <c r="BG233" s="28"/>
      <c r="BH233" s="28"/>
      <c r="BI233" s="28"/>
      <c r="BJ233" s="28"/>
      <c r="BK233" s="28"/>
      <c r="BL233" s="28"/>
      <c r="BM233" s="28">
        <v>49</v>
      </c>
      <c r="BN233" s="28"/>
      <c r="BO233" s="28"/>
      <c r="BP233" s="28"/>
      <c r="BQ233" s="28">
        <v>59</v>
      </c>
      <c r="BR233" s="28"/>
      <c r="BS233" s="28"/>
      <c r="BT233" s="28">
        <v>1</v>
      </c>
      <c r="BU233" s="28"/>
      <c r="BV233" s="28">
        <v>7</v>
      </c>
      <c r="BW233" s="28"/>
      <c r="BX233" s="28"/>
      <c r="BY233" s="28"/>
      <c r="BZ233" s="28">
        <v>8</v>
      </c>
      <c r="CA233" s="28"/>
      <c r="CB233" s="28">
        <v>3</v>
      </c>
      <c r="CC233" s="28">
        <v>29</v>
      </c>
      <c r="CD233" s="28">
        <v>12</v>
      </c>
      <c r="CE233" s="28">
        <v>36</v>
      </c>
      <c r="CF233" s="28">
        <v>14</v>
      </c>
      <c r="CG233" s="28"/>
      <c r="CH233" s="28"/>
      <c r="CI233" s="28"/>
      <c r="CJ233" s="28"/>
      <c r="CK233" s="28"/>
      <c r="CL233" s="28"/>
      <c r="CM233" s="28"/>
      <c r="CN233" s="28"/>
      <c r="CO233" s="28">
        <v>23</v>
      </c>
      <c r="CP233" s="28"/>
      <c r="CQ233" s="28"/>
      <c r="CR233" s="28"/>
      <c r="CS233" s="28">
        <v>5</v>
      </c>
      <c r="CT233" s="28"/>
      <c r="CU233" s="28"/>
      <c r="CV233" s="28"/>
      <c r="CW233" s="28"/>
      <c r="CX233" s="28"/>
      <c r="CY233" s="28"/>
      <c r="CZ233" s="28"/>
      <c r="DA233" s="28">
        <v>1</v>
      </c>
      <c r="DB233" s="28"/>
      <c r="DC233" s="28"/>
      <c r="DD233" s="28"/>
      <c r="DE233" s="28"/>
      <c r="DF233" s="28"/>
      <c r="DG233" s="28"/>
      <c r="DH233" s="28"/>
      <c r="DI233" s="28"/>
      <c r="DJ233" s="28"/>
      <c r="DK233" s="28"/>
      <c r="DL233" s="28"/>
      <c r="DM233" s="28">
        <v>5</v>
      </c>
      <c r="DN233" s="28"/>
      <c r="DO233" s="28"/>
      <c r="DP233" s="28">
        <v>5</v>
      </c>
      <c r="DQ233" s="28"/>
      <c r="DR233" s="28"/>
      <c r="DS233" s="28"/>
      <c r="DT233" s="28"/>
      <c r="DU233" s="28"/>
      <c r="DV233" s="28"/>
      <c r="DW233" s="28"/>
      <c r="DX233" s="28"/>
      <c r="DY233" s="28"/>
      <c r="DZ233" s="28"/>
      <c r="EA233" s="28"/>
      <c r="EB233" s="28"/>
      <c r="EC233" s="28">
        <v>13</v>
      </c>
      <c r="ED233" s="28">
        <v>10</v>
      </c>
      <c r="EE233" s="28"/>
      <c r="EF233" s="28"/>
      <c r="EG233" s="28"/>
      <c r="EH233" s="28"/>
      <c r="EI233" s="28"/>
      <c r="EJ233" s="28">
        <v>11</v>
      </c>
      <c r="EK233" s="28"/>
      <c r="EL233" s="28"/>
      <c r="EM233" s="28"/>
      <c r="EN233" s="28"/>
      <c r="EO233" s="28"/>
      <c r="EP233" s="28"/>
      <c r="EQ233" s="28"/>
      <c r="ER233" s="28"/>
      <c r="ES233" s="28"/>
      <c r="ET233" s="28"/>
      <c r="EU233" s="28"/>
      <c r="EV233" s="28"/>
      <c r="EW233" s="28"/>
      <c r="EX233" s="28"/>
      <c r="EY233" s="28"/>
      <c r="EZ233" s="28"/>
      <c r="FA233" s="28"/>
      <c r="FB233" s="28">
        <v>20</v>
      </c>
      <c r="FC233" s="28">
        <v>19</v>
      </c>
      <c r="FD233" s="28"/>
      <c r="FE233" s="28"/>
      <c r="FF233" s="28"/>
      <c r="FG233" s="28"/>
      <c r="FH233" s="28"/>
      <c r="FI233" s="28"/>
      <c r="FJ233" s="28"/>
      <c r="FK233" s="28"/>
      <c r="FL233" s="28"/>
      <c r="FM233" s="28"/>
      <c r="FN233" s="28"/>
      <c r="FO233" s="28"/>
      <c r="FP233" s="28"/>
      <c r="FQ233" s="28"/>
      <c r="FR233" s="28">
        <v>11</v>
      </c>
      <c r="FS233" s="28">
        <v>170</v>
      </c>
      <c r="FT233" s="28"/>
      <c r="FU233" s="28"/>
      <c r="FV233" s="28"/>
      <c r="FW233" s="28"/>
      <c r="FX233" s="28"/>
      <c r="FY233" s="28"/>
      <c r="FZ233" s="28"/>
      <c r="GA233" s="28"/>
      <c r="GB233" s="28"/>
      <c r="GC233" s="28"/>
      <c r="GD233" s="28"/>
      <c r="GE233" s="28"/>
      <c r="GF233" s="28"/>
      <c r="GG233" s="28"/>
      <c r="GH233" s="28"/>
      <c r="GI233" s="28"/>
      <c r="GJ233" s="28"/>
      <c r="GK233" s="28"/>
      <c r="GL233" s="28"/>
      <c r="GM233" s="28"/>
      <c r="GN233" s="28"/>
      <c r="GO233" s="28"/>
      <c r="GP233" s="28"/>
      <c r="GQ233" s="28"/>
      <c r="GR233" s="28"/>
      <c r="GS233" s="28"/>
      <c r="GT233" s="28"/>
      <c r="GU233" s="28"/>
      <c r="GV233" s="28"/>
      <c r="GW233" s="28"/>
      <c r="GX233" s="28"/>
      <c r="GY233" s="28"/>
      <c r="GZ233" s="28"/>
      <c r="HA233" s="28"/>
      <c r="HB233" s="28"/>
      <c r="HC233" s="28"/>
      <c r="HD233" s="28"/>
      <c r="HE233" s="28"/>
      <c r="HF233" s="28"/>
      <c r="HG233" s="28"/>
      <c r="HH233" s="28"/>
      <c r="HI233" s="28"/>
    </row>
    <row r="234" spans="1:217" ht="13" x14ac:dyDescent="0.15">
      <c r="A234" s="27">
        <v>43592</v>
      </c>
      <c r="B234" s="28" t="s">
        <v>250</v>
      </c>
      <c r="C234" s="16">
        <f t="shared" ref="C234:C249" si="136">C233+1</f>
        <v>216</v>
      </c>
      <c r="D234" s="28">
        <v>21.410399999999999</v>
      </c>
      <c r="E234" s="28">
        <v>-158.17770400000001</v>
      </c>
      <c r="F234" s="28" t="s">
        <v>418</v>
      </c>
      <c r="G234" s="29">
        <v>0.4375</v>
      </c>
      <c r="H234" s="29">
        <v>0.47916666666666669</v>
      </c>
      <c r="I234" s="28">
        <v>5</v>
      </c>
      <c r="J234" s="28">
        <v>20</v>
      </c>
      <c r="K234" s="28" t="s">
        <v>198</v>
      </c>
      <c r="L234" s="28">
        <v>5</v>
      </c>
      <c r="M234" s="28">
        <v>19</v>
      </c>
      <c r="N234" s="28" t="s">
        <v>525</v>
      </c>
      <c r="O234" s="28"/>
      <c r="P234" s="28"/>
      <c r="Q234" s="28"/>
      <c r="R234" s="28">
        <v>7</v>
      </c>
      <c r="S234" s="28">
        <v>1</v>
      </c>
      <c r="T234" s="28"/>
      <c r="U234" s="28"/>
      <c r="V234" s="28"/>
      <c r="W234" s="28"/>
      <c r="X234" s="28"/>
      <c r="Y234" s="28"/>
      <c r="Z234" s="28"/>
      <c r="AA234" s="28"/>
      <c r="AB234" s="28"/>
      <c r="AC234" s="28">
        <v>9</v>
      </c>
      <c r="AD234" s="28"/>
      <c r="AE234" s="28"/>
      <c r="AF234" s="28"/>
      <c r="AG234" s="28"/>
      <c r="AH234" s="28"/>
      <c r="AI234" s="28">
        <v>25</v>
      </c>
      <c r="AJ234" s="28"/>
      <c r="AK234" s="28"/>
      <c r="AL234" s="28"/>
      <c r="AM234" s="28">
        <v>1</v>
      </c>
      <c r="AN234" s="28"/>
      <c r="AO234" s="28"/>
      <c r="AP234" s="28"/>
      <c r="AQ234" s="28"/>
      <c r="AR234" s="28"/>
      <c r="AS234" s="28"/>
      <c r="AT234" s="28"/>
      <c r="AU234" s="28"/>
      <c r="AV234" s="28"/>
      <c r="AW234" s="28"/>
      <c r="AX234" s="28"/>
      <c r="AY234" s="28"/>
      <c r="AZ234" s="28"/>
      <c r="BA234" s="28"/>
      <c r="BB234" s="28"/>
      <c r="BC234" s="28"/>
      <c r="BD234" s="28"/>
      <c r="BE234" s="28">
        <v>9</v>
      </c>
      <c r="BF234" s="28"/>
      <c r="BG234" s="28"/>
      <c r="BH234" s="28"/>
      <c r="BI234" s="28"/>
      <c r="BJ234" s="28"/>
      <c r="BK234" s="28"/>
      <c r="BL234" s="28">
        <v>2</v>
      </c>
      <c r="BM234" s="28"/>
      <c r="BN234" s="28">
        <v>5</v>
      </c>
      <c r="BO234" s="28"/>
      <c r="BP234" s="28"/>
      <c r="BQ234" s="28"/>
      <c r="BR234" s="28"/>
      <c r="BS234" s="28"/>
      <c r="BT234" s="28"/>
      <c r="BU234" s="28"/>
      <c r="BV234" s="28">
        <v>13</v>
      </c>
      <c r="BW234" s="28"/>
      <c r="BX234" s="28"/>
      <c r="BY234" s="28"/>
      <c r="BZ234" s="28">
        <v>8</v>
      </c>
      <c r="CA234" s="28"/>
      <c r="CB234" s="28"/>
      <c r="CC234" s="28"/>
      <c r="CD234" s="28"/>
      <c r="CE234" s="28"/>
      <c r="CF234" s="28"/>
      <c r="CG234" s="28"/>
      <c r="CH234" s="28"/>
      <c r="CI234" s="28"/>
      <c r="CJ234" s="28">
        <v>1</v>
      </c>
      <c r="CK234" s="28"/>
      <c r="CL234" s="28"/>
      <c r="CM234" s="28"/>
      <c r="CN234" s="28"/>
      <c r="CO234" s="28">
        <v>14</v>
      </c>
      <c r="CP234" s="28"/>
      <c r="CQ234" s="28"/>
      <c r="CR234" s="28"/>
      <c r="CS234" s="28">
        <v>9</v>
      </c>
      <c r="CT234" s="28"/>
      <c r="CU234" s="28"/>
      <c r="CV234" s="28">
        <v>4</v>
      </c>
      <c r="CW234" s="28"/>
      <c r="CX234" s="28"/>
      <c r="CY234" s="28"/>
      <c r="CZ234" s="28"/>
      <c r="DA234" s="28"/>
      <c r="DB234" s="28"/>
      <c r="DC234" s="28"/>
      <c r="DD234" s="28"/>
      <c r="DE234" s="28"/>
      <c r="DF234" s="28"/>
      <c r="DG234" s="28">
        <v>7</v>
      </c>
      <c r="DH234" s="28"/>
      <c r="DI234" s="28"/>
      <c r="DJ234" s="28"/>
      <c r="DK234" s="28"/>
      <c r="DL234" s="28"/>
      <c r="DM234" s="28">
        <v>59</v>
      </c>
      <c r="DN234" s="28"/>
      <c r="DO234" s="28"/>
      <c r="DP234" s="28"/>
      <c r="DQ234" s="28"/>
      <c r="DR234" s="28"/>
      <c r="DS234" s="28"/>
      <c r="DT234" s="28"/>
      <c r="DU234" s="28"/>
      <c r="DV234" s="28"/>
      <c r="DW234" s="28"/>
      <c r="DX234" s="28"/>
      <c r="DY234" s="28"/>
      <c r="DZ234" s="28"/>
      <c r="EA234" s="28"/>
      <c r="EB234" s="28"/>
      <c r="EC234" s="28">
        <v>9</v>
      </c>
      <c r="ED234" s="28"/>
      <c r="EE234" s="28"/>
      <c r="EF234" s="28"/>
      <c r="EG234" s="28"/>
      <c r="EH234" s="28"/>
      <c r="EI234" s="28"/>
      <c r="EJ234" s="28">
        <v>26</v>
      </c>
      <c r="EK234" s="28"/>
      <c r="EL234" s="28"/>
      <c r="EM234" s="28"/>
      <c r="EN234" s="28"/>
      <c r="EO234" s="28"/>
      <c r="EP234" s="28"/>
      <c r="EQ234" s="28"/>
      <c r="ER234" s="28"/>
      <c r="ES234" s="28"/>
      <c r="ET234" s="28"/>
      <c r="EU234" s="28"/>
      <c r="EV234" s="28">
        <v>15</v>
      </c>
      <c r="EW234" s="28"/>
      <c r="EX234" s="28">
        <v>42</v>
      </c>
      <c r="EY234" s="28"/>
      <c r="EZ234" s="28"/>
      <c r="FA234" s="28"/>
      <c r="FB234" s="28">
        <v>7</v>
      </c>
      <c r="FC234" s="28"/>
      <c r="FD234" s="28"/>
      <c r="FE234" s="28"/>
      <c r="FF234" s="28"/>
      <c r="FG234" s="28"/>
      <c r="FH234" s="28"/>
      <c r="FI234" s="28"/>
      <c r="FJ234" s="28"/>
      <c r="FK234" s="28"/>
      <c r="FL234" s="28"/>
      <c r="FM234" s="28"/>
      <c r="FN234" s="28"/>
      <c r="FO234" s="28"/>
      <c r="FP234" s="28"/>
      <c r="FQ234" s="28"/>
      <c r="FR234" s="28">
        <v>16</v>
      </c>
      <c r="FS234" s="28">
        <v>53</v>
      </c>
      <c r="FT234" s="28"/>
      <c r="FU234" s="28"/>
      <c r="FV234" s="28"/>
      <c r="FW234" s="28">
        <v>4</v>
      </c>
      <c r="FX234" s="28"/>
      <c r="FY234" s="28"/>
      <c r="FZ234" s="28"/>
      <c r="GA234" s="28"/>
      <c r="GB234" s="28"/>
      <c r="GC234" s="28"/>
      <c r="GD234" s="28"/>
      <c r="GE234" s="28"/>
      <c r="GF234" s="28"/>
      <c r="GG234" s="28">
        <v>3</v>
      </c>
      <c r="GH234" s="28"/>
      <c r="GI234" s="28"/>
      <c r="GJ234" s="28"/>
      <c r="GK234" s="28"/>
      <c r="GL234" s="28"/>
      <c r="GM234" s="28"/>
      <c r="GN234" s="28"/>
      <c r="GO234" s="28"/>
      <c r="GP234" s="28"/>
      <c r="GQ234" s="28"/>
      <c r="GR234" s="28"/>
      <c r="GS234" s="28"/>
      <c r="GT234" s="28"/>
      <c r="GU234" s="28"/>
      <c r="GV234" s="28"/>
      <c r="GW234" s="28"/>
      <c r="GX234" s="28"/>
      <c r="GY234" s="28"/>
      <c r="GZ234" s="28"/>
      <c r="HA234" s="28"/>
      <c r="HB234" s="28"/>
      <c r="HC234" s="28"/>
      <c r="HD234" s="28"/>
      <c r="HE234" s="28"/>
      <c r="HF234" s="28"/>
      <c r="HG234" s="28"/>
      <c r="HH234" s="28"/>
      <c r="HI234" s="28"/>
    </row>
    <row r="235" spans="1:217" ht="13" x14ac:dyDescent="0.15">
      <c r="A235" s="27">
        <v>43593</v>
      </c>
      <c r="B235" s="28" t="s">
        <v>355</v>
      </c>
      <c r="C235" s="16">
        <f t="shared" si="136"/>
        <v>217</v>
      </c>
      <c r="D235" s="28">
        <v>21.284300000000002</v>
      </c>
      <c r="E235" s="28">
        <v>-157.67529300000001</v>
      </c>
      <c r="F235" s="28" t="s">
        <v>356</v>
      </c>
      <c r="G235" s="29">
        <v>0.38472222222222224</v>
      </c>
      <c r="H235" s="29">
        <v>0.42986111111111114</v>
      </c>
      <c r="I235" s="28">
        <v>7</v>
      </c>
      <c r="J235" s="28">
        <v>28</v>
      </c>
      <c r="K235" s="28" t="s">
        <v>217</v>
      </c>
      <c r="L235" s="28">
        <v>4</v>
      </c>
      <c r="M235" s="28">
        <v>5</v>
      </c>
      <c r="N235" s="28" t="s">
        <v>553</v>
      </c>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v>2</v>
      </c>
      <c r="BC235" s="28"/>
      <c r="BD235" s="28"/>
      <c r="BE235" s="28"/>
      <c r="BF235" s="28"/>
      <c r="BG235" s="28"/>
      <c r="BH235" s="28"/>
      <c r="BI235" s="28"/>
      <c r="BJ235" s="28"/>
      <c r="BK235" s="28"/>
      <c r="BL235" s="28"/>
      <c r="BM235" s="28">
        <v>2</v>
      </c>
      <c r="BN235" s="28"/>
      <c r="BO235" s="28"/>
      <c r="BP235" s="28"/>
      <c r="BQ235" s="28"/>
      <c r="BR235" s="28"/>
      <c r="BS235" s="28"/>
      <c r="BT235" s="28"/>
      <c r="BU235" s="28"/>
      <c r="BV235" s="28"/>
      <c r="BW235" s="28"/>
      <c r="BX235" s="28"/>
      <c r="BY235" s="28"/>
      <c r="BZ235" s="28">
        <v>1</v>
      </c>
      <c r="CA235" s="28"/>
      <c r="CB235" s="28"/>
      <c r="CC235" s="28"/>
      <c r="CD235" s="28"/>
      <c r="CE235" s="28"/>
      <c r="CF235" s="28"/>
      <c r="CG235" s="28"/>
      <c r="CH235" s="28"/>
      <c r="CI235" s="28"/>
      <c r="CJ235" s="28"/>
      <c r="CK235" s="28"/>
      <c r="CL235" s="28"/>
      <c r="CM235" s="28"/>
      <c r="CN235" s="28"/>
      <c r="CO235" s="28"/>
      <c r="CP235" s="28"/>
      <c r="CQ235" s="28"/>
      <c r="CR235" s="28"/>
      <c r="CS235" s="28"/>
      <c r="CT235" s="28"/>
      <c r="CU235" s="28"/>
      <c r="CV235" s="28"/>
      <c r="CW235" s="28"/>
      <c r="CX235" s="28"/>
      <c r="CY235" s="28"/>
      <c r="CZ235" s="28"/>
      <c r="DA235" s="28"/>
      <c r="DB235" s="28"/>
      <c r="DC235" s="28"/>
      <c r="DD235" s="28"/>
      <c r="DE235" s="28"/>
      <c r="DF235" s="28"/>
      <c r="DG235" s="28"/>
      <c r="DH235" s="28"/>
      <c r="DI235" s="28"/>
      <c r="DJ235" s="28"/>
      <c r="DK235" s="28"/>
      <c r="DL235" s="28"/>
      <c r="DM235" s="28"/>
      <c r="DN235" s="28"/>
      <c r="DO235" s="28"/>
      <c r="DP235" s="28"/>
      <c r="DQ235" s="28"/>
      <c r="DR235" s="28"/>
      <c r="DS235" s="28"/>
      <c r="DT235" s="28"/>
      <c r="DU235" s="28"/>
      <c r="DV235" s="28"/>
      <c r="DW235" s="28"/>
      <c r="DX235" s="28"/>
      <c r="DY235" s="28"/>
      <c r="DZ235" s="28"/>
      <c r="EA235" s="28"/>
      <c r="EB235" s="28"/>
      <c r="EC235" s="28"/>
      <c r="ED235" s="28"/>
      <c r="EE235" s="28"/>
      <c r="EF235" s="28"/>
      <c r="EG235" s="28"/>
      <c r="EH235" s="28"/>
      <c r="EI235" s="28"/>
      <c r="EJ235" s="28">
        <v>2</v>
      </c>
      <c r="EK235" s="28"/>
      <c r="EL235" s="28"/>
      <c r="EM235" s="28"/>
      <c r="EN235" s="28"/>
      <c r="EO235" s="28"/>
      <c r="EP235" s="28"/>
      <c r="EQ235" s="28"/>
      <c r="ER235" s="28"/>
      <c r="ES235" s="28"/>
      <c r="ET235" s="28"/>
      <c r="EU235" s="28"/>
      <c r="EV235" s="28"/>
      <c r="EW235" s="28"/>
      <c r="EX235" s="28"/>
      <c r="EY235" s="28"/>
      <c r="EZ235" s="28"/>
      <c r="FA235" s="28"/>
      <c r="FB235" s="28"/>
      <c r="FC235" s="28"/>
      <c r="FD235" s="28"/>
      <c r="FE235" s="28"/>
      <c r="FF235" s="28"/>
      <c r="FG235" s="28"/>
      <c r="FH235" s="28"/>
      <c r="FI235" s="28"/>
      <c r="FJ235" s="28"/>
      <c r="FK235" s="28"/>
      <c r="FL235" s="28"/>
      <c r="FM235" s="28"/>
      <c r="FN235" s="28"/>
      <c r="FO235" s="28"/>
      <c r="FP235" s="28"/>
      <c r="FQ235" s="28"/>
      <c r="FR235" s="28">
        <v>3</v>
      </c>
      <c r="FS235" s="28">
        <v>3</v>
      </c>
      <c r="FT235" s="28"/>
      <c r="FU235" s="28"/>
      <c r="FV235" s="28"/>
      <c r="FW235" s="28"/>
      <c r="FX235" s="28"/>
      <c r="FY235" s="28"/>
      <c r="FZ235" s="28"/>
      <c r="GA235" s="28"/>
      <c r="GB235" s="28"/>
      <c r="GC235" s="28"/>
      <c r="GD235" s="28"/>
      <c r="GE235" s="28"/>
      <c r="GF235" s="28"/>
      <c r="GG235" s="28"/>
      <c r="GH235" s="28"/>
      <c r="GI235" s="28"/>
      <c r="GJ235" s="28"/>
      <c r="GK235" s="28"/>
      <c r="GL235" s="28"/>
      <c r="GM235" s="28"/>
      <c r="GN235" s="28"/>
      <c r="GO235" s="28"/>
      <c r="GP235" s="28"/>
      <c r="GQ235" s="28"/>
      <c r="GR235" s="28"/>
      <c r="GS235" s="28"/>
      <c r="GT235" s="28"/>
      <c r="GU235" s="28"/>
      <c r="GV235" s="28"/>
      <c r="GW235" s="28"/>
      <c r="GX235" s="28"/>
      <c r="GY235" s="28"/>
      <c r="GZ235" s="28"/>
      <c r="HA235" s="28"/>
      <c r="HB235" s="28"/>
      <c r="HC235" s="28"/>
      <c r="HD235" s="28"/>
      <c r="HE235" s="28"/>
      <c r="HF235" s="28"/>
      <c r="HG235" s="28"/>
      <c r="HH235" s="28"/>
      <c r="HI235" s="28"/>
    </row>
    <row r="236" spans="1:217" ht="13" x14ac:dyDescent="0.15">
      <c r="A236" s="13">
        <v>43602</v>
      </c>
      <c r="B236" s="3" t="s">
        <v>489</v>
      </c>
      <c r="C236" s="16">
        <f t="shared" si="136"/>
        <v>218</v>
      </c>
      <c r="D236" s="3">
        <v>19.640812</v>
      </c>
      <c r="E236" s="3">
        <v>-156.00692699999999</v>
      </c>
      <c r="F236" s="3" t="s">
        <v>418</v>
      </c>
      <c r="G236" s="14">
        <v>0.36458333333333331</v>
      </c>
      <c r="H236" s="14">
        <v>0.44791666666666669</v>
      </c>
      <c r="I236" s="3">
        <v>5</v>
      </c>
      <c r="J236" s="3">
        <v>22</v>
      </c>
      <c r="K236" s="3" t="s">
        <v>227</v>
      </c>
      <c r="L236" s="3">
        <v>10</v>
      </c>
      <c r="M236" s="3">
        <v>19</v>
      </c>
      <c r="N236" s="3" t="s">
        <v>502</v>
      </c>
      <c r="P236" s="3">
        <v>19</v>
      </c>
      <c r="AC236" s="3"/>
      <c r="AD236" s="3">
        <v>12</v>
      </c>
      <c r="AH236" s="3">
        <v>2</v>
      </c>
      <c r="BA236" s="3"/>
      <c r="BB236" s="3">
        <v>1</v>
      </c>
      <c r="BG236" s="3">
        <v>10</v>
      </c>
      <c r="BH236" s="3">
        <v>3</v>
      </c>
      <c r="BL236" s="3">
        <v>1</v>
      </c>
      <c r="BM236" s="3">
        <v>28</v>
      </c>
      <c r="CC236" s="3">
        <v>17</v>
      </c>
      <c r="CD236" s="3">
        <v>5</v>
      </c>
      <c r="DM236" s="3">
        <v>21</v>
      </c>
      <c r="EE236" s="3"/>
      <c r="EF236" s="3"/>
      <c r="EG236" s="3"/>
      <c r="EH236" s="3"/>
      <c r="EI236" s="3"/>
      <c r="EJ236" s="3">
        <v>2</v>
      </c>
      <c r="FA236" s="3">
        <v>27</v>
      </c>
      <c r="FB236" s="3">
        <v>58</v>
      </c>
      <c r="FS236" s="3">
        <v>134</v>
      </c>
      <c r="FV236" s="3"/>
      <c r="FW236" s="3">
        <v>1</v>
      </c>
      <c r="GH236" s="3">
        <f t="shared" ref="GH236:GH237" si="137">COUNT(R236:GG236)</f>
        <v>15</v>
      </c>
      <c r="GI236" s="3">
        <f t="shared" ref="GI236:GI237" si="138">COUNTIF(R236:GG236,"&gt;=2")</f>
        <v>12</v>
      </c>
      <c r="GJ236" s="3">
        <f t="shared" ref="GJ236:GJ237" si="139">COUNTIF(R236:GG236,"&gt;=5")</f>
        <v>9</v>
      </c>
      <c r="GK236" s="3">
        <f t="shared" ref="GK236:GK237" si="140">SUM(R236:GG236)</f>
        <v>322</v>
      </c>
      <c r="GL236" s="3">
        <f t="shared" ref="GL236:GL237" si="141">25*P236</f>
        <v>475</v>
      </c>
      <c r="GM236" s="3">
        <f t="shared" ref="GM236:GM237" si="142">GL236-GK236</f>
        <v>153</v>
      </c>
    </row>
    <row r="237" spans="1:217" ht="13" x14ac:dyDescent="0.15">
      <c r="A237" s="13">
        <v>43602</v>
      </c>
      <c r="B237" s="3" t="s">
        <v>244</v>
      </c>
      <c r="C237" s="16">
        <f t="shared" si="136"/>
        <v>219</v>
      </c>
      <c r="D237" s="3">
        <v>21.310611999999999</v>
      </c>
      <c r="E237" s="3">
        <v>-158.00441000000001</v>
      </c>
      <c r="F237" s="3" t="s">
        <v>503</v>
      </c>
      <c r="G237" s="14">
        <v>0.35416666666666669</v>
      </c>
      <c r="H237" s="14">
        <v>0.4375</v>
      </c>
      <c r="I237" s="3">
        <v>5</v>
      </c>
      <c r="J237" s="3">
        <v>10</v>
      </c>
      <c r="K237" s="3" t="s">
        <v>217</v>
      </c>
      <c r="L237" s="3">
        <v>5</v>
      </c>
      <c r="M237" s="3">
        <v>25</v>
      </c>
      <c r="P237" s="3">
        <v>25</v>
      </c>
      <c r="R237" s="3">
        <v>19</v>
      </c>
      <c r="AE237" s="3">
        <v>17</v>
      </c>
      <c r="AI237" s="3">
        <v>1</v>
      </c>
      <c r="BC237" s="3">
        <v>22</v>
      </c>
      <c r="BD237" s="3">
        <v>4</v>
      </c>
      <c r="BE237" s="3">
        <v>2</v>
      </c>
      <c r="BM237" s="3">
        <v>22</v>
      </c>
      <c r="BV237" s="3">
        <v>26</v>
      </c>
      <c r="BZ237" s="3">
        <v>4</v>
      </c>
      <c r="EC237" s="3">
        <v>8</v>
      </c>
      <c r="EE237" s="3"/>
      <c r="EF237" s="3"/>
      <c r="EG237" s="3"/>
      <c r="EH237" s="3"/>
      <c r="EI237" s="3"/>
      <c r="EJ237" s="3">
        <v>261</v>
      </c>
      <c r="EX237" s="3">
        <v>5</v>
      </c>
      <c r="FF237" s="3">
        <v>2</v>
      </c>
      <c r="FR237" s="3">
        <v>2</v>
      </c>
      <c r="FS237" s="3">
        <v>97</v>
      </c>
      <c r="FV237" s="3"/>
      <c r="FW237" s="3">
        <v>1</v>
      </c>
      <c r="GH237" s="3">
        <f t="shared" si="137"/>
        <v>16</v>
      </c>
      <c r="GI237" s="3">
        <f t="shared" si="138"/>
        <v>14</v>
      </c>
      <c r="GJ237" s="3">
        <f t="shared" si="139"/>
        <v>9</v>
      </c>
      <c r="GK237" s="3">
        <f t="shared" si="140"/>
        <v>493</v>
      </c>
      <c r="GL237" s="3">
        <f t="shared" si="141"/>
        <v>625</v>
      </c>
      <c r="GM237" s="3">
        <f t="shared" si="142"/>
        <v>132</v>
      </c>
    </row>
    <row r="238" spans="1:217" ht="13" x14ac:dyDescent="0.15">
      <c r="A238" s="27">
        <v>43602</v>
      </c>
      <c r="B238" s="28" t="s">
        <v>377</v>
      </c>
      <c r="C238" s="16">
        <f t="shared" si="136"/>
        <v>220</v>
      </c>
      <c r="D238" s="28">
        <v>20.704999999999998</v>
      </c>
      <c r="E238" s="28">
        <v>-156.446945</v>
      </c>
      <c r="F238" s="28" t="s">
        <v>378</v>
      </c>
      <c r="G238" s="29">
        <v>0.3888888888888889</v>
      </c>
      <c r="H238" s="29">
        <v>0.45833333333333331</v>
      </c>
      <c r="I238" s="28">
        <v>8</v>
      </c>
      <c r="J238" s="28">
        <v>16</v>
      </c>
      <c r="K238" s="28" t="s">
        <v>198</v>
      </c>
      <c r="L238" s="28">
        <v>8</v>
      </c>
      <c r="M238" s="28">
        <v>35</v>
      </c>
      <c r="N238" s="28" t="s">
        <v>554</v>
      </c>
      <c r="O238" s="28"/>
      <c r="P238" s="28"/>
      <c r="Q238" s="28"/>
      <c r="R238" s="28"/>
      <c r="S238" s="28"/>
      <c r="T238" s="28"/>
      <c r="U238" s="28"/>
      <c r="V238" s="28"/>
      <c r="W238" s="28"/>
      <c r="X238" s="28"/>
      <c r="Y238" s="28"/>
      <c r="Z238" s="28"/>
      <c r="AA238" s="28"/>
      <c r="AB238" s="28"/>
      <c r="AC238" s="28"/>
      <c r="AD238" s="28"/>
      <c r="AE238" s="28"/>
      <c r="AF238" s="28"/>
      <c r="AG238" s="28">
        <v>24</v>
      </c>
      <c r="AH238" s="28"/>
      <c r="AI238" s="28"/>
      <c r="AJ238" s="28"/>
      <c r="AK238" s="28"/>
      <c r="AL238" s="28"/>
      <c r="AM238" s="28"/>
      <c r="AN238" s="28"/>
      <c r="AO238" s="28"/>
      <c r="AP238" s="28"/>
      <c r="AQ238" s="28"/>
      <c r="AR238" s="28"/>
      <c r="AS238" s="28"/>
      <c r="AT238" s="28"/>
      <c r="AU238" s="28"/>
      <c r="AV238" s="28"/>
      <c r="AW238" s="28"/>
      <c r="AX238" s="28">
        <v>3</v>
      </c>
      <c r="AY238" s="28"/>
      <c r="AZ238" s="28"/>
      <c r="BA238" s="28"/>
      <c r="BB238" s="28"/>
      <c r="BC238" s="28">
        <v>33</v>
      </c>
      <c r="BD238" s="28"/>
      <c r="BE238" s="28"/>
      <c r="BF238" s="28">
        <v>6</v>
      </c>
      <c r="BG238" s="28"/>
      <c r="BH238" s="28"/>
      <c r="BI238" s="28"/>
      <c r="BJ238" s="28"/>
      <c r="BK238" s="28"/>
      <c r="BL238" s="28"/>
      <c r="BM238" s="28">
        <v>21</v>
      </c>
      <c r="BN238" s="28"/>
      <c r="BO238" s="28"/>
      <c r="BP238" s="28"/>
      <c r="BQ238" s="28"/>
      <c r="BR238" s="28"/>
      <c r="BS238" s="28"/>
      <c r="BT238" s="28"/>
      <c r="BU238" s="28"/>
      <c r="BV238" s="28"/>
      <c r="BW238" s="28"/>
      <c r="BX238" s="28"/>
      <c r="BY238" s="28"/>
      <c r="BZ238" s="28"/>
      <c r="CA238" s="28"/>
      <c r="CB238" s="28"/>
      <c r="CC238" s="28"/>
      <c r="CD238" s="28"/>
      <c r="CE238" s="28"/>
      <c r="CF238" s="28"/>
      <c r="CG238" s="28"/>
      <c r="CH238" s="28"/>
      <c r="CI238" s="28"/>
      <c r="CJ238" s="28"/>
      <c r="CK238" s="28"/>
      <c r="CL238" s="28"/>
      <c r="CM238" s="28"/>
      <c r="CN238" s="28"/>
      <c r="CO238" s="28"/>
      <c r="CP238" s="28"/>
      <c r="CQ238" s="28"/>
      <c r="CR238" s="28"/>
      <c r="CS238" s="28"/>
      <c r="CT238" s="28"/>
      <c r="CU238" s="28"/>
      <c r="CV238" s="28"/>
      <c r="CW238" s="28"/>
      <c r="CX238" s="28"/>
      <c r="CY238" s="28"/>
      <c r="CZ238" s="28"/>
      <c r="DA238" s="28"/>
      <c r="DB238" s="28"/>
      <c r="DC238" s="28"/>
      <c r="DD238" s="28"/>
      <c r="DE238" s="28"/>
      <c r="DF238" s="28"/>
      <c r="DG238" s="28"/>
      <c r="DH238" s="28">
        <v>11</v>
      </c>
      <c r="DI238" s="28"/>
      <c r="DJ238" s="28"/>
      <c r="DK238" s="28"/>
      <c r="DL238" s="28"/>
      <c r="DM238" s="28"/>
      <c r="DN238" s="28"/>
      <c r="DO238" s="28"/>
      <c r="DP238" s="28">
        <v>1</v>
      </c>
      <c r="DQ238" s="28"/>
      <c r="DR238" s="28"/>
      <c r="DS238" s="28">
        <v>6</v>
      </c>
      <c r="DT238" s="28"/>
      <c r="DU238" s="28"/>
      <c r="DV238" s="28"/>
      <c r="DW238" s="28"/>
      <c r="DX238" s="28"/>
      <c r="DY238" s="28"/>
      <c r="DZ238" s="28">
        <v>2</v>
      </c>
      <c r="EA238" s="28"/>
      <c r="EB238" s="28"/>
      <c r="EC238" s="28"/>
      <c r="ED238" s="28"/>
      <c r="EE238" s="28"/>
      <c r="EF238" s="28"/>
      <c r="EG238" s="28"/>
      <c r="EH238" s="28"/>
      <c r="EI238" s="28"/>
      <c r="EJ238" s="28">
        <v>8</v>
      </c>
      <c r="EK238" s="28"/>
      <c r="EL238" s="28"/>
      <c r="EM238" s="28"/>
      <c r="EN238" s="28"/>
      <c r="EO238" s="28"/>
      <c r="EP238" s="28"/>
      <c r="EQ238" s="28"/>
      <c r="ER238" s="28"/>
      <c r="ES238" s="28"/>
      <c r="ET238" s="28"/>
      <c r="EU238" s="28"/>
      <c r="EV238" s="28"/>
      <c r="EW238" s="28"/>
      <c r="EX238" s="28"/>
      <c r="EY238" s="28"/>
      <c r="EZ238" s="28"/>
      <c r="FA238" s="28"/>
      <c r="FB238" s="28"/>
      <c r="FC238" s="28">
        <v>9</v>
      </c>
      <c r="FD238" s="28"/>
      <c r="FE238" s="28"/>
      <c r="FF238" s="28">
        <v>3</v>
      </c>
      <c r="FG238" s="28"/>
      <c r="FH238" s="28"/>
      <c r="FI238" s="28">
        <v>1</v>
      </c>
      <c r="FJ238" s="28"/>
      <c r="FK238" s="28"/>
      <c r="FL238" s="28"/>
      <c r="FM238" s="28"/>
      <c r="FN238" s="28"/>
      <c r="FO238" s="28"/>
      <c r="FP238" s="28"/>
      <c r="FQ238" s="28"/>
      <c r="FR238" s="28"/>
      <c r="FS238" s="28">
        <v>58</v>
      </c>
      <c r="FT238" s="28"/>
      <c r="FU238" s="28"/>
      <c r="FV238" s="28"/>
      <c r="FW238" s="28">
        <v>9</v>
      </c>
      <c r="FX238" s="28"/>
      <c r="FY238" s="28"/>
      <c r="FZ238" s="28"/>
      <c r="GA238" s="28">
        <v>12</v>
      </c>
      <c r="GB238" s="28"/>
      <c r="GC238" s="28"/>
      <c r="GD238" s="28">
        <v>61</v>
      </c>
      <c r="GE238" s="28"/>
      <c r="GF238" s="28"/>
      <c r="GG238" s="28"/>
      <c r="GH238" s="28"/>
      <c r="GI238" s="28"/>
      <c r="GJ238" s="28"/>
      <c r="GK238" s="28"/>
      <c r="GL238" s="28"/>
      <c r="GM238" s="28"/>
      <c r="GN238" s="28"/>
      <c r="GO238" s="28"/>
      <c r="GP238" s="28"/>
      <c r="GQ238" s="28"/>
      <c r="GR238" s="28"/>
      <c r="GS238" s="28"/>
      <c r="GT238" s="28"/>
      <c r="GU238" s="28"/>
      <c r="GV238" s="28"/>
      <c r="GW238" s="28"/>
      <c r="GX238" s="28"/>
      <c r="GY238" s="28"/>
      <c r="GZ238" s="28"/>
      <c r="HA238" s="28"/>
      <c r="HB238" s="28"/>
      <c r="HC238" s="28"/>
      <c r="HD238" s="28"/>
      <c r="HE238" s="28"/>
      <c r="HF238" s="28"/>
      <c r="HG238" s="28"/>
      <c r="HH238" s="28"/>
      <c r="HI238" s="28"/>
    </row>
    <row r="239" spans="1:217" ht="13" x14ac:dyDescent="0.15">
      <c r="A239" s="27">
        <v>43605</v>
      </c>
      <c r="B239" s="28" t="s">
        <v>307</v>
      </c>
      <c r="C239" s="16">
        <f t="shared" si="136"/>
        <v>221</v>
      </c>
      <c r="D239" s="28">
        <v>19.736111000000001</v>
      </c>
      <c r="E239" s="28">
        <v>-155.03083799999999</v>
      </c>
      <c r="F239" s="28" t="s">
        <v>308</v>
      </c>
      <c r="G239" s="29">
        <v>0.40625</v>
      </c>
      <c r="H239" s="29">
        <v>0.46875</v>
      </c>
      <c r="I239" s="28">
        <v>8</v>
      </c>
      <c r="J239" s="28">
        <v>12</v>
      </c>
      <c r="K239" s="28" t="s">
        <v>217</v>
      </c>
      <c r="L239" s="28">
        <v>8</v>
      </c>
      <c r="M239" s="28">
        <v>43</v>
      </c>
      <c r="N239" s="28" t="s">
        <v>555</v>
      </c>
      <c r="O239" s="28"/>
      <c r="P239" s="28"/>
      <c r="Q239" s="28"/>
      <c r="R239" s="28">
        <v>3</v>
      </c>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v>28</v>
      </c>
      <c r="BN239" s="28"/>
      <c r="BO239" s="28"/>
      <c r="BP239" s="28"/>
      <c r="BQ239" s="28">
        <v>2</v>
      </c>
      <c r="BR239" s="28"/>
      <c r="BS239" s="28"/>
      <c r="BT239" s="28"/>
      <c r="BU239" s="28"/>
      <c r="BV239" s="28">
        <v>5</v>
      </c>
      <c r="BW239" s="28"/>
      <c r="BX239" s="28"/>
      <c r="BY239" s="28"/>
      <c r="BZ239" s="28"/>
      <c r="CA239" s="28"/>
      <c r="CB239" s="28"/>
      <c r="CC239" s="28"/>
      <c r="CD239" s="28"/>
      <c r="CE239" s="28"/>
      <c r="CF239" s="28"/>
      <c r="CG239" s="28"/>
      <c r="CH239" s="28"/>
      <c r="CI239" s="28"/>
      <c r="CJ239" s="28"/>
      <c r="CK239" s="28"/>
      <c r="CL239" s="28"/>
      <c r="CM239" s="28"/>
      <c r="CN239" s="28"/>
      <c r="CO239" s="28">
        <v>13</v>
      </c>
      <c r="CP239" s="28"/>
      <c r="CQ239" s="28"/>
      <c r="CR239" s="28"/>
      <c r="CS239" s="28"/>
      <c r="CT239" s="28"/>
      <c r="CU239" s="28"/>
      <c r="CV239" s="28"/>
      <c r="CW239" s="28"/>
      <c r="CX239" s="28"/>
      <c r="CY239" s="28"/>
      <c r="CZ239" s="28"/>
      <c r="DA239" s="28">
        <v>1</v>
      </c>
      <c r="DB239" s="28"/>
      <c r="DC239" s="28"/>
      <c r="DD239" s="28"/>
      <c r="DE239" s="28"/>
      <c r="DF239" s="28"/>
      <c r="DG239" s="28"/>
      <c r="DH239" s="28"/>
      <c r="DI239" s="28"/>
      <c r="DJ239" s="28"/>
      <c r="DK239" s="28"/>
      <c r="DL239" s="28"/>
      <c r="DM239" s="28"/>
      <c r="DN239" s="28"/>
      <c r="DO239" s="28"/>
      <c r="DP239" s="28">
        <v>8</v>
      </c>
      <c r="DQ239" s="28"/>
      <c r="DR239" s="28"/>
      <c r="DS239" s="28"/>
      <c r="DT239" s="28"/>
      <c r="DU239" s="28"/>
      <c r="DV239" s="28"/>
      <c r="DW239" s="28"/>
      <c r="DX239" s="28"/>
      <c r="DY239" s="28"/>
      <c r="DZ239" s="28"/>
      <c r="EA239" s="28">
        <v>2</v>
      </c>
      <c r="EB239" s="28"/>
      <c r="EC239" s="28"/>
      <c r="ED239" s="28"/>
      <c r="EE239" s="28">
        <v>2</v>
      </c>
      <c r="EF239" s="28"/>
      <c r="EG239" s="28"/>
      <c r="EH239" s="28"/>
      <c r="EI239" s="28"/>
      <c r="EJ239" s="28">
        <v>3</v>
      </c>
      <c r="EK239" s="28"/>
      <c r="EL239" s="28"/>
      <c r="EM239" s="28"/>
      <c r="EN239" s="28"/>
      <c r="EO239" s="28"/>
      <c r="EP239" s="28"/>
      <c r="EQ239" s="28"/>
      <c r="ER239" s="28"/>
      <c r="ES239" s="28"/>
      <c r="ET239" s="28"/>
      <c r="EU239" s="28"/>
      <c r="EV239" s="28"/>
      <c r="EW239" s="28"/>
      <c r="EX239" s="28">
        <v>1</v>
      </c>
      <c r="EY239" s="28"/>
      <c r="EZ239" s="28"/>
      <c r="FA239" s="28"/>
      <c r="FB239" s="28"/>
      <c r="FC239" s="28"/>
      <c r="FD239" s="28"/>
      <c r="FE239" s="28">
        <v>8</v>
      </c>
      <c r="FF239" s="28">
        <v>9</v>
      </c>
      <c r="FG239" s="28"/>
      <c r="FH239" s="28"/>
      <c r="FI239" s="28"/>
      <c r="FJ239" s="28"/>
      <c r="FK239" s="28"/>
      <c r="FL239" s="28"/>
      <c r="FM239" s="28"/>
      <c r="FN239" s="28"/>
      <c r="FO239" s="28"/>
      <c r="FP239" s="28"/>
      <c r="FQ239" s="28"/>
      <c r="FR239" s="28">
        <v>9</v>
      </c>
      <c r="FS239" s="28">
        <v>480</v>
      </c>
      <c r="FT239" s="28"/>
      <c r="FU239" s="28"/>
      <c r="FV239" s="28"/>
      <c r="FW239" s="28"/>
      <c r="FX239" s="28">
        <v>1</v>
      </c>
      <c r="FY239" s="28"/>
      <c r="FZ239" s="28"/>
      <c r="GA239" s="28"/>
      <c r="GB239" s="28"/>
      <c r="GC239" s="28"/>
      <c r="GD239" s="28"/>
      <c r="GE239" s="28"/>
      <c r="GF239" s="28"/>
      <c r="GG239" s="28"/>
      <c r="GH239" s="28"/>
      <c r="GI239" s="28"/>
      <c r="GJ239" s="28"/>
      <c r="GK239" s="28"/>
      <c r="GL239" s="28"/>
      <c r="GM239" s="28"/>
      <c r="GN239" s="28"/>
      <c r="GO239" s="28"/>
      <c r="GP239" s="28"/>
      <c r="GQ239" s="28"/>
      <c r="GR239" s="28"/>
      <c r="GS239" s="28"/>
      <c r="GT239" s="28"/>
      <c r="GU239" s="28"/>
      <c r="GV239" s="28"/>
      <c r="GW239" s="28"/>
      <c r="GX239" s="28"/>
      <c r="GY239" s="28"/>
      <c r="GZ239" s="28"/>
      <c r="HA239" s="28"/>
      <c r="HB239" s="28"/>
      <c r="HC239" s="28"/>
      <c r="HD239" s="28"/>
      <c r="HE239" s="28"/>
      <c r="HF239" s="28"/>
      <c r="HG239" s="28"/>
      <c r="HH239" s="28"/>
      <c r="HI239" s="28"/>
    </row>
    <row r="240" spans="1:217" ht="13" x14ac:dyDescent="0.15">
      <c r="A240" s="24">
        <v>43734</v>
      </c>
      <c r="B240" s="25" t="s">
        <v>329</v>
      </c>
      <c r="C240" s="16">
        <f t="shared" si="136"/>
        <v>222</v>
      </c>
      <c r="D240" s="25">
        <v>21.140799999999999</v>
      </c>
      <c r="E240" s="25">
        <v>-157.29011499999999</v>
      </c>
      <c r="F240" s="25" t="s">
        <v>286</v>
      </c>
      <c r="G240" s="26">
        <v>0.375</v>
      </c>
      <c r="H240" s="26">
        <v>0.39166666666666666</v>
      </c>
      <c r="I240" s="25">
        <v>3</v>
      </c>
      <c r="J240" s="25">
        <v>14</v>
      </c>
      <c r="K240" s="25" t="s">
        <v>198</v>
      </c>
      <c r="L240" s="25">
        <v>14</v>
      </c>
      <c r="M240" s="25">
        <v>15</v>
      </c>
      <c r="N240" s="25" t="s">
        <v>504</v>
      </c>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v>3</v>
      </c>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v>1</v>
      </c>
      <c r="BY240" s="25"/>
      <c r="BZ240" s="25"/>
      <c r="CA240" s="25"/>
      <c r="CB240" s="25"/>
      <c r="CC240" s="25"/>
      <c r="CD240" s="25"/>
      <c r="CE240" s="25"/>
      <c r="CF240" s="25"/>
      <c r="CG240" s="25"/>
      <c r="CH240" s="25"/>
      <c r="CI240" s="25"/>
      <c r="CJ240" s="25"/>
      <c r="CK240" s="25"/>
      <c r="CL240" s="25"/>
      <c r="CM240" s="25"/>
      <c r="CN240" s="25"/>
      <c r="CO240" s="25"/>
      <c r="CP240" s="25"/>
      <c r="CQ240" s="25"/>
      <c r="CR240" s="25"/>
      <c r="CS240" s="25"/>
      <c r="CT240" s="25"/>
      <c r="CU240" s="25"/>
      <c r="CV240" s="25"/>
      <c r="CW240" s="25"/>
      <c r="CX240" s="25"/>
      <c r="CY240" s="25"/>
      <c r="CZ240" s="25"/>
      <c r="DA240" s="25"/>
      <c r="DB240" s="25"/>
      <c r="DC240" s="25"/>
      <c r="DD240" s="25"/>
      <c r="DE240" s="25"/>
      <c r="DF240" s="25"/>
      <c r="DG240" s="25"/>
      <c r="DH240" s="25"/>
      <c r="DI240" s="25"/>
      <c r="DJ240" s="25"/>
      <c r="DK240" s="25"/>
      <c r="DL240" s="25"/>
      <c r="DM240" s="25"/>
      <c r="DN240" s="25"/>
      <c r="DO240" s="25"/>
      <c r="DP240" s="25"/>
      <c r="DQ240" s="25"/>
      <c r="DR240" s="25"/>
      <c r="DS240" s="25"/>
      <c r="DT240" s="25"/>
      <c r="DU240" s="25"/>
      <c r="DV240" s="25"/>
      <c r="DW240" s="25"/>
      <c r="DX240" s="25"/>
      <c r="DY240" s="25"/>
      <c r="DZ240" s="25"/>
      <c r="EA240" s="25"/>
      <c r="EB240" s="25"/>
      <c r="EC240" s="25"/>
      <c r="ED240" s="25"/>
      <c r="EE240" s="25"/>
      <c r="EF240" s="25"/>
      <c r="EG240" s="25"/>
      <c r="EH240" s="25"/>
      <c r="EI240" s="25"/>
      <c r="EJ240" s="25">
        <v>186</v>
      </c>
      <c r="EK240" s="25"/>
      <c r="EL240" s="25"/>
      <c r="EM240" s="25"/>
      <c r="EN240" s="25"/>
      <c r="EO240" s="25"/>
      <c r="EP240" s="25"/>
      <c r="EQ240" s="25"/>
      <c r="ER240" s="25"/>
      <c r="ES240" s="25"/>
      <c r="ET240" s="25"/>
      <c r="EU240" s="25"/>
      <c r="EV240" s="25"/>
      <c r="EW240" s="25"/>
      <c r="EX240" s="25"/>
      <c r="EY240" s="25"/>
      <c r="EZ240" s="25"/>
      <c r="FA240" s="25"/>
      <c r="FB240" s="25"/>
      <c r="FC240" s="25">
        <v>1</v>
      </c>
      <c r="FD240" s="25"/>
      <c r="FE240" s="25"/>
      <c r="FF240" s="25"/>
      <c r="FG240" s="25"/>
      <c r="FH240" s="25"/>
      <c r="FI240" s="25"/>
      <c r="FJ240" s="25"/>
      <c r="FK240" s="25"/>
      <c r="FL240" s="25"/>
      <c r="FM240" s="25"/>
      <c r="FN240" s="25"/>
      <c r="FO240" s="25"/>
      <c r="FP240" s="25"/>
      <c r="FQ240" s="25"/>
      <c r="FR240" s="25"/>
      <c r="FS240" s="25"/>
      <c r="FT240" s="25"/>
      <c r="FU240" s="25"/>
      <c r="FV240" s="25"/>
      <c r="FW240" s="25"/>
      <c r="FX240" s="25"/>
      <c r="FY240" s="25"/>
      <c r="FZ240" s="25"/>
      <c r="GA240" s="25"/>
      <c r="GB240" s="25"/>
      <c r="GC240" s="25">
        <v>4</v>
      </c>
      <c r="GD240" s="25"/>
      <c r="GE240" s="25"/>
      <c r="GF240" s="25"/>
      <c r="GG240" s="25"/>
      <c r="GH240" s="25">
        <f t="shared" ref="GH240:GH248" si="143">COUNT(R240:GG240)</f>
        <v>5</v>
      </c>
      <c r="GI240" s="25">
        <f t="shared" ref="GI240:GI248" si="144">COUNTIF(R240:GG240,"&gt;=2")</f>
        <v>3</v>
      </c>
      <c r="GJ240" s="25">
        <f t="shared" ref="GJ240:GJ248" si="145">COUNTIF(R240:GG240,"&gt;=5")</f>
        <v>1</v>
      </c>
      <c r="GK240" s="25">
        <f t="shared" ref="GK240:GK248" si="146">SUM(R240:GG240)</f>
        <v>195</v>
      </c>
      <c r="GL240" s="25">
        <f t="shared" ref="GL240:GL248" si="147">25*P240</f>
        <v>0</v>
      </c>
      <c r="GM240" s="25">
        <f t="shared" ref="GM240:GM248" si="148">GL240-GK240</f>
        <v>-195</v>
      </c>
      <c r="GN240" s="25"/>
      <c r="GO240" s="25"/>
      <c r="GP240" s="25"/>
      <c r="GQ240" s="25"/>
      <c r="GR240" s="25"/>
      <c r="GS240" s="25"/>
      <c r="GT240" s="25"/>
      <c r="GU240" s="25"/>
      <c r="GV240" s="25"/>
      <c r="GW240" s="25"/>
      <c r="GX240" s="25"/>
      <c r="GY240" s="25"/>
      <c r="GZ240" s="25"/>
      <c r="HA240" s="25"/>
      <c r="HB240" s="25"/>
      <c r="HC240" s="25"/>
      <c r="HD240" s="25"/>
      <c r="HE240" s="25"/>
      <c r="HF240" s="25"/>
      <c r="HG240" s="25"/>
      <c r="HH240" s="25"/>
      <c r="HI240" s="25"/>
    </row>
    <row r="241" spans="1:217" ht="13" x14ac:dyDescent="0.15">
      <c r="A241" s="24">
        <v>43735</v>
      </c>
      <c r="B241" s="25" t="s">
        <v>329</v>
      </c>
      <c r="C241" s="16">
        <f t="shared" si="136"/>
        <v>223</v>
      </c>
      <c r="D241" s="25">
        <v>21.140799999999999</v>
      </c>
      <c r="E241" s="25">
        <v>-157.29011499999999</v>
      </c>
      <c r="F241" s="25" t="s">
        <v>286</v>
      </c>
      <c r="G241" s="26">
        <v>0.37291666666666667</v>
      </c>
      <c r="H241" s="26">
        <v>0.38958333333333334</v>
      </c>
      <c r="I241" s="25">
        <v>6</v>
      </c>
      <c r="J241" s="25">
        <v>13</v>
      </c>
      <c r="K241" s="25" t="s">
        <v>198</v>
      </c>
      <c r="L241" s="25">
        <v>13</v>
      </c>
      <c r="M241" s="25">
        <v>42</v>
      </c>
      <c r="N241" s="25" t="s">
        <v>506</v>
      </c>
      <c r="O241" s="25"/>
      <c r="P241" s="25"/>
      <c r="Q241" s="25"/>
      <c r="R241" s="25"/>
      <c r="S241" s="25">
        <v>3</v>
      </c>
      <c r="T241" s="25"/>
      <c r="U241" s="25"/>
      <c r="V241" s="25"/>
      <c r="W241" s="25"/>
      <c r="X241" s="25"/>
      <c r="Y241" s="25"/>
      <c r="Z241" s="25"/>
      <c r="AA241" s="25"/>
      <c r="AB241" s="25"/>
      <c r="AC241" s="25"/>
      <c r="AD241" s="25"/>
      <c r="AE241" s="25"/>
      <c r="AF241" s="25"/>
      <c r="AG241" s="25">
        <v>4</v>
      </c>
      <c r="AH241" s="25"/>
      <c r="AI241" s="25"/>
      <c r="AJ241" s="25"/>
      <c r="AK241" s="25"/>
      <c r="AL241" s="25"/>
      <c r="AM241" s="25"/>
      <c r="AN241" s="25"/>
      <c r="AO241" s="25"/>
      <c r="AP241" s="25"/>
      <c r="AQ241" s="25"/>
      <c r="AR241" s="25"/>
      <c r="AS241" s="25">
        <v>27</v>
      </c>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v>1</v>
      </c>
      <c r="BQ241" s="25"/>
      <c r="BR241" s="25"/>
      <c r="BS241" s="25"/>
      <c r="BT241" s="25"/>
      <c r="BU241" s="25"/>
      <c r="BV241" s="25"/>
      <c r="BW241" s="25"/>
      <c r="BX241" s="25"/>
      <c r="BY241" s="25"/>
      <c r="BZ241" s="25"/>
      <c r="CA241" s="25"/>
      <c r="CB241" s="25">
        <v>1</v>
      </c>
      <c r="CC241" s="25"/>
      <c r="CD241" s="25"/>
      <c r="CE241" s="25"/>
      <c r="CF241" s="25"/>
      <c r="CG241" s="25"/>
      <c r="CH241" s="25"/>
      <c r="CI241" s="25"/>
      <c r="CJ241" s="25"/>
      <c r="CK241" s="25"/>
      <c r="CL241" s="25"/>
      <c r="CM241" s="25"/>
      <c r="CN241" s="25"/>
      <c r="CO241" s="25"/>
      <c r="CP241" s="25"/>
      <c r="CQ241" s="25"/>
      <c r="CR241" s="25"/>
      <c r="CS241" s="25">
        <v>49</v>
      </c>
      <c r="CT241" s="25"/>
      <c r="CU241" s="25"/>
      <c r="CV241" s="25"/>
      <c r="CW241" s="25"/>
      <c r="CX241" s="25"/>
      <c r="CY241" s="25"/>
      <c r="CZ241" s="25"/>
      <c r="DA241" s="25"/>
      <c r="DB241" s="25"/>
      <c r="DC241" s="25"/>
      <c r="DD241" s="25"/>
      <c r="DE241" s="25"/>
      <c r="DF241" s="25"/>
      <c r="DG241" s="25">
        <v>8</v>
      </c>
      <c r="DH241" s="25"/>
      <c r="DI241" s="25"/>
      <c r="DJ241" s="25"/>
      <c r="DK241" s="25"/>
      <c r="DL241" s="25"/>
      <c r="DM241" s="25"/>
      <c r="DN241" s="25"/>
      <c r="DO241" s="25"/>
      <c r="DP241" s="25"/>
      <c r="DQ241" s="25"/>
      <c r="DR241" s="25"/>
      <c r="DS241" s="25"/>
      <c r="DT241" s="25"/>
      <c r="DU241" s="25"/>
      <c r="DV241" s="25"/>
      <c r="DW241" s="25"/>
      <c r="DX241" s="25"/>
      <c r="DY241" s="25"/>
      <c r="DZ241" s="25"/>
      <c r="EA241" s="25"/>
      <c r="EB241" s="25"/>
      <c r="EC241" s="25"/>
      <c r="ED241" s="25"/>
      <c r="EE241" s="25"/>
      <c r="EF241" s="25"/>
      <c r="EG241" s="25"/>
      <c r="EH241" s="25"/>
      <c r="EI241" s="25"/>
      <c r="EJ241" s="25">
        <v>318</v>
      </c>
      <c r="EK241" s="25"/>
      <c r="EL241" s="25"/>
      <c r="EM241" s="25"/>
      <c r="EN241" s="25"/>
      <c r="EO241" s="25"/>
      <c r="EP241" s="25"/>
      <c r="EQ241" s="25"/>
      <c r="ER241" s="25"/>
      <c r="ES241" s="25"/>
      <c r="ET241" s="25"/>
      <c r="EU241" s="25"/>
      <c r="EV241" s="25"/>
      <c r="EW241" s="25"/>
      <c r="EX241" s="25"/>
      <c r="EY241" s="25"/>
      <c r="EZ241" s="25"/>
      <c r="FA241" s="25"/>
      <c r="FB241" s="25">
        <v>6</v>
      </c>
      <c r="FC241" s="25"/>
      <c r="FD241" s="25"/>
      <c r="FE241" s="25"/>
      <c r="FF241" s="25"/>
      <c r="FG241" s="25"/>
      <c r="FH241" s="25"/>
      <c r="FI241" s="25"/>
      <c r="FJ241" s="25"/>
      <c r="FK241" s="25"/>
      <c r="FL241" s="25"/>
      <c r="FM241" s="25"/>
      <c r="FN241" s="25"/>
      <c r="FO241" s="25"/>
      <c r="FP241" s="25"/>
      <c r="FQ241" s="25"/>
      <c r="FR241" s="25"/>
      <c r="FS241" s="25">
        <v>53</v>
      </c>
      <c r="FT241" s="25"/>
      <c r="FU241" s="25"/>
      <c r="FV241" s="25"/>
      <c r="FW241" s="25"/>
      <c r="FX241" s="25"/>
      <c r="FY241" s="25"/>
      <c r="FZ241" s="25"/>
      <c r="GA241" s="25"/>
      <c r="GB241" s="25"/>
      <c r="GC241" s="25"/>
      <c r="GD241" s="25"/>
      <c r="GE241" s="25"/>
      <c r="GF241" s="25"/>
      <c r="GG241" s="25"/>
      <c r="GH241" s="25">
        <f t="shared" si="143"/>
        <v>10</v>
      </c>
      <c r="GI241" s="25">
        <f t="shared" si="144"/>
        <v>8</v>
      </c>
      <c r="GJ241" s="25">
        <f t="shared" si="145"/>
        <v>6</v>
      </c>
      <c r="GK241" s="25">
        <f t="shared" si="146"/>
        <v>470</v>
      </c>
      <c r="GL241" s="25">
        <f t="shared" si="147"/>
        <v>0</v>
      </c>
      <c r="GM241" s="25">
        <f t="shared" si="148"/>
        <v>-470</v>
      </c>
      <c r="GN241" s="25"/>
      <c r="GO241" s="25"/>
      <c r="GP241" s="25"/>
      <c r="GQ241" s="25"/>
      <c r="GR241" s="25"/>
      <c r="GS241" s="25"/>
      <c r="GT241" s="25"/>
      <c r="GU241" s="25"/>
      <c r="GV241" s="25"/>
      <c r="GW241" s="25"/>
      <c r="GX241" s="25"/>
      <c r="GY241" s="25"/>
      <c r="GZ241" s="25"/>
      <c r="HA241" s="25"/>
      <c r="HB241" s="25"/>
      <c r="HC241" s="25"/>
      <c r="HD241" s="25"/>
      <c r="HE241" s="25"/>
      <c r="HF241" s="25"/>
      <c r="HG241" s="25"/>
      <c r="HH241" s="25"/>
      <c r="HI241" s="25"/>
    </row>
    <row r="242" spans="1:217" ht="16" x14ac:dyDescent="0.2">
      <c r="A242" s="33">
        <v>43839</v>
      </c>
      <c r="B242" s="4" t="s">
        <v>366</v>
      </c>
      <c r="C242" s="16">
        <f t="shared" si="136"/>
        <v>224</v>
      </c>
      <c r="D242" s="4">
        <v>19.715052</v>
      </c>
      <c r="E242" s="4">
        <v>-156.04913300000001</v>
      </c>
      <c r="F242" s="4" t="s">
        <v>508</v>
      </c>
      <c r="G242" s="34">
        <v>0.45138888888888901</v>
      </c>
      <c r="H242" s="34">
        <v>0.48611111111111099</v>
      </c>
      <c r="I242" s="22">
        <v>5</v>
      </c>
      <c r="J242" s="22">
        <v>20</v>
      </c>
      <c r="K242" s="22" t="s">
        <v>198</v>
      </c>
      <c r="L242" s="22">
        <v>5</v>
      </c>
      <c r="M242" s="22">
        <v>20</v>
      </c>
      <c r="N242" s="22" t="s">
        <v>509</v>
      </c>
      <c r="O242" s="22"/>
      <c r="P242" s="22">
        <v>20</v>
      </c>
      <c r="Q242" s="22"/>
      <c r="R242" s="22"/>
      <c r="S242" s="22"/>
      <c r="T242" s="22">
        <v>21</v>
      </c>
      <c r="U242" s="22"/>
      <c r="V242" s="22"/>
      <c r="W242" s="22"/>
      <c r="X242" s="22"/>
      <c r="Y242" s="22"/>
      <c r="Z242" s="22"/>
      <c r="AA242" s="22"/>
      <c r="AB242" s="22"/>
      <c r="AC242" s="22"/>
      <c r="AD242" s="22">
        <v>2</v>
      </c>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v>70</v>
      </c>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v>1</v>
      </c>
      <c r="DB242" s="22"/>
      <c r="DC242" s="22"/>
      <c r="DD242" s="22"/>
      <c r="DE242" s="22"/>
      <c r="DF242" s="22"/>
      <c r="DG242" s="22"/>
      <c r="DH242" s="22"/>
      <c r="DI242" s="22"/>
      <c r="DJ242" s="22"/>
      <c r="DK242" s="22"/>
      <c r="DL242" s="22"/>
      <c r="DM242" s="22"/>
      <c r="DN242" s="22"/>
      <c r="DO242" s="22"/>
      <c r="DP242" s="22">
        <v>4</v>
      </c>
      <c r="DQ242" s="22"/>
      <c r="DR242" s="22"/>
      <c r="DS242" s="22"/>
      <c r="DT242" s="22"/>
      <c r="DU242" s="22"/>
      <c r="DV242" s="22"/>
      <c r="DW242" s="22"/>
      <c r="DX242" s="22"/>
      <c r="DY242" s="22"/>
      <c r="DZ242" s="22"/>
      <c r="EA242" s="22"/>
      <c r="EB242" s="22"/>
      <c r="EC242" s="22"/>
      <c r="ED242" s="22"/>
      <c r="EE242" s="22"/>
      <c r="EF242" s="22"/>
      <c r="EG242" s="22"/>
      <c r="EH242" s="22"/>
      <c r="EI242" s="22"/>
      <c r="EJ242" s="22"/>
      <c r="EK242" s="22"/>
      <c r="EL242" s="22"/>
      <c r="EM242" s="22"/>
      <c r="EN242" s="22"/>
      <c r="EO242" s="22"/>
      <c r="EP242" s="22"/>
      <c r="EQ242" s="22"/>
      <c r="ER242" s="22"/>
      <c r="ES242" s="22"/>
      <c r="ET242" s="22"/>
      <c r="EU242" s="22"/>
      <c r="EV242" s="22"/>
      <c r="EW242" s="22"/>
      <c r="EX242" s="22"/>
      <c r="EY242" s="22"/>
      <c r="EZ242" s="22"/>
      <c r="FA242" s="22"/>
      <c r="FB242" s="22"/>
      <c r="FC242" s="22"/>
      <c r="FD242" s="22"/>
      <c r="FE242" s="22"/>
      <c r="FF242" s="22"/>
      <c r="FG242" s="22"/>
      <c r="FH242" s="22"/>
      <c r="FI242" s="22"/>
      <c r="FJ242" s="22"/>
      <c r="FK242" s="22"/>
      <c r="FL242" s="22"/>
      <c r="FM242" s="22"/>
      <c r="FN242" s="22"/>
      <c r="FO242" s="22"/>
      <c r="FP242" s="22"/>
      <c r="FQ242" s="22"/>
      <c r="FR242" s="22"/>
      <c r="FS242" s="22">
        <v>31</v>
      </c>
      <c r="FT242" s="22"/>
      <c r="FU242" s="22"/>
      <c r="FV242" s="22"/>
      <c r="FW242" s="22">
        <v>60</v>
      </c>
      <c r="FZ242" s="22"/>
      <c r="GA242" s="22"/>
      <c r="GB242" s="22"/>
      <c r="GC242" s="22"/>
      <c r="GD242" s="22"/>
      <c r="GE242" s="22"/>
      <c r="GF242" s="22"/>
      <c r="GG242" s="22"/>
      <c r="GH242" s="3">
        <f t="shared" si="143"/>
        <v>7</v>
      </c>
      <c r="GI242" s="3">
        <f t="shared" si="144"/>
        <v>6</v>
      </c>
      <c r="GJ242" s="3">
        <f t="shared" si="145"/>
        <v>4</v>
      </c>
      <c r="GK242" s="3">
        <f t="shared" si="146"/>
        <v>189</v>
      </c>
      <c r="GL242" s="3">
        <f t="shared" si="147"/>
        <v>500</v>
      </c>
      <c r="GM242" s="3">
        <f t="shared" si="148"/>
        <v>311</v>
      </c>
    </row>
    <row r="243" spans="1:217" ht="16" x14ac:dyDescent="0.2">
      <c r="A243" s="33">
        <v>43840</v>
      </c>
      <c r="B243" s="4" t="s">
        <v>511</v>
      </c>
      <c r="C243" s="16">
        <f t="shared" si="136"/>
        <v>225</v>
      </c>
      <c r="D243" s="4">
        <v>19.5791</v>
      </c>
      <c r="E243" s="22">
        <v>-155.967804</v>
      </c>
      <c r="F243" s="4" t="s">
        <v>508</v>
      </c>
      <c r="G243" s="34">
        <v>0.42499999999999999</v>
      </c>
      <c r="H243" s="34">
        <v>0.46180555555555602</v>
      </c>
      <c r="I243" s="22">
        <v>5</v>
      </c>
      <c r="J243" s="22">
        <v>20</v>
      </c>
      <c r="K243" s="22" t="s">
        <v>198</v>
      </c>
      <c r="L243" s="22">
        <v>5</v>
      </c>
      <c r="M243" s="3">
        <v>24</v>
      </c>
      <c r="N243" s="3" t="s">
        <v>512</v>
      </c>
      <c r="P243" s="3">
        <v>24</v>
      </c>
      <c r="BF243" s="3"/>
      <c r="BG243" s="3"/>
      <c r="BH243" s="3"/>
      <c r="BI243" s="3"/>
      <c r="BJ243" s="3"/>
      <c r="BK243" s="3"/>
      <c r="BL243" s="3"/>
      <c r="BM243" s="3">
        <v>224</v>
      </c>
      <c r="FS243" s="3">
        <v>165</v>
      </c>
      <c r="GH243" s="3">
        <f t="shared" si="143"/>
        <v>2</v>
      </c>
      <c r="GI243" s="3">
        <f t="shared" si="144"/>
        <v>2</v>
      </c>
      <c r="GJ243" s="3">
        <f t="shared" si="145"/>
        <v>2</v>
      </c>
      <c r="GK243" s="3">
        <f t="shared" si="146"/>
        <v>389</v>
      </c>
      <c r="GL243" s="3">
        <f t="shared" si="147"/>
        <v>600</v>
      </c>
      <c r="GM243" s="3">
        <f t="shared" si="148"/>
        <v>211</v>
      </c>
    </row>
    <row r="244" spans="1:217" ht="16" x14ac:dyDescent="0.2">
      <c r="A244" s="35">
        <v>43868</v>
      </c>
      <c r="B244" s="4" t="s">
        <v>511</v>
      </c>
      <c r="C244" s="16">
        <f t="shared" si="136"/>
        <v>226</v>
      </c>
      <c r="D244" s="4">
        <v>19.5791</v>
      </c>
      <c r="E244" s="4">
        <v>-155.967804</v>
      </c>
      <c r="F244" s="3" t="s">
        <v>508</v>
      </c>
      <c r="G244" s="34">
        <v>0.420833333333333</v>
      </c>
      <c r="H244" s="34">
        <v>0.45138888888888901</v>
      </c>
      <c r="I244" s="3">
        <v>5</v>
      </c>
      <c r="J244" s="3">
        <v>20</v>
      </c>
      <c r="K244" s="3" t="s">
        <v>198</v>
      </c>
      <c r="L244" s="3">
        <v>5</v>
      </c>
      <c r="M244" s="3">
        <v>25</v>
      </c>
      <c r="P244" s="3">
        <v>25</v>
      </c>
      <c r="BF244" s="3"/>
      <c r="BG244" s="3"/>
      <c r="BH244" s="3"/>
      <c r="BI244" s="3"/>
      <c r="BJ244" s="3"/>
      <c r="BK244" s="3"/>
      <c r="BL244" s="3"/>
      <c r="BM244" s="3">
        <v>188</v>
      </c>
      <c r="CI244" s="3"/>
      <c r="CJ244" s="3"/>
      <c r="CK244" s="3"/>
      <c r="CL244" s="3"/>
      <c r="CM244" s="3"/>
      <c r="CN244" s="3"/>
      <c r="CO244" s="3"/>
      <c r="CP244" s="3"/>
      <c r="CQ244" s="3"/>
      <c r="CR244" s="3"/>
      <c r="CS244" s="3"/>
      <c r="CT244" s="3"/>
      <c r="CU244" s="3">
        <v>1</v>
      </c>
      <c r="FS244" s="3">
        <v>278</v>
      </c>
      <c r="GH244" s="3">
        <f t="shared" si="143"/>
        <v>3</v>
      </c>
      <c r="GI244" s="3">
        <f t="shared" si="144"/>
        <v>2</v>
      </c>
      <c r="GJ244" s="3">
        <f t="shared" si="145"/>
        <v>2</v>
      </c>
      <c r="GK244" s="3">
        <f t="shared" si="146"/>
        <v>467</v>
      </c>
      <c r="GL244" s="3">
        <f t="shared" si="147"/>
        <v>625</v>
      </c>
      <c r="GM244" s="3">
        <f t="shared" si="148"/>
        <v>158</v>
      </c>
    </row>
    <row r="245" spans="1:217" ht="16" x14ac:dyDescent="0.2">
      <c r="A245" s="13">
        <v>43882</v>
      </c>
      <c r="B245" s="3" t="s">
        <v>340</v>
      </c>
      <c r="C245" s="16">
        <f t="shared" si="136"/>
        <v>227</v>
      </c>
      <c r="D245" s="4">
        <v>19.643276</v>
      </c>
      <c r="E245" s="3">
        <v>-156.01019299999999</v>
      </c>
      <c r="F245" s="4" t="s">
        <v>508</v>
      </c>
      <c r="G245" s="34">
        <v>0.41875000000000001</v>
      </c>
      <c r="H245" s="34">
        <v>0.44444444444444398</v>
      </c>
      <c r="I245" s="3">
        <v>5</v>
      </c>
      <c r="J245" s="3">
        <v>20</v>
      </c>
      <c r="K245" s="3" t="s">
        <v>198</v>
      </c>
      <c r="L245" s="3">
        <v>5</v>
      </c>
      <c r="M245" s="3">
        <v>25</v>
      </c>
      <c r="P245" s="3">
        <v>25</v>
      </c>
      <c r="BF245" s="3"/>
      <c r="BG245" s="3"/>
      <c r="BH245" s="3"/>
      <c r="BI245" s="3"/>
      <c r="BJ245" s="3"/>
      <c r="BK245" s="3"/>
      <c r="BL245" s="3"/>
      <c r="BM245" s="3">
        <v>13</v>
      </c>
      <c r="BX245" s="3"/>
      <c r="CA245" s="3"/>
      <c r="CB245" s="3"/>
      <c r="CC245" s="3">
        <v>3</v>
      </c>
      <c r="DN245" s="3"/>
      <c r="DO245" s="3"/>
      <c r="DP245" s="3"/>
      <c r="DQ245" s="3"/>
      <c r="DR245" s="3"/>
      <c r="DS245" s="3"/>
      <c r="DT245" s="3"/>
      <c r="DU245" s="3"/>
      <c r="DV245" s="3"/>
      <c r="DW245" s="3"/>
      <c r="DX245" s="3"/>
      <c r="DY245" s="3"/>
      <c r="DZ245" s="3"/>
      <c r="EA245" s="3"/>
      <c r="EB245" s="3"/>
      <c r="EC245" s="3"/>
      <c r="ED245" s="3"/>
      <c r="EE245" s="3"/>
      <c r="EF245" s="3"/>
      <c r="EG245" s="3"/>
      <c r="EH245" s="3"/>
      <c r="EI245" s="3"/>
      <c r="EJ245" s="3">
        <v>27</v>
      </c>
      <c r="FG245" s="3"/>
      <c r="FH245" s="3"/>
      <c r="FI245" s="3"/>
      <c r="FJ245" s="3"/>
      <c r="FK245" s="3"/>
      <c r="FL245" s="3"/>
      <c r="FM245" s="3">
        <v>9</v>
      </c>
      <c r="FN245" s="3"/>
      <c r="FO245" s="3"/>
      <c r="FP245" s="3"/>
      <c r="FQ245" s="3"/>
      <c r="FR245" s="3">
        <v>141</v>
      </c>
      <c r="FS245" s="3">
        <v>390</v>
      </c>
      <c r="FT245" s="3"/>
      <c r="FU245" s="3"/>
      <c r="FV245" s="3"/>
      <c r="FW245" s="3">
        <v>2</v>
      </c>
      <c r="GH245" s="3">
        <f t="shared" si="143"/>
        <v>7</v>
      </c>
      <c r="GI245" s="3">
        <f t="shared" si="144"/>
        <v>7</v>
      </c>
      <c r="GJ245" s="3">
        <f t="shared" si="145"/>
        <v>5</v>
      </c>
      <c r="GK245" s="3">
        <f t="shared" si="146"/>
        <v>585</v>
      </c>
      <c r="GL245" s="3">
        <f t="shared" si="147"/>
        <v>625</v>
      </c>
      <c r="GM245" s="3">
        <f t="shared" si="148"/>
        <v>40</v>
      </c>
    </row>
    <row r="246" spans="1:217" ht="16" x14ac:dyDescent="0.2">
      <c r="A246" s="35">
        <v>43885</v>
      </c>
      <c r="B246" s="3" t="s">
        <v>233</v>
      </c>
      <c r="C246" s="16">
        <f t="shared" si="136"/>
        <v>228</v>
      </c>
      <c r="D246" s="4">
        <v>21.066799</v>
      </c>
      <c r="E246" s="3">
        <v>-156.804993</v>
      </c>
      <c r="F246" s="3" t="s">
        <v>286</v>
      </c>
      <c r="G246" s="34">
        <v>0.47569444444444398</v>
      </c>
      <c r="H246" s="34">
        <v>0.51041666666666663</v>
      </c>
      <c r="I246" s="3">
        <v>5</v>
      </c>
      <c r="J246" s="3">
        <v>25</v>
      </c>
      <c r="K246" s="3" t="s">
        <v>198</v>
      </c>
      <c r="L246" s="3">
        <v>7</v>
      </c>
      <c r="M246" s="3">
        <v>28</v>
      </c>
      <c r="N246" s="3" t="s">
        <v>516</v>
      </c>
      <c r="O246" s="3"/>
      <c r="P246" s="3">
        <v>28</v>
      </c>
      <c r="R246" s="3">
        <v>10</v>
      </c>
      <c r="AF246" s="3"/>
      <c r="AG246" s="3"/>
      <c r="AH246" s="3"/>
      <c r="AI246" s="3"/>
      <c r="AJ246" s="3"/>
      <c r="AK246" s="3"/>
      <c r="AL246" s="3"/>
      <c r="AM246" s="3"/>
      <c r="AN246" s="3">
        <v>2</v>
      </c>
      <c r="BF246" s="3"/>
      <c r="BG246" s="3"/>
      <c r="BH246" s="3"/>
      <c r="BI246" s="3"/>
      <c r="BJ246" s="3"/>
      <c r="BK246" s="3"/>
      <c r="BL246" s="3"/>
      <c r="BM246" s="3">
        <v>63</v>
      </c>
      <c r="BN246" s="3"/>
      <c r="BO246" s="3"/>
      <c r="BP246" s="3"/>
      <c r="BQ246" s="3"/>
      <c r="BR246" s="3"/>
      <c r="BS246" s="3"/>
      <c r="BT246" s="3"/>
      <c r="BU246" s="3"/>
      <c r="BV246" s="3">
        <v>1</v>
      </c>
      <c r="BW246" s="3"/>
      <c r="BY246" s="3"/>
      <c r="BZ246" s="3">
        <v>6</v>
      </c>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v>1</v>
      </c>
      <c r="DH246" s="3"/>
      <c r="DI246" s="3"/>
      <c r="DJ246" s="3"/>
      <c r="DK246" s="3"/>
      <c r="DL246" s="3"/>
      <c r="DM246" s="3">
        <v>15</v>
      </c>
      <c r="DN246" s="3"/>
      <c r="DO246" s="3"/>
      <c r="DP246" s="3"/>
      <c r="DQ246" s="3"/>
      <c r="DR246" s="3"/>
      <c r="DS246" s="3"/>
      <c r="DT246" s="3"/>
      <c r="DU246" s="3"/>
      <c r="DV246" s="3"/>
      <c r="DW246" s="3"/>
      <c r="DX246" s="3"/>
      <c r="DY246" s="3"/>
      <c r="DZ246" s="3"/>
      <c r="EA246" s="3"/>
      <c r="EB246" s="3"/>
      <c r="EC246" s="3"/>
      <c r="ED246" s="3"/>
      <c r="EE246" s="3"/>
      <c r="EF246" s="3"/>
      <c r="EG246" s="3"/>
      <c r="EH246" s="3"/>
      <c r="EI246" s="3"/>
      <c r="EJ246" s="3">
        <v>18</v>
      </c>
      <c r="EK246" s="3"/>
      <c r="EL246" s="3"/>
      <c r="EM246" s="3"/>
      <c r="EN246" s="3"/>
      <c r="EO246" s="3"/>
      <c r="EP246" s="3"/>
      <c r="EQ246" s="3"/>
      <c r="ER246" s="3"/>
      <c r="ES246" s="3"/>
      <c r="ET246" s="3"/>
      <c r="EU246" s="3"/>
      <c r="EV246" s="3"/>
      <c r="EW246" s="3"/>
      <c r="EX246" s="3"/>
      <c r="EY246" s="3"/>
      <c r="EZ246" s="3"/>
      <c r="FA246" s="3"/>
      <c r="FB246" s="3"/>
      <c r="FC246" s="3"/>
      <c r="FD246" s="3"/>
      <c r="FE246" s="3"/>
      <c r="FF246" s="3">
        <v>4</v>
      </c>
      <c r="FG246" s="3"/>
      <c r="FH246" s="3"/>
      <c r="FI246" s="3"/>
      <c r="FJ246" s="3"/>
      <c r="FK246" s="3"/>
      <c r="FL246" s="3"/>
      <c r="FM246" s="3"/>
      <c r="FN246" s="3"/>
      <c r="FO246" s="3"/>
      <c r="FP246" s="3"/>
      <c r="FQ246" s="3"/>
      <c r="FR246" s="3"/>
      <c r="FS246" s="3">
        <v>178</v>
      </c>
      <c r="FT246" s="3"/>
      <c r="FU246" s="3"/>
      <c r="FV246" s="3"/>
      <c r="FW246" s="3"/>
      <c r="FZ246" s="3"/>
      <c r="GA246" s="3"/>
      <c r="GB246" s="3"/>
      <c r="GC246" s="3"/>
      <c r="GD246" s="3"/>
      <c r="GE246" s="3"/>
      <c r="GF246" s="3"/>
      <c r="GG246" s="3">
        <v>2</v>
      </c>
      <c r="GH246" s="3">
        <f t="shared" si="143"/>
        <v>11</v>
      </c>
      <c r="GI246" s="3">
        <f t="shared" si="144"/>
        <v>9</v>
      </c>
      <c r="GJ246" s="3">
        <f t="shared" si="145"/>
        <v>6</v>
      </c>
      <c r="GK246" s="3">
        <f t="shared" si="146"/>
        <v>300</v>
      </c>
      <c r="GL246" s="3">
        <f t="shared" si="147"/>
        <v>700</v>
      </c>
      <c r="GM246" s="3">
        <f t="shared" si="148"/>
        <v>400</v>
      </c>
    </row>
    <row r="247" spans="1:217" ht="16" x14ac:dyDescent="0.2">
      <c r="A247" s="37">
        <v>43893</v>
      </c>
      <c r="B247" s="4" t="s">
        <v>244</v>
      </c>
      <c r="C247" s="16">
        <f t="shared" si="136"/>
        <v>229</v>
      </c>
      <c r="D247" s="30">
        <v>21.310611999999999</v>
      </c>
      <c r="E247" s="30">
        <v>-158.00441000000001</v>
      </c>
      <c r="F247" s="4" t="s">
        <v>326</v>
      </c>
      <c r="G247" s="38">
        <v>0.39583333333333298</v>
      </c>
      <c r="H247" s="38">
        <v>0.45833333333333298</v>
      </c>
      <c r="I247" s="30">
        <v>5</v>
      </c>
      <c r="J247" s="30">
        <v>8</v>
      </c>
      <c r="K247" s="4" t="s">
        <v>318</v>
      </c>
      <c r="L247" s="30">
        <v>4</v>
      </c>
      <c r="M247" s="3">
        <v>9</v>
      </c>
      <c r="N247" s="3" t="s">
        <v>518</v>
      </c>
      <c r="O247" s="3"/>
      <c r="P247" s="3">
        <v>9</v>
      </c>
      <c r="Q247" s="3" t="s">
        <v>519</v>
      </c>
      <c r="R247" s="3">
        <v>23</v>
      </c>
      <c r="S247" s="3"/>
      <c r="T247" s="3"/>
      <c r="U247" s="3"/>
      <c r="V247" s="3"/>
      <c r="W247" s="3"/>
      <c r="X247" s="3"/>
      <c r="Y247" s="3"/>
      <c r="Z247" s="3"/>
      <c r="AA247" s="3"/>
      <c r="AB247" s="3"/>
      <c r="AC247" s="3"/>
      <c r="AD247" s="3"/>
      <c r="AE247" s="3">
        <v>23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v>1</v>
      </c>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v>34</v>
      </c>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v>1</v>
      </c>
      <c r="GH247" s="3">
        <f t="shared" si="143"/>
        <v>5</v>
      </c>
      <c r="GI247" s="3">
        <f t="shared" si="144"/>
        <v>3</v>
      </c>
      <c r="GJ247" s="3">
        <f t="shared" si="145"/>
        <v>3</v>
      </c>
      <c r="GK247" s="3">
        <f t="shared" si="146"/>
        <v>82</v>
      </c>
      <c r="GL247" s="3">
        <f t="shared" si="147"/>
        <v>225</v>
      </c>
      <c r="GM247" s="3">
        <f t="shared" si="148"/>
        <v>143</v>
      </c>
    </row>
    <row r="248" spans="1:217" ht="16" x14ac:dyDescent="0.2">
      <c r="A248" s="37">
        <v>43901</v>
      </c>
      <c r="B248" s="4" t="s">
        <v>456</v>
      </c>
      <c r="C248" s="16">
        <f t="shared" si="136"/>
        <v>230</v>
      </c>
      <c r="D248" s="30">
        <v>21.316488</v>
      </c>
      <c r="E248" s="30">
        <v>-157.66426100000001</v>
      </c>
      <c r="F248" s="4" t="s">
        <v>469</v>
      </c>
      <c r="G248" s="38">
        <v>0.375694444444444</v>
      </c>
      <c r="H248" s="38">
        <v>0.41666666666666702</v>
      </c>
      <c r="I248" s="30">
        <v>5</v>
      </c>
      <c r="J248" s="30">
        <v>40</v>
      </c>
      <c r="K248" s="4" t="s">
        <v>470</v>
      </c>
      <c r="L248" s="30">
        <v>5</v>
      </c>
      <c r="M248" s="3">
        <v>25</v>
      </c>
      <c r="N248" s="3"/>
      <c r="O248" s="3"/>
      <c r="P248" s="3">
        <v>25</v>
      </c>
      <c r="Q248" s="3" t="s">
        <v>521</v>
      </c>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v>25</v>
      </c>
      <c r="BN248" s="3"/>
      <c r="BO248" s="3"/>
      <c r="BP248" s="3"/>
      <c r="BQ248" s="3"/>
      <c r="BR248" s="3"/>
      <c r="BS248" s="3"/>
      <c r="BT248" s="3"/>
      <c r="BU248" s="3"/>
      <c r="BV248" s="3"/>
      <c r="BW248" s="3"/>
      <c r="BX248" s="3"/>
      <c r="BY248" s="3"/>
      <c r="BZ248" s="3"/>
      <c r="CA248" s="3"/>
      <c r="CB248" s="3"/>
      <c r="CC248" s="3">
        <v>7</v>
      </c>
      <c r="CD248" s="3"/>
      <c r="CE248" s="3"/>
      <c r="CF248" s="3"/>
      <c r="CG248" s="3"/>
      <c r="CH248" s="3">
        <v>1</v>
      </c>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v>6</v>
      </c>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v>252</v>
      </c>
      <c r="FT248" s="3"/>
      <c r="FU248" s="3"/>
      <c r="FV248" s="3"/>
      <c r="FW248" s="3"/>
      <c r="FZ248" s="3"/>
      <c r="GA248" s="3"/>
      <c r="GB248" s="3"/>
      <c r="GC248" s="3"/>
      <c r="GD248" s="3"/>
      <c r="GE248" s="3"/>
      <c r="GF248" s="3"/>
      <c r="GG248" s="3"/>
      <c r="GH248" s="3">
        <f t="shared" si="143"/>
        <v>5</v>
      </c>
      <c r="GI248" s="3">
        <f t="shared" si="144"/>
        <v>4</v>
      </c>
      <c r="GJ248" s="3">
        <f t="shared" si="145"/>
        <v>4</v>
      </c>
      <c r="GK248" s="3">
        <f t="shared" si="146"/>
        <v>291</v>
      </c>
      <c r="GL248" s="3">
        <f t="shared" si="147"/>
        <v>625</v>
      </c>
      <c r="GM248" s="3">
        <f t="shared" si="148"/>
        <v>334</v>
      </c>
    </row>
    <row r="249" spans="1:217" ht="13" x14ac:dyDescent="0.15">
      <c r="A249" s="19">
        <v>43902</v>
      </c>
      <c r="B249" s="20" t="s">
        <v>456</v>
      </c>
      <c r="C249" s="16">
        <f t="shared" si="136"/>
        <v>231</v>
      </c>
      <c r="D249" s="20">
        <v>21.316488</v>
      </c>
      <c r="E249" s="20">
        <v>-157.66426100000001</v>
      </c>
      <c r="F249" s="20" t="s">
        <v>607</v>
      </c>
      <c r="G249" s="21">
        <v>0.41666666666666669</v>
      </c>
      <c r="H249" s="21">
        <v>0.48958333333333331</v>
      </c>
      <c r="I249" s="20">
        <v>3</v>
      </c>
      <c r="J249" s="20">
        <v>10</v>
      </c>
      <c r="K249" s="20" t="s">
        <v>227</v>
      </c>
      <c r="L249" s="20">
        <v>10</v>
      </c>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0"/>
      <c r="DG249" s="20"/>
      <c r="DH249" s="20"/>
      <c r="DI249" s="20"/>
      <c r="DJ249" s="20"/>
      <c r="DK249" s="20"/>
      <c r="DL249" s="20"/>
      <c r="DM249" s="20"/>
      <c r="DN249" s="20"/>
      <c r="DO249" s="20"/>
      <c r="DP249" s="20"/>
      <c r="DQ249" s="20"/>
      <c r="DR249" s="20"/>
      <c r="DS249" s="20"/>
      <c r="DT249" s="20"/>
      <c r="DU249" s="20"/>
      <c r="DV249" s="20"/>
      <c r="DW249" s="20"/>
      <c r="DX249" s="20"/>
      <c r="DY249" s="20"/>
      <c r="DZ249" s="20"/>
      <c r="EA249" s="20"/>
      <c r="EB249" s="20"/>
      <c r="EC249" s="20"/>
      <c r="ED249" s="20"/>
      <c r="EE249" s="20"/>
      <c r="EF249" s="20"/>
      <c r="EG249" s="20"/>
      <c r="EH249" s="20"/>
      <c r="EI249" s="20"/>
      <c r="EJ249" s="20"/>
      <c r="EK249" s="20"/>
      <c r="EL249" s="20"/>
      <c r="EM249" s="20"/>
      <c r="EN249" s="20"/>
      <c r="EO249" s="20"/>
      <c r="EP249" s="20"/>
      <c r="EQ249" s="20"/>
      <c r="ER249" s="20"/>
      <c r="ES249" s="20"/>
      <c r="ET249" s="20"/>
      <c r="EU249" s="20"/>
      <c r="EV249" s="20"/>
      <c r="EW249" s="20"/>
      <c r="EX249" s="20"/>
      <c r="EY249" s="20"/>
      <c r="EZ249" s="20"/>
      <c r="FA249" s="20"/>
      <c r="FB249" s="20"/>
      <c r="FC249" s="20"/>
      <c r="FD249" s="20"/>
      <c r="FE249" s="20"/>
      <c r="FF249" s="20"/>
      <c r="FG249" s="20"/>
      <c r="FH249" s="20"/>
      <c r="FI249" s="20"/>
      <c r="FJ249" s="20"/>
      <c r="FK249" s="20"/>
      <c r="FL249" s="20"/>
      <c r="FM249" s="20"/>
      <c r="FN249" s="20"/>
      <c r="FO249" s="20"/>
      <c r="FP249" s="20"/>
      <c r="FQ249" s="20"/>
      <c r="FR249" s="20"/>
      <c r="FS249" s="20"/>
      <c r="FT249" s="20"/>
      <c r="FU249" s="20"/>
      <c r="FV249" s="20"/>
      <c r="FW249" s="20"/>
      <c r="FX249" s="20"/>
      <c r="FY249" s="20"/>
      <c r="FZ249" s="20"/>
      <c r="GA249" s="20"/>
      <c r="GB249" s="20"/>
      <c r="GC249" s="20"/>
      <c r="GD249" s="20"/>
      <c r="GE249" s="20"/>
      <c r="GF249" s="20"/>
      <c r="GG249" s="20"/>
      <c r="GH249" s="20"/>
      <c r="GI249" s="20"/>
      <c r="GJ249" s="20"/>
      <c r="GK249" s="20"/>
      <c r="GL249" s="20"/>
      <c r="GM249" s="20"/>
      <c r="GN249" s="20"/>
      <c r="GO249" s="20"/>
      <c r="GP249" s="20"/>
      <c r="GQ249" s="20"/>
      <c r="GR249" s="20"/>
      <c r="GS249" s="20"/>
      <c r="GT249" s="20"/>
      <c r="GU249" s="20"/>
      <c r="GV249" s="20"/>
      <c r="GW249" s="20"/>
      <c r="GX249" s="20"/>
      <c r="GY249" s="20"/>
      <c r="GZ249" s="20"/>
      <c r="HA249" s="20"/>
      <c r="HB249" s="20"/>
      <c r="HC249" s="20"/>
      <c r="HD249" s="20"/>
      <c r="HE249" s="20"/>
      <c r="HF249" s="20"/>
      <c r="HG249" s="20"/>
      <c r="HH249" s="20"/>
      <c r="HI249" s="20"/>
    </row>
    <row r="250" spans="1:217" ht="13" x14ac:dyDescent="0.15">
      <c r="F250" s="3" t="s">
        <v>197</v>
      </c>
      <c r="G250" s="14">
        <v>0</v>
      </c>
      <c r="H250" s="14">
        <v>4.1666666666666664E-2</v>
      </c>
    </row>
    <row r="251" spans="1:217" ht="13" x14ac:dyDescent="0.15">
      <c r="Q251" s="3" t="s">
        <v>1012</v>
      </c>
      <c r="R251" s="3">
        <f t="shared" ref="R251:FN251" si="149">COUNT(R5:R248)</f>
        <v>110</v>
      </c>
      <c r="S251" s="3">
        <f t="shared" si="149"/>
        <v>17</v>
      </c>
      <c r="T251" s="3">
        <f t="shared" si="149"/>
        <v>18</v>
      </c>
      <c r="U251" s="3">
        <f t="shared" si="149"/>
        <v>2</v>
      </c>
      <c r="V251" s="3">
        <f t="shared" si="149"/>
        <v>1</v>
      </c>
      <c r="W251" s="3">
        <f t="shared" si="149"/>
        <v>4</v>
      </c>
      <c r="X251" s="3">
        <f t="shared" si="149"/>
        <v>14</v>
      </c>
      <c r="Y251" s="3">
        <f t="shared" si="149"/>
        <v>1</v>
      </c>
      <c r="Z251" s="3">
        <f t="shared" si="149"/>
        <v>7</v>
      </c>
      <c r="AA251" s="3">
        <f t="shared" si="149"/>
        <v>1</v>
      </c>
      <c r="AB251" s="3">
        <f t="shared" si="149"/>
        <v>58</v>
      </c>
      <c r="AC251" s="3">
        <f t="shared" si="149"/>
        <v>32</v>
      </c>
      <c r="AD251" s="3">
        <f t="shared" si="149"/>
        <v>30</v>
      </c>
      <c r="AE251" s="3">
        <f t="shared" si="149"/>
        <v>31</v>
      </c>
      <c r="AF251" s="3">
        <f t="shared" si="149"/>
        <v>21</v>
      </c>
      <c r="AG251" s="3">
        <f t="shared" si="149"/>
        <v>13</v>
      </c>
      <c r="AH251" s="3">
        <f t="shared" si="149"/>
        <v>9</v>
      </c>
      <c r="AI251" s="3">
        <f t="shared" si="149"/>
        <v>48</v>
      </c>
      <c r="AJ251" s="3">
        <f t="shared" si="149"/>
        <v>1</v>
      </c>
      <c r="AK251" s="3">
        <f t="shared" si="149"/>
        <v>8</v>
      </c>
      <c r="AL251" s="3">
        <f t="shared" si="149"/>
        <v>8</v>
      </c>
      <c r="AM251" s="3">
        <f t="shared" si="149"/>
        <v>65</v>
      </c>
      <c r="AN251" s="3">
        <f t="shared" si="149"/>
        <v>20</v>
      </c>
      <c r="AO251" s="3">
        <f t="shared" si="149"/>
        <v>1</v>
      </c>
      <c r="AP251" s="3">
        <f t="shared" si="149"/>
        <v>6</v>
      </c>
      <c r="AQ251" s="3">
        <f t="shared" si="149"/>
        <v>3</v>
      </c>
      <c r="AR251" s="3">
        <f t="shared" si="149"/>
        <v>5</v>
      </c>
      <c r="AS251" s="3">
        <f t="shared" si="149"/>
        <v>4</v>
      </c>
      <c r="AT251" s="3">
        <f t="shared" si="149"/>
        <v>6</v>
      </c>
      <c r="AU251" s="3">
        <f t="shared" si="149"/>
        <v>5</v>
      </c>
      <c r="AV251" s="3">
        <f t="shared" si="149"/>
        <v>5</v>
      </c>
      <c r="AW251" s="3">
        <f t="shared" si="149"/>
        <v>4</v>
      </c>
      <c r="AX251" s="3">
        <f t="shared" si="149"/>
        <v>13</v>
      </c>
      <c r="AY251" s="3">
        <f t="shared" si="149"/>
        <v>2</v>
      </c>
      <c r="AZ251" s="3">
        <f t="shared" si="149"/>
        <v>14</v>
      </c>
      <c r="BA251" s="3">
        <f t="shared" si="149"/>
        <v>1</v>
      </c>
      <c r="BB251" s="3">
        <f t="shared" si="149"/>
        <v>69</v>
      </c>
      <c r="BC251" s="3">
        <f t="shared" si="149"/>
        <v>16</v>
      </c>
      <c r="BD251" s="3">
        <f t="shared" si="149"/>
        <v>14</v>
      </c>
      <c r="BE251" s="3">
        <f t="shared" si="149"/>
        <v>46</v>
      </c>
      <c r="BF251" s="3">
        <f t="shared" si="149"/>
        <v>10</v>
      </c>
      <c r="BG251" s="3">
        <f t="shared" si="149"/>
        <v>7</v>
      </c>
      <c r="BH251" s="3">
        <f t="shared" si="149"/>
        <v>28</v>
      </c>
      <c r="BI251" s="3">
        <f t="shared" si="149"/>
        <v>2</v>
      </c>
      <c r="BJ251" s="3">
        <f t="shared" si="149"/>
        <v>3</v>
      </c>
      <c r="BK251" s="3">
        <f t="shared" si="149"/>
        <v>49</v>
      </c>
      <c r="BL251" s="3">
        <f t="shared" si="149"/>
        <v>13</v>
      </c>
      <c r="BM251" s="3">
        <f t="shared" si="149"/>
        <v>164</v>
      </c>
      <c r="BN251" s="3">
        <f t="shared" si="149"/>
        <v>41</v>
      </c>
      <c r="BO251" s="3">
        <f t="shared" si="149"/>
        <v>1</v>
      </c>
      <c r="BP251" s="3">
        <f t="shared" si="149"/>
        <v>5</v>
      </c>
      <c r="BQ251" s="3">
        <f t="shared" si="149"/>
        <v>52</v>
      </c>
      <c r="BR251" s="3">
        <f t="shared" si="149"/>
        <v>5</v>
      </c>
      <c r="BS251" s="3">
        <f t="shared" si="149"/>
        <v>3</v>
      </c>
      <c r="BT251" s="3">
        <f t="shared" si="149"/>
        <v>8</v>
      </c>
      <c r="BU251" s="3">
        <f t="shared" si="149"/>
        <v>13</v>
      </c>
      <c r="BV251" s="3">
        <f t="shared" si="149"/>
        <v>76</v>
      </c>
      <c r="BW251" s="3">
        <f t="shared" si="149"/>
        <v>42</v>
      </c>
      <c r="BX251" s="3">
        <f t="shared" si="149"/>
        <v>17</v>
      </c>
      <c r="BY251" s="3">
        <f t="shared" si="149"/>
        <v>22</v>
      </c>
      <c r="BZ251" s="3">
        <f t="shared" si="149"/>
        <v>89</v>
      </c>
      <c r="CA251" s="3">
        <f t="shared" si="149"/>
        <v>2</v>
      </c>
      <c r="CB251" s="3">
        <f t="shared" si="149"/>
        <v>16</v>
      </c>
      <c r="CC251" s="3">
        <f t="shared" si="149"/>
        <v>70</v>
      </c>
      <c r="CD251" s="3">
        <f t="shared" si="149"/>
        <v>35</v>
      </c>
      <c r="CE251" s="3">
        <f t="shared" si="149"/>
        <v>13</v>
      </c>
      <c r="CF251" s="3">
        <f t="shared" si="149"/>
        <v>9</v>
      </c>
      <c r="CG251" s="3">
        <f t="shared" si="149"/>
        <v>1</v>
      </c>
      <c r="CH251" s="3">
        <f t="shared" si="149"/>
        <v>20</v>
      </c>
      <c r="CI251" s="3">
        <f t="shared" si="149"/>
        <v>2</v>
      </c>
      <c r="CJ251" s="3">
        <f t="shared" si="149"/>
        <v>11</v>
      </c>
      <c r="CK251" s="3">
        <f t="shared" si="149"/>
        <v>19</v>
      </c>
      <c r="CL251" s="3">
        <f t="shared" si="149"/>
        <v>3</v>
      </c>
      <c r="CM251" s="3">
        <f t="shared" si="149"/>
        <v>1</v>
      </c>
      <c r="CN251" s="3">
        <f t="shared" si="149"/>
        <v>7</v>
      </c>
      <c r="CO251" s="3">
        <f t="shared" si="149"/>
        <v>44</v>
      </c>
      <c r="CP251" s="3">
        <f t="shared" si="149"/>
        <v>1</v>
      </c>
      <c r="CQ251" s="3">
        <f t="shared" si="149"/>
        <v>4</v>
      </c>
      <c r="CR251" s="3">
        <f t="shared" si="149"/>
        <v>4</v>
      </c>
      <c r="CS251" s="3">
        <f t="shared" si="149"/>
        <v>48</v>
      </c>
      <c r="CT251" s="3">
        <f t="shared" si="149"/>
        <v>1</v>
      </c>
      <c r="CU251" s="3">
        <f t="shared" si="149"/>
        <v>11</v>
      </c>
      <c r="CV251" s="3">
        <f t="shared" si="149"/>
        <v>22</v>
      </c>
      <c r="CW251" s="3">
        <f t="shared" si="149"/>
        <v>6</v>
      </c>
      <c r="CX251" s="3">
        <f t="shared" si="149"/>
        <v>1</v>
      </c>
      <c r="CY251" s="3">
        <f t="shared" si="149"/>
        <v>1</v>
      </c>
      <c r="CZ251" s="3">
        <f t="shared" si="149"/>
        <v>2</v>
      </c>
      <c r="DA251" s="3">
        <f t="shared" si="149"/>
        <v>7</v>
      </c>
      <c r="DB251" s="3">
        <f t="shared" si="149"/>
        <v>1</v>
      </c>
      <c r="DC251" s="3">
        <f t="shared" si="149"/>
        <v>8</v>
      </c>
      <c r="DD251" s="3">
        <f t="shared" si="149"/>
        <v>12</v>
      </c>
      <c r="DE251" s="3">
        <f t="shared" si="149"/>
        <v>8</v>
      </c>
      <c r="DF251" s="3">
        <f t="shared" si="149"/>
        <v>9</v>
      </c>
      <c r="DG251" s="3">
        <f t="shared" si="149"/>
        <v>64</v>
      </c>
      <c r="DH251" s="3">
        <f t="shared" si="149"/>
        <v>28</v>
      </c>
      <c r="DI251" s="3">
        <f t="shared" si="149"/>
        <v>5</v>
      </c>
      <c r="DJ251" s="3">
        <f t="shared" si="149"/>
        <v>14</v>
      </c>
      <c r="DK251" s="3">
        <f t="shared" si="149"/>
        <v>2</v>
      </c>
      <c r="DL251" s="3">
        <f t="shared" si="149"/>
        <v>22</v>
      </c>
      <c r="DM251" s="3">
        <f t="shared" si="149"/>
        <v>110</v>
      </c>
      <c r="DN251" s="3">
        <f t="shared" si="149"/>
        <v>11</v>
      </c>
      <c r="DO251" s="3">
        <f t="shared" si="149"/>
        <v>36</v>
      </c>
      <c r="DP251" s="3">
        <f t="shared" si="149"/>
        <v>31</v>
      </c>
      <c r="DQ251" s="3">
        <f t="shared" si="149"/>
        <v>11</v>
      </c>
      <c r="DR251" s="3">
        <f t="shared" si="149"/>
        <v>1</v>
      </c>
      <c r="DS251" s="3">
        <f t="shared" si="149"/>
        <v>69</v>
      </c>
      <c r="DT251" s="3">
        <f t="shared" si="149"/>
        <v>2</v>
      </c>
      <c r="DU251" s="3">
        <f t="shared" si="149"/>
        <v>1</v>
      </c>
      <c r="DV251" s="3">
        <f t="shared" si="149"/>
        <v>60</v>
      </c>
      <c r="DW251" s="3">
        <f t="shared" si="149"/>
        <v>6</v>
      </c>
      <c r="DX251" s="3">
        <f t="shared" si="149"/>
        <v>4</v>
      </c>
      <c r="DY251" s="3">
        <f t="shared" si="149"/>
        <v>2</v>
      </c>
      <c r="DZ251" s="3">
        <f t="shared" si="149"/>
        <v>21</v>
      </c>
      <c r="EA251" s="3">
        <f t="shared" si="149"/>
        <v>5</v>
      </c>
      <c r="EB251" s="3">
        <f t="shared" si="149"/>
        <v>6</v>
      </c>
      <c r="EC251" s="3">
        <f t="shared" si="149"/>
        <v>45</v>
      </c>
      <c r="ED251" s="3">
        <f t="shared" si="149"/>
        <v>37</v>
      </c>
      <c r="EE251" s="3">
        <f t="shared" si="149"/>
        <v>2</v>
      </c>
      <c r="EF251" s="3">
        <f t="shared" si="149"/>
        <v>8</v>
      </c>
      <c r="EG251" s="3">
        <f t="shared" si="149"/>
        <v>2</v>
      </c>
      <c r="EH251" s="3">
        <f t="shared" si="149"/>
        <v>1</v>
      </c>
      <c r="EI251" s="3">
        <f t="shared" si="149"/>
        <v>6</v>
      </c>
      <c r="EJ251" s="3">
        <f t="shared" si="149"/>
        <v>172</v>
      </c>
      <c r="EK251" s="3">
        <f t="shared" si="149"/>
        <v>18</v>
      </c>
      <c r="EL251" s="3">
        <f t="shared" si="149"/>
        <v>2</v>
      </c>
      <c r="EM251" s="3">
        <f t="shared" si="149"/>
        <v>1</v>
      </c>
      <c r="EN251" s="3">
        <f t="shared" si="149"/>
        <v>7</v>
      </c>
      <c r="EO251" s="3">
        <f t="shared" si="149"/>
        <v>7</v>
      </c>
      <c r="EP251" s="3">
        <f t="shared" si="149"/>
        <v>7</v>
      </c>
      <c r="EQ251" s="3">
        <f t="shared" si="149"/>
        <v>2</v>
      </c>
      <c r="ER251" s="3">
        <f t="shared" si="149"/>
        <v>6</v>
      </c>
      <c r="ES251" s="3">
        <f t="shared" si="149"/>
        <v>2</v>
      </c>
      <c r="ET251" s="3">
        <f t="shared" si="149"/>
        <v>1</v>
      </c>
      <c r="EU251" s="3">
        <f t="shared" si="149"/>
        <v>1</v>
      </c>
      <c r="EV251" s="3">
        <f t="shared" si="149"/>
        <v>16</v>
      </c>
      <c r="EW251" s="3">
        <f t="shared" si="149"/>
        <v>13</v>
      </c>
      <c r="EX251" s="3">
        <f t="shared" si="149"/>
        <v>26</v>
      </c>
      <c r="EY251" s="3">
        <f t="shared" si="149"/>
        <v>2</v>
      </c>
      <c r="EZ251" s="3">
        <f t="shared" si="149"/>
        <v>16</v>
      </c>
      <c r="FA251" s="3">
        <f t="shared" si="149"/>
        <v>9</v>
      </c>
      <c r="FB251" s="3">
        <f t="shared" si="149"/>
        <v>110</v>
      </c>
      <c r="FC251" s="3">
        <f t="shared" si="149"/>
        <v>37</v>
      </c>
      <c r="FD251" s="3">
        <f t="shared" si="149"/>
        <v>1</v>
      </c>
      <c r="FE251" s="3">
        <f t="shared" si="149"/>
        <v>17</v>
      </c>
      <c r="FF251" s="3">
        <f t="shared" si="149"/>
        <v>42</v>
      </c>
      <c r="FG251" s="3">
        <f t="shared" si="149"/>
        <v>2</v>
      </c>
      <c r="FH251" s="3">
        <f t="shared" si="149"/>
        <v>11</v>
      </c>
      <c r="FI251" s="3">
        <f t="shared" si="149"/>
        <v>32</v>
      </c>
      <c r="FJ251" s="3">
        <f t="shared" si="149"/>
        <v>2</v>
      </c>
      <c r="FK251" s="3">
        <f t="shared" si="149"/>
        <v>2</v>
      </c>
      <c r="FL251" s="3">
        <f t="shared" si="149"/>
        <v>8</v>
      </c>
      <c r="FM251" s="3">
        <f t="shared" si="149"/>
        <v>36</v>
      </c>
      <c r="FN251" s="3">
        <f t="shared" si="149"/>
        <v>3</v>
      </c>
      <c r="FP251" s="3">
        <f t="shared" ref="FP251:FW251" si="150">COUNT(FP5:FP248)</f>
        <v>12</v>
      </c>
      <c r="FQ251" s="3">
        <f t="shared" si="150"/>
        <v>19</v>
      </c>
      <c r="FR251" s="3">
        <f t="shared" si="150"/>
        <v>82</v>
      </c>
      <c r="FS251" s="3">
        <f t="shared" si="150"/>
        <v>217</v>
      </c>
      <c r="FT251" s="3">
        <f t="shared" si="150"/>
        <v>23</v>
      </c>
      <c r="FU251" s="3">
        <f t="shared" si="150"/>
        <v>15</v>
      </c>
      <c r="FV251" s="3">
        <f t="shared" si="150"/>
        <v>4</v>
      </c>
      <c r="FW251" s="3">
        <f t="shared" si="150"/>
        <v>30</v>
      </c>
      <c r="FY251" s="3">
        <f t="shared" ref="FY251:GG251" si="151">COUNT(FY5:FY248)</f>
        <v>8</v>
      </c>
      <c r="FZ251" s="3">
        <f t="shared" si="151"/>
        <v>6</v>
      </c>
      <c r="GA251" s="3">
        <f t="shared" si="151"/>
        <v>9</v>
      </c>
      <c r="GB251" s="3">
        <f t="shared" si="151"/>
        <v>4</v>
      </c>
      <c r="GC251" s="3">
        <f t="shared" si="151"/>
        <v>7</v>
      </c>
      <c r="GD251" s="3">
        <f t="shared" si="151"/>
        <v>7</v>
      </c>
      <c r="GE251" s="3">
        <f t="shared" si="151"/>
        <v>12</v>
      </c>
      <c r="GF251" s="3">
        <f t="shared" si="151"/>
        <v>43</v>
      </c>
      <c r="GG251" s="3">
        <f t="shared" si="151"/>
        <v>16</v>
      </c>
    </row>
    <row r="252" spans="1:217" ht="13" x14ac:dyDescent="0.15">
      <c r="M252" s="3">
        <f>SUM(M5:M248)</f>
        <v>6353</v>
      </c>
      <c r="Q252" s="3" t="s">
        <v>1013</v>
      </c>
      <c r="R252" s="3">
        <f t="shared" ref="R252:FN252" si="152">SUM(R5:R248)</f>
        <v>3397</v>
      </c>
      <c r="S252" s="3">
        <f t="shared" si="152"/>
        <v>48</v>
      </c>
      <c r="T252" s="3">
        <f t="shared" si="152"/>
        <v>171</v>
      </c>
      <c r="U252" s="3">
        <f t="shared" si="152"/>
        <v>40</v>
      </c>
      <c r="V252" s="3">
        <f t="shared" si="152"/>
        <v>1</v>
      </c>
      <c r="W252" s="3">
        <f t="shared" si="152"/>
        <v>18</v>
      </c>
      <c r="X252" s="3">
        <f t="shared" si="152"/>
        <v>56</v>
      </c>
      <c r="Y252" s="3">
        <f t="shared" si="152"/>
        <v>1</v>
      </c>
      <c r="Z252" s="3">
        <f t="shared" si="152"/>
        <v>89</v>
      </c>
      <c r="AA252" s="3">
        <f t="shared" si="152"/>
        <v>3</v>
      </c>
      <c r="AB252" s="3">
        <f t="shared" si="152"/>
        <v>1341</v>
      </c>
      <c r="AC252" s="3">
        <f t="shared" si="152"/>
        <v>195</v>
      </c>
      <c r="AD252" s="3">
        <f t="shared" si="152"/>
        <v>241</v>
      </c>
      <c r="AE252" s="3">
        <f t="shared" si="152"/>
        <v>217</v>
      </c>
      <c r="AF252" s="3">
        <f t="shared" si="152"/>
        <v>154</v>
      </c>
      <c r="AG252" s="3">
        <f t="shared" si="152"/>
        <v>141</v>
      </c>
      <c r="AH252" s="3">
        <f t="shared" si="152"/>
        <v>45</v>
      </c>
      <c r="AI252" s="3">
        <f t="shared" si="152"/>
        <v>250</v>
      </c>
      <c r="AJ252" s="3">
        <f t="shared" si="152"/>
        <v>1</v>
      </c>
      <c r="AK252" s="3">
        <f t="shared" si="152"/>
        <v>45</v>
      </c>
      <c r="AL252" s="3">
        <f t="shared" si="152"/>
        <v>24</v>
      </c>
      <c r="AM252" s="3">
        <f t="shared" si="152"/>
        <v>2209</v>
      </c>
      <c r="AN252" s="3">
        <f t="shared" si="152"/>
        <v>113</v>
      </c>
      <c r="AO252" s="3">
        <f t="shared" si="152"/>
        <v>1</v>
      </c>
      <c r="AP252" s="3">
        <f t="shared" si="152"/>
        <v>11</v>
      </c>
      <c r="AQ252" s="3">
        <f t="shared" si="152"/>
        <v>4</v>
      </c>
      <c r="AR252" s="3">
        <f t="shared" si="152"/>
        <v>11</v>
      </c>
      <c r="AS252" s="3">
        <f t="shared" si="152"/>
        <v>39</v>
      </c>
      <c r="AT252" s="3">
        <f t="shared" si="152"/>
        <v>15</v>
      </c>
      <c r="AU252" s="3">
        <f t="shared" si="152"/>
        <v>6</v>
      </c>
      <c r="AV252" s="3">
        <f t="shared" si="152"/>
        <v>7</v>
      </c>
      <c r="AW252" s="3">
        <f t="shared" si="152"/>
        <v>17</v>
      </c>
      <c r="AX252" s="3">
        <f t="shared" si="152"/>
        <v>110</v>
      </c>
      <c r="AY252" s="3">
        <f t="shared" si="152"/>
        <v>2</v>
      </c>
      <c r="AZ252" s="3">
        <f t="shared" si="152"/>
        <v>81</v>
      </c>
      <c r="BA252" s="3">
        <f t="shared" si="152"/>
        <v>7</v>
      </c>
      <c r="BB252" s="3">
        <f t="shared" si="152"/>
        <v>702</v>
      </c>
      <c r="BC252" s="3">
        <f t="shared" si="152"/>
        <v>147</v>
      </c>
      <c r="BD252" s="3">
        <f t="shared" si="152"/>
        <v>66</v>
      </c>
      <c r="BE252" s="3">
        <f t="shared" si="152"/>
        <v>470</v>
      </c>
      <c r="BF252" s="3">
        <f t="shared" si="152"/>
        <v>41</v>
      </c>
      <c r="BG252" s="3">
        <f t="shared" si="152"/>
        <v>61</v>
      </c>
      <c r="BH252" s="3">
        <f t="shared" si="152"/>
        <v>137</v>
      </c>
      <c r="BI252" s="3">
        <f t="shared" si="152"/>
        <v>3</v>
      </c>
      <c r="BJ252" s="3">
        <f t="shared" si="152"/>
        <v>3</v>
      </c>
      <c r="BK252" s="3">
        <f t="shared" si="152"/>
        <v>597</v>
      </c>
      <c r="BL252" s="3">
        <f t="shared" si="152"/>
        <v>18</v>
      </c>
      <c r="BM252" s="3">
        <f t="shared" si="152"/>
        <v>6725</v>
      </c>
      <c r="BN252" s="3">
        <f t="shared" si="152"/>
        <v>3007</v>
      </c>
      <c r="BO252" s="3">
        <f t="shared" si="152"/>
        <v>1</v>
      </c>
      <c r="BP252" s="3">
        <f t="shared" si="152"/>
        <v>6</v>
      </c>
      <c r="BQ252" s="3">
        <f t="shared" si="152"/>
        <v>911</v>
      </c>
      <c r="BR252" s="3">
        <f t="shared" si="152"/>
        <v>27</v>
      </c>
      <c r="BS252" s="3">
        <f t="shared" si="152"/>
        <v>7</v>
      </c>
      <c r="BT252" s="3">
        <f t="shared" si="152"/>
        <v>55</v>
      </c>
      <c r="BU252" s="3">
        <f t="shared" si="152"/>
        <v>87</v>
      </c>
      <c r="BV252" s="3">
        <f t="shared" si="152"/>
        <v>1001</v>
      </c>
      <c r="BW252" s="3">
        <f t="shared" si="152"/>
        <v>442</v>
      </c>
      <c r="BX252" s="3">
        <f t="shared" si="152"/>
        <v>195</v>
      </c>
      <c r="BY252" s="3">
        <f t="shared" si="152"/>
        <v>213</v>
      </c>
      <c r="BZ252" s="3">
        <f t="shared" si="152"/>
        <v>1491</v>
      </c>
      <c r="CA252" s="3">
        <f t="shared" si="152"/>
        <v>74</v>
      </c>
      <c r="CB252" s="3">
        <f t="shared" si="152"/>
        <v>72</v>
      </c>
      <c r="CC252" s="3">
        <f t="shared" si="152"/>
        <v>553</v>
      </c>
      <c r="CD252" s="3">
        <f t="shared" si="152"/>
        <v>159</v>
      </c>
      <c r="CE252" s="3">
        <f t="shared" si="152"/>
        <v>95</v>
      </c>
      <c r="CF252" s="3">
        <f t="shared" si="152"/>
        <v>39</v>
      </c>
      <c r="CG252" s="3">
        <f t="shared" si="152"/>
        <v>1</v>
      </c>
      <c r="CH252" s="3">
        <f t="shared" si="152"/>
        <v>117</v>
      </c>
      <c r="CI252" s="3">
        <f t="shared" si="152"/>
        <v>2</v>
      </c>
      <c r="CJ252" s="3">
        <f t="shared" si="152"/>
        <v>54</v>
      </c>
      <c r="CK252" s="3">
        <f t="shared" si="152"/>
        <v>313</v>
      </c>
      <c r="CL252" s="3">
        <f t="shared" si="152"/>
        <v>15</v>
      </c>
      <c r="CM252" s="3">
        <f t="shared" si="152"/>
        <v>18</v>
      </c>
      <c r="CN252" s="3">
        <f t="shared" si="152"/>
        <v>24</v>
      </c>
      <c r="CO252" s="3">
        <f t="shared" si="152"/>
        <v>872</v>
      </c>
      <c r="CP252" s="3">
        <f t="shared" si="152"/>
        <v>1</v>
      </c>
      <c r="CQ252" s="3">
        <f t="shared" si="152"/>
        <v>14</v>
      </c>
      <c r="CR252" s="3">
        <f t="shared" si="152"/>
        <v>18</v>
      </c>
      <c r="CS252" s="3">
        <f t="shared" si="152"/>
        <v>415</v>
      </c>
      <c r="CT252" s="3">
        <f t="shared" si="152"/>
        <v>3</v>
      </c>
      <c r="CU252" s="3">
        <f t="shared" si="152"/>
        <v>26</v>
      </c>
      <c r="CV252" s="3">
        <f t="shared" si="152"/>
        <v>55</v>
      </c>
      <c r="CW252" s="3">
        <f t="shared" si="152"/>
        <v>16</v>
      </c>
      <c r="CX252" s="3">
        <f t="shared" si="152"/>
        <v>1</v>
      </c>
      <c r="CY252" s="3">
        <f t="shared" si="152"/>
        <v>2</v>
      </c>
      <c r="CZ252" s="3">
        <f t="shared" si="152"/>
        <v>16</v>
      </c>
      <c r="DA252" s="3">
        <f t="shared" si="152"/>
        <v>8</v>
      </c>
      <c r="DB252" s="3">
        <f t="shared" si="152"/>
        <v>3</v>
      </c>
      <c r="DC252" s="3">
        <f t="shared" si="152"/>
        <v>19</v>
      </c>
      <c r="DD252" s="3">
        <f t="shared" si="152"/>
        <v>51</v>
      </c>
      <c r="DE252" s="3">
        <f t="shared" si="152"/>
        <v>32</v>
      </c>
      <c r="DF252" s="3">
        <f t="shared" si="152"/>
        <v>165</v>
      </c>
      <c r="DG252" s="3">
        <f t="shared" si="152"/>
        <v>524</v>
      </c>
      <c r="DH252" s="3">
        <f t="shared" si="152"/>
        <v>244</v>
      </c>
      <c r="DI252" s="3">
        <f t="shared" si="152"/>
        <v>6</v>
      </c>
      <c r="DJ252" s="3">
        <f t="shared" si="152"/>
        <v>243</v>
      </c>
      <c r="DK252" s="3">
        <f t="shared" si="152"/>
        <v>8</v>
      </c>
      <c r="DL252" s="3">
        <f t="shared" si="152"/>
        <v>597</v>
      </c>
      <c r="DM252" s="3">
        <f t="shared" si="152"/>
        <v>3405</v>
      </c>
      <c r="DN252" s="3">
        <f t="shared" si="152"/>
        <v>30</v>
      </c>
      <c r="DO252" s="3">
        <f t="shared" si="152"/>
        <v>121</v>
      </c>
      <c r="DP252" s="3">
        <f t="shared" si="152"/>
        <v>147</v>
      </c>
      <c r="DQ252" s="3">
        <f t="shared" si="152"/>
        <v>111</v>
      </c>
      <c r="DR252" s="3">
        <f t="shared" si="152"/>
        <v>4</v>
      </c>
      <c r="DS252" s="3">
        <f t="shared" si="152"/>
        <v>1917</v>
      </c>
      <c r="DT252" s="3">
        <f t="shared" si="152"/>
        <v>8</v>
      </c>
      <c r="DU252" s="3">
        <f t="shared" si="152"/>
        <v>1</v>
      </c>
      <c r="DV252" s="3">
        <f t="shared" si="152"/>
        <v>918</v>
      </c>
      <c r="DW252" s="3">
        <f t="shared" si="152"/>
        <v>22</v>
      </c>
      <c r="DX252" s="3">
        <f t="shared" si="152"/>
        <v>142</v>
      </c>
      <c r="DY252" s="3">
        <f t="shared" si="152"/>
        <v>23</v>
      </c>
      <c r="DZ252" s="3">
        <f t="shared" si="152"/>
        <v>36</v>
      </c>
      <c r="EA252" s="3">
        <f t="shared" si="152"/>
        <v>9</v>
      </c>
      <c r="EB252" s="3">
        <f t="shared" si="152"/>
        <v>7</v>
      </c>
      <c r="EC252" s="3">
        <f t="shared" si="152"/>
        <v>227</v>
      </c>
      <c r="ED252" s="3">
        <f t="shared" si="152"/>
        <v>256</v>
      </c>
      <c r="EE252" s="3">
        <f t="shared" si="152"/>
        <v>3</v>
      </c>
      <c r="EF252" s="3">
        <f t="shared" si="152"/>
        <v>25</v>
      </c>
      <c r="EG252" s="3">
        <f t="shared" si="152"/>
        <v>2</v>
      </c>
      <c r="EH252" s="3">
        <f t="shared" si="152"/>
        <v>1</v>
      </c>
      <c r="EI252" s="3">
        <f t="shared" si="152"/>
        <v>30</v>
      </c>
      <c r="EJ252" s="3">
        <f t="shared" si="152"/>
        <v>16463</v>
      </c>
      <c r="EK252" s="3">
        <f t="shared" si="152"/>
        <v>121</v>
      </c>
      <c r="EL252" s="3">
        <f t="shared" si="152"/>
        <v>5</v>
      </c>
      <c r="EM252" s="3">
        <f t="shared" si="152"/>
        <v>1</v>
      </c>
      <c r="EN252" s="3">
        <f t="shared" si="152"/>
        <v>22</v>
      </c>
      <c r="EO252" s="3">
        <f t="shared" si="152"/>
        <v>46</v>
      </c>
      <c r="EP252" s="3">
        <f t="shared" si="152"/>
        <v>21</v>
      </c>
      <c r="EQ252" s="3">
        <f t="shared" si="152"/>
        <v>43</v>
      </c>
      <c r="ER252" s="3">
        <f t="shared" si="152"/>
        <v>155</v>
      </c>
      <c r="ES252" s="3">
        <f t="shared" si="152"/>
        <v>8</v>
      </c>
      <c r="ET252" s="3">
        <f t="shared" si="152"/>
        <v>2</v>
      </c>
      <c r="EU252" s="3">
        <f t="shared" si="152"/>
        <v>3</v>
      </c>
      <c r="EV252" s="3">
        <f t="shared" si="152"/>
        <v>220</v>
      </c>
      <c r="EW252" s="3">
        <f t="shared" si="152"/>
        <v>60</v>
      </c>
      <c r="EX252" s="3">
        <f t="shared" si="152"/>
        <v>479</v>
      </c>
      <c r="EY252" s="3">
        <f t="shared" si="152"/>
        <v>2</v>
      </c>
      <c r="EZ252" s="3">
        <f t="shared" si="152"/>
        <v>123</v>
      </c>
      <c r="FA252" s="3">
        <f t="shared" si="152"/>
        <v>91</v>
      </c>
      <c r="FB252" s="3">
        <f t="shared" si="152"/>
        <v>3288</v>
      </c>
      <c r="FC252" s="3">
        <f t="shared" si="152"/>
        <v>163</v>
      </c>
      <c r="FD252" s="3">
        <f t="shared" si="152"/>
        <v>1</v>
      </c>
      <c r="FE252" s="3">
        <f t="shared" si="152"/>
        <v>76</v>
      </c>
      <c r="FF252" s="3">
        <f t="shared" si="152"/>
        <v>501</v>
      </c>
      <c r="FG252" s="3">
        <f t="shared" si="152"/>
        <v>2</v>
      </c>
      <c r="FH252" s="3">
        <f t="shared" si="152"/>
        <v>34</v>
      </c>
      <c r="FI252" s="3">
        <f t="shared" si="152"/>
        <v>347</v>
      </c>
      <c r="FJ252" s="3">
        <f t="shared" si="152"/>
        <v>2</v>
      </c>
      <c r="FK252" s="3">
        <f t="shared" si="152"/>
        <v>14</v>
      </c>
      <c r="FL252" s="3">
        <f t="shared" si="152"/>
        <v>79</v>
      </c>
      <c r="FM252" s="3">
        <f t="shared" si="152"/>
        <v>423</v>
      </c>
      <c r="FN252" s="3">
        <f t="shared" si="152"/>
        <v>5</v>
      </c>
      <c r="FP252" s="3">
        <f t="shared" ref="FP252:FW252" si="153">SUM(FP5:FP248)</f>
        <v>19</v>
      </c>
      <c r="FQ252" s="3">
        <f t="shared" si="153"/>
        <v>160</v>
      </c>
      <c r="FR252" s="3">
        <f t="shared" si="153"/>
        <v>2627</v>
      </c>
      <c r="FS252" s="3">
        <f t="shared" si="153"/>
        <v>36479</v>
      </c>
      <c r="FT252" s="3">
        <f t="shared" si="153"/>
        <v>312</v>
      </c>
      <c r="FU252" s="3">
        <f t="shared" si="153"/>
        <v>133</v>
      </c>
      <c r="FV252" s="3">
        <f t="shared" si="153"/>
        <v>7</v>
      </c>
      <c r="FW252" s="3">
        <f t="shared" si="153"/>
        <v>403</v>
      </c>
      <c r="FY252" s="3">
        <f t="shared" ref="FY252:GG252" si="154">SUM(FY5:FY248)</f>
        <v>67</v>
      </c>
      <c r="FZ252" s="3">
        <f t="shared" si="154"/>
        <v>60</v>
      </c>
      <c r="GA252" s="3">
        <f t="shared" si="154"/>
        <v>98</v>
      </c>
      <c r="GB252" s="3">
        <f t="shared" si="154"/>
        <v>83</v>
      </c>
      <c r="GC252" s="3">
        <f t="shared" si="154"/>
        <v>18</v>
      </c>
      <c r="GD252" s="3">
        <f t="shared" si="154"/>
        <v>102</v>
      </c>
      <c r="GE252" s="3">
        <f t="shared" si="154"/>
        <v>55</v>
      </c>
      <c r="GF252" s="3">
        <f t="shared" si="154"/>
        <v>987</v>
      </c>
      <c r="GG252" s="3">
        <f t="shared" si="154"/>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L249"/>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2.6640625" defaultRowHeight="15.75" customHeight="1" x14ac:dyDescent="0.15"/>
  <sheetData>
    <row r="1" spans="1:194" ht="16" x14ac:dyDescent="0.2">
      <c r="A1" s="1" t="s">
        <v>3</v>
      </c>
      <c r="B1" s="2"/>
      <c r="C1" s="2"/>
      <c r="D1" s="2"/>
      <c r="E1" s="2"/>
      <c r="F1" s="1"/>
      <c r="G1" s="1"/>
      <c r="H1" s="1"/>
      <c r="I1" s="1"/>
      <c r="J1" s="1"/>
      <c r="K1" s="1"/>
      <c r="L1" s="1"/>
      <c r="M1" s="1"/>
      <c r="N1" s="1"/>
      <c r="O1" s="1"/>
      <c r="P1" s="1"/>
      <c r="Q1" s="2"/>
      <c r="R1" s="3"/>
      <c r="S1" s="4"/>
      <c r="T1" s="3"/>
      <c r="U1" s="3"/>
      <c r="V1" s="3"/>
      <c r="W1" s="3"/>
      <c r="X1" s="3"/>
      <c r="Y1" s="3"/>
      <c r="Z1" s="3"/>
      <c r="AA1" s="2"/>
      <c r="AB1" s="3"/>
      <c r="AC1" s="4"/>
      <c r="AD1" s="2"/>
      <c r="AE1" s="4"/>
      <c r="AF1" s="4"/>
      <c r="AG1" s="3"/>
      <c r="AH1" s="1"/>
      <c r="AI1" s="3"/>
      <c r="AJ1" s="3"/>
      <c r="AK1" s="3"/>
      <c r="AL1" s="2"/>
      <c r="AM1" s="4"/>
      <c r="AN1" s="3"/>
      <c r="AO1" s="4"/>
      <c r="AP1" s="3"/>
      <c r="AQ1" s="3"/>
      <c r="AR1" s="3"/>
      <c r="AS1" s="3"/>
      <c r="AT1" s="3"/>
      <c r="AU1" s="3"/>
      <c r="AV1" s="3"/>
      <c r="AW1" s="7"/>
      <c r="AX1" s="3"/>
      <c r="AY1" s="3"/>
      <c r="AZ1" s="1"/>
      <c r="BA1" s="1"/>
      <c r="BB1" s="4"/>
      <c r="BC1" s="4"/>
      <c r="BD1" s="2"/>
      <c r="BE1" s="3"/>
      <c r="BF1" s="3"/>
      <c r="BG1" s="3"/>
      <c r="BH1" s="3"/>
      <c r="BI1" s="3"/>
      <c r="BJ1" s="2"/>
      <c r="BK1" s="4"/>
      <c r="BL1" s="2"/>
      <c r="BM1" s="4"/>
      <c r="BN1" s="3"/>
      <c r="BO1" s="4"/>
      <c r="BP1" s="3"/>
      <c r="BQ1" s="4"/>
      <c r="BR1" s="3"/>
      <c r="BS1" s="3"/>
      <c r="BT1" s="3"/>
      <c r="BU1" s="2"/>
      <c r="BV1" s="4"/>
      <c r="BW1" s="3"/>
      <c r="BX1" s="3"/>
      <c r="BY1" s="2"/>
      <c r="BZ1" s="3"/>
      <c r="CA1" s="3"/>
      <c r="CB1" s="2"/>
      <c r="CC1" s="3"/>
      <c r="CD1" s="3"/>
      <c r="CE1" s="3"/>
      <c r="CF1" s="3"/>
      <c r="CG1" s="4"/>
      <c r="CH1" s="3"/>
      <c r="CI1" s="3"/>
      <c r="CJ1" s="3"/>
      <c r="CK1" s="3"/>
      <c r="CL1" s="3"/>
      <c r="CM1" s="3"/>
      <c r="CN1" s="1"/>
      <c r="CO1" s="3"/>
      <c r="CP1" s="3"/>
      <c r="CQ1" s="3"/>
      <c r="CR1" s="1"/>
      <c r="CS1" s="4"/>
      <c r="CT1" s="4"/>
      <c r="CU1" s="3"/>
      <c r="CV1" s="3"/>
      <c r="CW1" s="3"/>
      <c r="CX1" s="3"/>
      <c r="CY1" s="3"/>
      <c r="CZ1" s="4"/>
      <c r="DA1" s="3"/>
      <c r="DB1" s="3"/>
      <c r="DC1" s="3"/>
      <c r="DD1" s="3"/>
      <c r="DE1" s="3"/>
      <c r="DF1" s="2"/>
      <c r="DG1" s="4"/>
      <c r="DH1" s="3"/>
      <c r="DI1" s="4"/>
      <c r="DJ1" s="3"/>
      <c r="DK1" s="4"/>
      <c r="DL1" s="2"/>
      <c r="DM1" s="3"/>
      <c r="DN1" s="3"/>
      <c r="DO1" s="4"/>
      <c r="DP1" s="3"/>
      <c r="DQ1" s="3"/>
      <c r="DR1" s="1"/>
      <c r="DS1" s="3"/>
      <c r="DT1" s="3"/>
      <c r="DU1" s="3"/>
      <c r="DV1" s="3"/>
      <c r="DW1" s="3"/>
      <c r="DX1" s="3"/>
      <c r="DY1" s="4"/>
      <c r="DZ1" s="2"/>
      <c r="EA1" s="3"/>
      <c r="EB1" s="3"/>
      <c r="EC1" s="3"/>
      <c r="ED1" s="3"/>
      <c r="EE1" s="3"/>
      <c r="EF1" s="3"/>
      <c r="EG1" s="3"/>
      <c r="EH1" s="3"/>
      <c r="EI1" s="2"/>
      <c r="EJ1" s="3"/>
      <c r="EK1" s="3"/>
      <c r="EL1" s="3"/>
      <c r="EM1" s="3"/>
      <c r="EN1" s="3"/>
      <c r="EO1" s="3"/>
      <c r="EP1" s="3"/>
      <c r="EQ1" s="3"/>
      <c r="ER1" s="3"/>
      <c r="ES1" s="3"/>
      <c r="ET1" s="3"/>
      <c r="EU1" s="3"/>
      <c r="EV1" s="3"/>
      <c r="EW1" s="3"/>
      <c r="EX1" s="3"/>
      <c r="EY1" s="3"/>
      <c r="EZ1" s="3"/>
      <c r="FA1" s="1"/>
      <c r="FB1" s="3"/>
      <c r="FC1" s="3"/>
      <c r="FD1" s="4"/>
      <c r="FE1" s="4"/>
      <c r="FF1" s="3"/>
      <c r="FG1" s="3"/>
      <c r="FH1" s="1"/>
      <c r="FI1" s="3"/>
      <c r="FJ1" s="4"/>
      <c r="FK1" s="4"/>
      <c r="FL1" s="2"/>
      <c r="FM1" s="3"/>
      <c r="FN1" s="3"/>
      <c r="FO1" s="3"/>
      <c r="FP1" s="3"/>
      <c r="FQ1" s="2"/>
      <c r="FR1" s="2"/>
      <c r="FS1" s="3"/>
      <c r="FT1" s="3"/>
      <c r="FU1" s="3"/>
      <c r="FV1" s="4"/>
      <c r="FW1" s="3"/>
      <c r="FX1" s="3"/>
      <c r="FY1" s="3"/>
      <c r="FZ1" s="3"/>
      <c r="GA1" s="3"/>
      <c r="GB1" s="3"/>
      <c r="GC1" s="3"/>
      <c r="GD1" s="3"/>
      <c r="GE1" s="4"/>
      <c r="GF1" s="4"/>
      <c r="GG1" s="4"/>
      <c r="GH1" s="4"/>
      <c r="GI1" s="4"/>
      <c r="GJ1" s="4"/>
      <c r="GK1" s="3"/>
      <c r="GL1" s="3"/>
    </row>
    <row r="2" spans="1:194" ht="16" x14ac:dyDescent="0.2">
      <c r="A2" s="1" t="s">
        <v>5</v>
      </c>
      <c r="B2" s="2"/>
      <c r="C2" s="2"/>
      <c r="D2" s="2"/>
      <c r="E2" s="2"/>
      <c r="F2" s="1"/>
      <c r="G2" s="1"/>
      <c r="H2" s="1"/>
      <c r="I2" s="1"/>
      <c r="J2" s="1"/>
      <c r="K2" s="1"/>
      <c r="L2" s="1"/>
      <c r="M2" s="1"/>
      <c r="N2" s="1"/>
      <c r="O2" s="1"/>
      <c r="P2" s="1"/>
      <c r="Q2" s="2"/>
      <c r="R2" s="3"/>
      <c r="S2" s="4"/>
      <c r="T2" s="3"/>
      <c r="U2" s="3"/>
      <c r="V2" s="3"/>
      <c r="W2" s="3"/>
      <c r="X2" s="3"/>
      <c r="Y2" s="3"/>
      <c r="Z2" s="3"/>
      <c r="AA2" s="2"/>
      <c r="AB2" s="3"/>
      <c r="AC2" s="4"/>
      <c r="AD2" s="2"/>
      <c r="AE2" s="4"/>
      <c r="AF2" s="4"/>
      <c r="AG2" s="3"/>
      <c r="AH2" s="1"/>
      <c r="AI2" s="3"/>
      <c r="AJ2" s="3"/>
      <c r="AK2" s="3"/>
      <c r="AL2" s="2"/>
      <c r="AM2" s="4"/>
      <c r="AN2" s="3"/>
      <c r="AO2" s="4"/>
      <c r="AP2" s="3"/>
      <c r="AQ2" s="3"/>
      <c r="AR2" s="3"/>
      <c r="AS2" s="3"/>
      <c r="AT2" s="3"/>
      <c r="AU2" s="3"/>
      <c r="AV2" s="3"/>
      <c r="AW2" s="7"/>
      <c r="AX2" s="3"/>
      <c r="AY2" s="3"/>
      <c r="AZ2" s="1"/>
      <c r="BA2" s="1"/>
      <c r="BB2" s="4"/>
      <c r="BC2" s="4"/>
      <c r="BD2" s="2"/>
      <c r="BE2" s="3"/>
      <c r="BF2" s="3"/>
      <c r="BG2" s="3"/>
      <c r="BH2" s="3"/>
      <c r="BI2" s="3"/>
      <c r="BJ2" s="2"/>
      <c r="BK2" s="4"/>
      <c r="BL2" s="2"/>
      <c r="BM2" s="4"/>
      <c r="BN2" s="3"/>
      <c r="BO2" s="4"/>
      <c r="BP2" s="3"/>
      <c r="BQ2" s="4"/>
      <c r="BR2" s="3"/>
      <c r="BS2" s="3"/>
      <c r="BT2" s="3"/>
      <c r="BU2" s="2"/>
      <c r="BV2" s="4"/>
      <c r="BW2" s="3"/>
      <c r="BX2" s="3"/>
      <c r="BY2" s="2"/>
      <c r="BZ2" s="3"/>
      <c r="CA2" s="3"/>
      <c r="CB2" s="2"/>
      <c r="CC2" s="3"/>
      <c r="CD2" s="3"/>
      <c r="CE2" s="3"/>
      <c r="CF2" s="3"/>
      <c r="CG2" s="4"/>
      <c r="CH2" s="3"/>
      <c r="CI2" s="3"/>
      <c r="CJ2" s="3"/>
      <c r="CK2" s="3"/>
      <c r="CL2" s="3"/>
      <c r="CM2" s="3"/>
      <c r="CN2" s="1"/>
      <c r="CO2" s="3"/>
      <c r="CP2" s="3"/>
      <c r="CQ2" s="3"/>
      <c r="CR2" s="1"/>
      <c r="CS2" s="4"/>
      <c r="CT2" s="4"/>
      <c r="CU2" s="3"/>
      <c r="CV2" s="3"/>
      <c r="CW2" s="3"/>
      <c r="CX2" s="3"/>
      <c r="CY2" s="3"/>
      <c r="CZ2" s="4"/>
      <c r="DA2" s="3"/>
      <c r="DB2" s="3"/>
      <c r="DC2" s="3"/>
      <c r="DD2" s="3"/>
      <c r="DE2" s="3"/>
      <c r="DF2" s="2"/>
      <c r="DG2" s="4"/>
      <c r="DH2" s="3"/>
      <c r="DI2" s="4"/>
      <c r="DJ2" s="3"/>
      <c r="DK2" s="4"/>
      <c r="DL2" s="2"/>
      <c r="DM2" s="3"/>
      <c r="DN2" s="3"/>
      <c r="DO2" s="4"/>
      <c r="DP2" s="3"/>
      <c r="DQ2" s="3"/>
      <c r="DR2" s="1"/>
      <c r="DS2" s="3"/>
      <c r="DT2" s="3"/>
      <c r="DU2" s="3"/>
      <c r="DV2" s="3"/>
      <c r="DW2" s="3"/>
      <c r="DX2" s="3"/>
      <c r="DY2" s="4"/>
      <c r="DZ2" s="2"/>
      <c r="EA2" s="3"/>
      <c r="EB2" s="3"/>
      <c r="EC2" s="3"/>
      <c r="ED2" s="3"/>
      <c r="EE2" s="3"/>
      <c r="EF2" s="3"/>
      <c r="EG2" s="3"/>
      <c r="EH2" s="3"/>
      <c r="EI2" s="2"/>
      <c r="EJ2" s="3"/>
      <c r="EK2" s="3"/>
      <c r="EL2" s="3"/>
      <c r="EM2" s="3"/>
      <c r="EN2" s="3"/>
      <c r="EO2" s="3"/>
      <c r="EP2" s="3"/>
      <c r="EQ2" s="3"/>
      <c r="ER2" s="3"/>
      <c r="ES2" s="3"/>
      <c r="ET2" s="3"/>
      <c r="EU2" s="3"/>
      <c r="EV2" s="3"/>
      <c r="EW2" s="3"/>
      <c r="EX2" s="3"/>
      <c r="EY2" s="3"/>
      <c r="EZ2" s="3"/>
      <c r="FA2" s="1"/>
      <c r="FB2" s="3"/>
      <c r="FC2" s="3"/>
      <c r="FD2" s="4"/>
      <c r="FE2" s="4"/>
      <c r="FF2" s="3"/>
      <c r="FG2" s="3"/>
      <c r="FH2" s="1"/>
      <c r="FI2" s="3"/>
      <c r="FJ2" s="4"/>
      <c r="FK2" s="4"/>
      <c r="FL2" s="2"/>
      <c r="FM2" s="3"/>
      <c r="FN2" s="3"/>
      <c r="FO2" s="3"/>
      <c r="FP2" s="3"/>
      <c r="FQ2" s="2"/>
      <c r="FR2" s="2"/>
      <c r="FS2" s="3"/>
      <c r="FT2" s="3"/>
      <c r="FU2" s="3"/>
      <c r="FV2" s="4"/>
      <c r="FW2" s="3"/>
      <c r="FX2" s="3"/>
      <c r="FY2" s="3"/>
      <c r="FZ2" s="3"/>
      <c r="GA2" s="3"/>
      <c r="GB2" s="3"/>
      <c r="GC2" s="3"/>
      <c r="GD2" s="3"/>
      <c r="GE2" s="4"/>
      <c r="GF2" s="4"/>
      <c r="GG2" s="4"/>
      <c r="GH2" s="4"/>
      <c r="GI2" s="4"/>
      <c r="GJ2" s="4"/>
      <c r="GK2" s="3"/>
      <c r="GL2" s="3"/>
    </row>
    <row r="3" spans="1:194" ht="16" x14ac:dyDescent="0.2">
      <c r="A3" s="1" t="s">
        <v>26</v>
      </c>
      <c r="B3" s="2"/>
      <c r="C3" s="2"/>
      <c r="D3" s="2"/>
      <c r="E3" s="2"/>
      <c r="F3" s="1"/>
      <c r="G3" s="1"/>
      <c r="H3" s="1"/>
      <c r="I3" s="1"/>
      <c r="J3" s="1"/>
      <c r="K3" s="1"/>
      <c r="L3" s="1"/>
      <c r="M3" s="1"/>
      <c r="N3" s="1"/>
      <c r="O3" s="1"/>
      <c r="P3" s="1"/>
      <c r="Q3" s="2"/>
      <c r="R3" s="3"/>
      <c r="S3" s="4"/>
      <c r="T3" s="3"/>
      <c r="U3" s="3"/>
      <c r="V3" s="3"/>
      <c r="W3" s="3"/>
      <c r="X3" s="3"/>
      <c r="Y3" s="3"/>
      <c r="Z3" s="3"/>
      <c r="AA3" s="2"/>
      <c r="AB3" s="3"/>
      <c r="AC3" s="4"/>
      <c r="AD3" s="2"/>
      <c r="AE3" s="4"/>
      <c r="AF3" s="4"/>
      <c r="AG3" s="3"/>
      <c r="AH3" s="1"/>
      <c r="AI3" s="3"/>
      <c r="AJ3" s="3"/>
      <c r="AK3" s="3"/>
      <c r="AL3" s="2"/>
      <c r="AM3" s="4"/>
      <c r="AN3" s="3"/>
      <c r="AO3" s="4"/>
      <c r="AP3" s="3"/>
      <c r="AQ3" s="3"/>
      <c r="AR3" s="3"/>
      <c r="AS3" s="3"/>
      <c r="AT3" s="3"/>
      <c r="AU3" s="3"/>
      <c r="AV3" s="3"/>
      <c r="AW3" s="7"/>
      <c r="AX3" s="3"/>
      <c r="AY3" s="3"/>
      <c r="AZ3" s="1"/>
      <c r="BA3" s="1"/>
      <c r="BB3" s="4"/>
      <c r="BC3" s="4"/>
      <c r="BD3" s="2"/>
      <c r="BE3" s="3"/>
      <c r="BF3" s="3"/>
      <c r="BG3" s="3"/>
      <c r="BH3" s="3"/>
      <c r="BI3" s="3"/>
      <c r="BJ3" s="2"/>
      <c r="BK3" s="4"/>
      <c r="BL3" s="2"/>
      <c r="BM3" s="4"/>
      <c r="BN3" s="3"/>
      <c r="BO3" s="4"/>
      <c r="BP3" s="3"/>
      <c r="BQ3" s="4"/>
      <c r="BR3" s="3"/>
      <c r="BS3" s="3"/>
      <c r="BT3" s="3"/>
      <c r="BU3" s="2"/>
      <c r="BV3" s="4"/>
      <c r="BW3" s="3"/>
      <c r="BX3" s="3"/>
      <c r="BY3" s="2"/>
      <c r="BZ3" s="3"/>
      <c r="CA3" s="3"/>
      <c r="CB3" s="2"/>
      <c r="CC3" s="3"/>
      <c r="CD3" s="3"/>
      <c r="CE3" s="3"/>
      <c r="CF3" s="3"/>
      <c r="CG3" s="4"/>
      <c r="CH3" s="3"/>
      <c r="CI3" s="3"/>
      <c r="CJ3" s="3"/>
      <c r="CK3" s="3"/>
      <c r="CL3" s="3"/>
      <c r="CM3" s="3"/>
      <c r="CN3" s="1"/>
      <c r="CO3" s="3"/>
      <c r="CP3" s="3"/>
      <c r="CQ3" s="3"/>
      <c r="CR3" s="1"/>
      <c r="CS3" s="4"/>
      <c r="CT3" s="4"/>
      <c r="CU3" s="3"/>
      <c r="CV3" s="3"/>
      <c r="CW3" s="3"/>
      <c r="CX3" s="3"/>
      <c r="CY3" s="3"/>
      <c r="CZ3" s="4"/>
      <c r="DA3" s="3"/>
      <c r="DB3" s="3"/>
      <c r="DC3" s="3"/>
      <c r="DD3" s="3"/>
      <c r="DE3" s="3"/>
      <c r="DF3" s="2"/>
      <c r="DG3" s="4"/>
      <c r="DH3" s="3"/>
      <c r="DI3" s="4"/>
      <c r="DJ3" s="3"/>
      <c r="DK3" s="4"/>
      <c r="DL3" s="2"/>
      <c r="DM3" s="3"/>
      <c r="DN3" s="3"/>
      <c r="DO3" s="4"/>
      <c r="DP3" s="3"/>
      <c r="DQ3" s="3"/>
      <c r="DR3" s="1"/>
      <c r="DS3" s="3"/>
      <c r="DT3" s="3"/>
      <c r="DU3" s="3"/>
      <c r="DV3" s="3"/>
      <c r="DW3" s="3"/>
      <c r="DX3" s="3"/>
      <c r="DY3" s="4"/>
      <c r="DZ3" s="2"/>
      <c r="EA3" s="3"/>
      <c r="EB3" s="3"/>
      <c r="EC3" s="3"/>
      <c r="ED3" s="3"/>
      <c r="EE3" s="3"/>
      <c r="EF3" s="3"/>
      <c r="EG3" s="3"/>
      <c r="EH3" s="3"/>
      <c r="EI3" s="2"/>
      <c r="EJ3" s="3"/>
      <c r="EK3" s="3"/>
      <c r="EL3" s="3"/>
      <c r="EM3" s="3"/>
      <c r="EN3" s="3"/>
      <c r="EO3" s="3"/>
      <c r="EP3" s="3"/>
      <c r="EQ3" s="3"/>
      <c r="ER3" s="3"/>
      <c r="ES3" s="3"/>
      <c r="ET3" s="3"/>
      <c r="EU3" s="3"/>
      <c r="EV3" s="3"/>
      <c r="EW3" s="3"/>
      <c r="EX3" s="3"/>
      <c r="EY3" s="3"/>
      <c r="EZ3" s="3"/>
      <c r="FA3" s="1"/>
      <c r="FB3" s="3"/>
      <c r="FC3" s="3"/>
      <c r="FD3" s="4"/>
      <c r="FE3" s="4"/>
      <c r="FF3" s="3"/>
      <c r="FG3" s="3"/>
      <c r="FH3" s="1"/>
      <c r="FI3" s="3"/>
      <c r="FJ3" s="4"/>
      <c r="FK3" s="4"/>
      <c r="FL3" s="2"/>
      <c r="FM3" s="3"/>
      <c r="FN3" s="3"/>
      <c r="FO3" s="3"/>
      <c r="FP3" s="3"/>
      <c r="FQ3" s="2"/>
      <c r="FR3" s="2"/>
      <c r="FS3" s="3"/>
      <c r="FT3" s="3"/>
      <c r="FU3" s="3"/>
      <c r="FV3" s="4"/>
      <c r="FW3" s="3"/>
      <c r="FX3" s="3"/>
      <c r="FY3" s="3"/>
      <c r="FZ3" s="3"/>
      <c r="GA3" s="3"/>
      <c r="GB3" s="3"/>
      <c r="GC3" s="3"/>
      <c r="GD3" s="3"/>
      <c r="GE3" s="4"/>
      <c r="GF3" s="4"/>
      <c r="GG3" s="4"/>
      <c r="GH3" s="4"/>
      <c r="GI3" s="4"/>
      <c r="GJ3" s="4"/>
      <c r="GK3" s="3"/>
      <c r="GL3" s="3"/>
    </row>
    <row r="4" spans="1:194" ht="16" x14ac:dyDescent="0.2">
      <c r="A4" s="1" t="s">
        <v>6</v>
      </c>
      <c r="B4" s="2" t="s">
        <v>7</v>
      </c>
      <c r="C4" s="2" t="s">
        <v>8</v>
      </c>
      <c r="D4" s="2" t="s">
        <v>9</v>
      </c>
      <c r="E4" s="2" t="s">
        <v>10</v>
      </c>
      <c r="F4" s="1" t="s">
        <v>11</v>
      </c>
      <c r="G4" s="1" t="s">
        <v>12</v>
      </c>
      <c r="H4" s="1" t="s">
        <v>13</v>
      </c>
      <c r="I4" s="1" t="s">
        <v>14</v>
      </c>
      <c r="J4" s="1" t="s">
        <v>15</v>
      </c>
      <c r="K4" s="1" t="s">
        <v>16</v>
      </c>
      <c r="L4" s="1" t="s">
        <v>17</v>
      </c>
      <c r="M4" s="1" t="s">
        <v>18</v>
      </c>
      <c r="N4" s="1" t="s">
        <v>19</v>
      </c>
      <c r="O4" s="1"/>
      <c r="P4" s="1" t="s">
        <v>20</v>
      </c>
      <c r="Q4" s="2" t="s">
        <v>21</v>
      </c>
      <c r="R4" s="3" t="s">
        <v>22</v>
      </c>
      <c r="S4" s="4" t="s">
        <v>23</v>
      </c>
      <c r="T4" s="3" t="s">
        <v>24</v>
      </c>
      <c r="U4" s="8" t="s">
        <v>25</v>
      </c>
      <c r="V4" s="8" t="s">
        <v>29</v>
      </c>
      <c r="W4" s="8" t="s">
        <v>30</v>
      </c>
      <c r="X4" s="8" t="s">
        <v>31</v>
      </c>
      <c r="Y4" s="3" t="s">
        <v>32</v>
      </c>
      <c r="Z4" s="8" t="s">
        <v>33</v>
      </c>
      <c r="AA4" s="2" t="s">
        <v>34</v>
      </c>
      <c r="AB4" s="3" t="s">
        <v>35</v>
      </c>
      <c r="AC4" s="4" t="s">
        <v>36</v>
      </c>
      <c r="AD4" s="2" t="s">
        <v>37</v>
      </c>
      <c r="AE4" s="4" t="s">
        <v>38</v>
      </c>
      <c r="AF4" s="4" t="s">
        <v>39</v>
      </c>
      <c r="AG4" s="3" t="s">
        <v>40</v>
      </c>
      <c r="AH4" s="1" t="s">
        <v>41</v>
      </c>
      <c r="AI4" s="3" t="s">
        <v>42</v>
      </c>
      <c r="AJ4" s="8" t="s">
        <v>43</v>
      </c>
      <c r="AK4" s="3" t="s">
        <v>44</v>
      </c>
      <c r="AL4" s="4" t="s">
        <v>45</v>
      </c>
      <c r="AM4" s="4" t="s">
        <v>46</v>
      </c>
      <c r="AN4" s="4" t="s">
        <v>47</v>
      </c>
      <c r="AO4" s="4" t="s">
        <v>48</v>
      </c>
      <c r="AP4" s="3" t="s">
        <v>49</v>
      </c>
      <c r="AQ4" s="3" t="s">
        <v>50</v>
      </c>
      <c r="AR4" s="3" t="s">
        <v>51</v>
      </c>
      <c r="AS4" s="3" t="s">
        <v>52</v>
      </c>
      <c r="AT4" s="8" t="s">
        <v>53</v>
      </c>
      <c r="AU4" s="8" t="s">
        <v>54</v>
      </c>
      <c r="AV4" s="8" t="s">
        <v>55</v>
      </c>
      <c r="AW4" s="9" t="s">
        <v>56</v>
      </c>
      <c r="AX4" s="8" t="s">
        <v>57</v>
      </c>
      <c r="AY4" s="8" t="s">
        <v>58</v>
      </c>
      <c r="AZ4" s="8" t="s">
        <v>59</v>
      </c>
      <c r="BA4" s="10" t="s">
        <v>60</v>
      </c>
      <c r="BB4" s="3" t="s">
        <v>61</v>
      </c>
      <c r="BC4" s="8" t="s">
        <v>62</v>
      </c>
      <c r="BD4" s="2" t="s">
        <v>63</v>
      </c>
      <c r="BE4" s="8" t="s">
        <v>64</v>
      </c>
      <c r="BF4" s="8" t="s">
        <v>65</v>
      </c>
      <c r="BG4" s="3" t="s">
        <v>66</v>
      </c>
      <c r="BH4" s="8" t="s">
        <v>67</v>
      </c>
      <c r="BI4" s="8" t="s">
        <v>68</v>
      </c>
      <c r="BJ4" s="2" t="s">
        <v>69</v>
      </c>
      <c r="BK4" s="4" t="s">
        <v>70</v>
      </c>
      <c r="BL4" s="2" t="s">
        <v>71</v>
      </c>
      <c r="BM4" s="8" t="s">
        <v>73</v>
      </c>
      <c r="BN4" s="8" t="s">
        <v>74</v>
      </c>
      <c r="BO4" s="4" t="s">
        <v>75</v>
      </c>
      <c r="BP4" s="3" t="s">
        <v>76</v>
      </c>
      <c r="BQ4" s="3" t="s">
        <v>77</v>
      </c>
      <c r="BR4" s="3" t="s">
        <v>78</v>
      </c>
      <c r="BS4" s="8" t="s">
        <v>79</v>
      </c>
      <c r="BT4" s="3" t="s">
        <v>80</v>
      </c>
      <c r="BU4" s="11" t="s">
        <v>81</v>
      </c>
      <c r="BV4" s="3" t="s">
        <v>82</v>
      </c>
      <c r="BW4" s="3" t="s">
        <v>83</v>
      </c>
      <c r="BX4" s="3" t="s">
        <v>84</v>
      </c>
      <c r="BY4" s="2" t="s">
        <v>85</v>
      </c>
      <c r="BZ4" s="8" t="s">
        <v>86</v>
      </c>
      <c r="CA4" s="3" t="s">
        <v>87</v>
      </c>
      <c r="CB4" s="2" t="s">
        <v>88</v>
      </c>
      <c r="CC4" s="3" t="s">
        <v>89</v>
      </c>
      <c r="CD4" s="8" t="s">
        <v>90</v>
      </c>
      <c r="CE4" s="3" t="s">
        <v>91</v>
      </c>
      <c r="CF4" s="8" t="s">
        <v>92</v>
      </c>
      <c r="CG4" s="4" t="s">
        <v>93</v>
      </c>
      <c r="CH4" s="8" t="s">
        <v>94</v>
      </c>
      <c r="CI4" s="8" t="s">
        <v>95</v>
      </c>
      <c r="CJ4" s="3" t="s">
        <v>96</v>
      </c>
      <c r="CK4" s="3" t="s">
        <v>97</v>
      </c>
      <c r="CL4" s="8" t="s">
        <v>98</v>
      </c>
      <c r="CM4" s="3" t="s">
        <v>99</v>
      </c>
      <c r="CN4" s="1" t="s">
        <v>100</v>
      </c>
      <c r="CO4" s="8" t="s">
        <v>101</v>
      </c>
      <c r="CP4" s="8" t="s">
        <v>102</v>
      </c>
      <c r="CQ4" s="8" t="s">
        <v>103</v>
      </c>
      <c r="CR4" s="1" t="s">
        <v>104</v>
      </c>
      <c r="CS4" s="8" t="s">
        <v>105</v>
      </c>
      <c r="CT4" s="4" t="s">
        <v>106</v>
      </c>
      <c r="CU4" s="8" t="s">
        <v>107</v>
      </c>
      <c r="CV4" s="8" t="s">
        <v>108</v>
      </c>
      <c r="CW4" s="8" t="s">
        <v>109</v>
      </c>
      <c r="CX4" s="8" t="s">
        <v>110</v>
      </c>
      <c r="CY4" s="8" t="s">
        <v>111</v>
      </c>
      <c r="CZ4" s="4" t="s">
        <v>112</v>
      </c>
      <c r="DA4" s="8" t="s">
        <v>113</v>
      </c>
      <c r="DB4" s="3" t="s">
        <v>114</v>
      </c>
      <c r="DC4" s="8" t="s">
        <v>115</v>
      </c>
      <c r="DD4" s="8" t="s">
        <v>116</v>
      </c>
      <c r="DE4" s="3" t="s">
        <v>117</v>
      </c>
      <c r="DF4" s="2" t="s">
        <v>118</v>
      </c>
      <c r="DG4" s="4" t="s">
        <v>119</v>
      </c>
      <c r="DH4" s="3" t="s">
        <v>120</v>
      </c>
      <c r="DI4" s="4" t="s">
        <v>121</v>
      </c>
      <c r="DJ4" s="8" t="s">
        <v>122</v>
      </c>
      <c r="DK4" s="4" t="s">
        <v>123</v>
      </c>
      <c r="DL4" s="2" t="s">
        <v>124</v>
      </c>
      <c r="DM4" s="3" t="s">
        <v>125</v>
      </c>
      <c r="DN4" s="4" t="s">
        <v>126</v>
      </c>
      <c r="DO4" s="4" t="s">
        <v>127</v>
      </c>
      <c r="DP4" s="3" t="s">
        <v>128</v>
      </c>
      <c r="DQ4" s="3" t="s">
        <v>129</v>
      </c>
      <c r="DR4" s="1" t="s">
        <v>130</v>
      </c>
      <c r="DS4" s="8" t="s">
        <v>131</v>
      </c>
      <c r="DT4" s="8" t="s">
        <v>132</v>
      </c>
      <c r="DU4" s="3" t="s">
        <v>133</v>
      </c>
      <c r="DV4" s="8" t="s">
        <v>134</v>
      </c>
      <c r="DW4" s="3" t="s">
        <v>135</v>
      </c>
      <c r="DX4" s="3" t="s">
        <v>136</v>
      </c>
      <c r="DY4" s="3" t="s">
        <v>137</v>
      </c>
      <c r="DZ4" s="2" t="s">
        <v>138</v>
      </c>
      <c r="EA4" s="8" t="s">
        <v>139</v>
      </c>
      <c r="EB4" s="2" t="s">
        <v>140</v>
      </c>
      <c r="EC4" s="2" t="s">
        <v>141</v>
      </c>
      <c r="ED4" s="8" t="s">
        <v>142</v>
      </c>
      <c r="EE4" s="8" t="s">
        <v>143</v>
      </c>
      <c r="EF4" s="8" t="s">
        <v>144</v>
      </c>
      <c r="EG4" s="3" t="s">
        <v>145</v>
      </c>
      <c r="EH4" s="8" t="s">
        <v>146</v>
      </c>
      <c r="EI4" s="2" t="s">
        <v>147</v>
      </c>
      <c r="EJ4" s="3" t="s">
        <v>148</v>
      </c>
      <c r="EK4" s="8" t="s">
        <v>149</v>
      </c>
      <c r="EL4" s="3" t="s">
        <v>150</v>
      </c>
      <c r="EM4" s="3" t="s">
        <v>151</v>
      </c>
      <c r="EN4" s="8" t="s">
        <v>152</v>
      </c>
      <c r="EO4" s="3" t="s">
        <v>153</v>
      </c>
      <c r="EP4" s="3" t="s">
        <v>154</v>
      </c>
      <c r="EQ4" s="3" t="s">
        <v>155</v>
      </c>
      <c r="ER4" s="8" t="s">
        <v>156</v>
      </c>
      <c r="ES4" s="8" t="s">
        <v>157</v>
      </c>
      <c r="ET4" s="8" t="s">
        <v>158</v>
      </c>
      <c r="EU4" s="3" t="s">
        <v>159</v>
      </c>
      <c r="EV4" s="8" t="s">
        <v>160</v>
      </c>
      <c r="EW4" s="3" t="s">
        <v>161</v>
      </c>
      <c r="EX4" s="8" t="s">
        <v>162</v>
      </c>
      <c r="EY4" s="3" t="s">
        <v>163</v>
      </c>
      <c r="EZ4" s="3" t="s">
        <v>164</v>
      </c>
      <c r="FA4" s="1" t="s">
        <v>165</v>
      </c>
      <c r="FB4" s="3" t="s">
        <v>166</v>
      </c>
      <c r="FC4" s="8" t="s">
        <v>167</v>
      </c>
      <c r="FD4" s="4" t="s">
        <v>168</v>
      </c>
      <c r="FE4" s="12" t="s">
        <v>169</v>
      </c>
      <c r="FF4" s="8" t="s">
        <v>170</v>
      </c>
      <c r="FG4" s="3" t="s">
        <v>171</v>
      </c>
      <c r="FH4" s="1" t="s">
        <v>172</v>
      </c>
      <c r="FI4" s="8" t="s">
        <v>173</v>
      </c>
      <c r="FJ4" s="3" t="s">
        <v>174</v>
      </c>
      <c r="FK4" s="8" t="s">
        <v>175</v>
      </c>
      <c r="FL4" s="2" t="s">
        <v>176</v>
      </c>
      <c r="FM4" s="3" t="s">
        <v>177</v>
      </c>
      <c r="FN4" s="3" t="s">
        <v>203</v>
      </c>
      <c r="FO4" s="3" t="s">
        <v>178</v>
      </c>
      <c r="FP4" s="4" t="s">
        <v>179</v>
      </c>
      <c r="FQ4" s="4" t="s">
        <v>180</v>
      </c>
      <c r="FR4" s="2" t="s">
        <v>181</v>
      </c>
      <c r="FS4" s="3" t="s">
        <v>182</v>
      </c>
      <c r="FT4" s="3" t="s">
        <v>183</v>
      </c>
      <c r="FU4" s="8" t="s">
        <v>184</v>
      </c>
      <c r="FV4" s="4" t="s">
        <v>185</v>
      </c>
      <c r="FW4" s="3" t="s">
        <v>205</v>
      </c>
      <c r="FX4" s="3" t="s">
        <v>194</v>
      </c>
      <c r="FY4" s="3" t="s">
        <v>186</v>
      </c>
      <c r="FZ4" s="3" t="s">
        <v>187</v>
      </c>
      <c r="GA4" s="8" t="s">
        <v>188</v>
      </c>
      <c r="GB4" s="3" t="s">
        <v>189</v>
      </c>
      <c r="GC4" s="3" t="s">
        <v>190</v>
      </c>
      <c r="GD4" s="8" t="s">
        <v>191</v>
      </c>
      <c r="GE4" s="4" t="s">
        <v>192</v>
      </c>
      <c r="GF4" s="12" t="s">
        <v>193</v>
      </c>
      <c r="GG4" s="4"/>
      <c r="GH4" s="4"/>
      <c r="GI4" s="4"/>
      <c r="GJ4" s="4"/>
      <c r="GK4" s="4"/>
      <c r="GL4" s="4"/>
    </row>
    <row r="5" spans="1:194" ht="13" x14ac:dyDescent="0.15">
      <c r="A5" s="13">
        <v>38018</v>
      </c>
      <c r="B5" s="3" t="s">
        <v>196</v>
      </c>
      <c r="C5" s="3">
        <v>21.559277999999999</v>
      </c>
      <c r="D5" s="3">
        <v>-157.87190200000001</v>
      </c>
      <c r="E5" s="3" t="s">
        <v>197</v>
      </c>
      <c r="F5" s="14">
        <v>0</v>
      </c>
      <c r="G5" s="14">
        <v>4.1666666666666664E-2</v>
      </c>
      <c r="H5" s="3">
        <v>6</v>
      </c>
      <c r="I5" s="3">
        <v>10</v>
      </c>
      <c r="J5" s="3" t="s">
        <v>198</v>
      </c>
      <c r="K5" s="3">
        <v>11</v>
      </c>
      <c r="L5" s="3">
        <v>22</v>
      </c>
      <c r="M5" s="3" t="s">
        <v>199</v>
      </c>
      <c r="Q5" s="3">
        <v>1</v>
      </c>
      <c r="AC5" s="3">
        <v>1</v>
      </c>
      <c r="AE5" s="3">
        <v>1</v>
      </c>
      <c r="AJ5" s="3">
        <v>1</v>
      </c>
      <c r="BL5" s="3">
        <v>1</v>
      </c>
      <c r="DO5" s="3">
        <v>1</v>
      </c>
      <c r="EC5" s="3">
        <v>1</v>
      </c>
      <c r="FA5" s="3">
        <v>1</v>
      </c>
      <c r="FR5" s="3">
        <v>1</v>
      </c>
      <c r="FS5" s="3">
        <v>1</v>
      </c>
      <c r="GE5" s="3">
        <v>1</v>
      </c>
    </row>
    <row r="6" spans="1:194" ht="13" x14ac:dyDescent="0.15">
      <c r="A6" s="13">
        <v>38041</v>
      </c>
      <c r="B6" s="3" t="s">
        <v>201</v>
      </c>
      <c r="C6" s="3">
        <v>21.25544</v>
      </c>
      <c r="D6" s="3">
        <v>-157.810303</v>
      </c>
      <c r="E6" s="3" t="s">
        <v>197</v>
      </c>
      <c r="F6" s="14">
        <v>0</v>
      </c>
      <c r="G6" s="14">
        <v>4.1666666666666664E-2</v>
      </c>
      <c r="H6" s="3">
        <v>6</v>
      </c>
      <c r="I6" s="3">
        <v>11</v>
      </c>
      <c r="J6" s="3" t="s">
        <v>198</v>
      </c>
      <c r="K6" s="3">
        <v>12</v>
      </c>
      <c r="L6" s="3">
        <v>58</v>
      </c>
      <c r="M6" s="3" t="s">
        <v>202</v>
      </c>
      <c r="Q6" s="3">
        <v>1</v>
      </c>
      <c r="AE6" s="3">
        <v>1</v>
      </c>
      <c r="AN6" s="3">
        <v>1</v>
      </c>
      <c r="BA6" s="3">
        <v>1</v>
      </c>
      <c r="BL6" s="3">
        <v>1</v>
      </c>
      <c r="BP6" s="3">
        <v>1</v>
      </c>
      <c r="BY6" s="3">
        <v>1</v>
      </c>
      <c r="CA6" s="3">
        <v>1</v>
      </c>
      <c r="CR6" s="3">
        <v>1</v>
      </c>
      <c r="DL6" s="3">
        <v>1</v>
      </c>
      <c r="DO6" s="3">
        <v>1</v>
      </c>
      <c r="DR6" s="3">
        <v>1</v>
      </c>
      <c r="DU6" s="3">
        <v>1</v>
      </c>
      <c r="EC6" s="3">
        <v>1</v>
      </c>
      <c r="EI6" s="3">
        <v>1</v>
      </c>
      <c r="FA6" s="3">
        <v>1</v>
      </c>
      <c r="FB6" s="3">
        <v>1</v>
      </c>
      <c r="FQ6" s="3">
        <v>1</v>
      </c>
      <c r="FR6" s="3">
        <v>1</v>
      </c>
      <c r="GD6" s="3">
        <v>1</v>
      </c>
      <c r="GE6" s="3">
        <v>1</v>
      </c>
    </row>
    <row r="7" spans="1:194" ht="13" x14ac:dyDescent="0.15">
      <c r="A7" s="13">
        <v>38050</v>
      </c>
      <c r="B7" s="3" t="s">
        <v>196</v>
      </c>
      <c r="C7" s="3">
        <v>21.559277999999999</v>
      </c>
      <c r="D7" s="3">
        <v>-157.87190200000001</v>
      </c>
      <c r="E7" s="3" t="s">
        <v>197</v>
      </c>
      <c r="F7" s="14">
        <v>0</v>
      </c>
      <c r="G7" s="14">
        <v>4.1666666666666664E-2</v>
      </c>
      <c r="H7" s="3">
        <v>6</v>
      </c>
      <c r="I7" s="3">
        <v>10</v>
      </c>
      <c r="J7" s="3" t="s">
        <v>198</v>
      </c>
      <c r="K7" s="3">
        <v>11</v>
      </c>
      <c r="L7" s="3">
        <v>33</v>
      </c>
      <c r="M7" s="3" t="s">
        <v>204</v>
      </c>
      <c r="Q7" s="3">
        <v>1</v>
      </c>
      <c r="AC7" s="3">
        <v>1</v>
      </c>
      <c r="AE7" s="3">
        <v>1</v>
      </c>
      <c r="AJ7" s="3">
        <v>1</v>
      </c>
      <c r="BL7" s="3">
        <v>1</v>
      </c>
      <c r="EC7" s="3">
        <v>1</v>
      </c>
      <c r="FA7" s="3">
        <v>1</v>
      </c>
      <c r="FB7" s="3">
        <v>1</v>
      </c>
      <c r="FR7" s="3">
        <v>1</v>
      </c>
      <c r="FS7" s="3">
        <v>1</v>
      </c>
      <c r="GE7" s="3">
        <v>1</v>
      </c>
    </row>
    <row r="8" spans="1:194" ht="13" x14ac:dyDescent="0.15">
      <c r="A8" s="13">
        <v>38384</v>
      </c>
      <c r="B8" s="3" t="s">
        <v>196</v>
      </c>
      <c r="C8" s="3">
        <v>21.559277999999999</v>
      </c>
      <c r="D8" s="3">
        <v>-157.87190200000001</v>
      </c>
      <c r="E8" s="3" t="s">
        <v>197</v>
      </c>
      <c r="F8" s="14">
        <v>0</v>
      </c>
      <c r="G8" s="14">
        <v>4.1666666666666664E-2</v>
      </c>
      <c r="H8" s="3">
        <v>7</v>
      </c>
      <c r="I8" s="3">
        <v>9</v>
      </c>
      <c r="J8" s="3" t="s">
        <v>198</v>
      </c>
      <c r="K8" s="3">
        <v>10</v>
      </c>
      <c r="L8" s="3">
        <v>31</v>
      </c>
      <c r="M8" s="3" t="s">
        <v>206</v>
      </c>
      <c r="Q8" s="3">
        <v>1</v>
      </c>
      <c r="AC8" s="3">
        <v>1</v>
      </c>
      <c r="AE8" s="3">
        <v>1</v>
      </c>
      <c r="AJ8" s="3">
        <v>1</v>
      </c>
      <c r="DG8" s="3">
        <v>1</v>
      </c>
      <c r="DH8" s="3">
        <v>1</v>
      </c>
      <c r="EC8" s="3">
        <v>1</v>
      </c>
      <c r="FB8" s="3">
        <v>1</v>
      </c>
      <c r="FS8" s="3">
        <v>1</v>
      </c>
      <c r="GD8" s="3">
        <v>1</v>
      </c>
      <c r="GE8" s="3">
        <v>1</v>
      </c>
    </row>
    <row r="9" spans="1:194" ht="13" x14ac:dyDescent="0.15">
      <c r="A9" s="13">
        <v>38401</v>
      </c>
      <c r="B9" s="3" t="s">
        <v>201</v>
      </c>
      <c r="C9" s="3">
        <v>21.25544</v>
      </c>
      <c r="D9" s="3">
        <v>-157.810303</v>
      </c>
      <c r="E9" s="3" t="s">
        <v>197</v>
      </c>
      <c r="F9" s="14">
        <v>0</v>
      </c>
      <c r="G9" s="14">
        <v>4.1666666666666664E-2</v>
      </c>
      <c r="H9" s="3">
        <v>6</v>
      </c>
      <c r="I9" s="3">
        <v>9</v>
      </c>
      <c r="J9" s="3" t="s">
        <v>198</v>
      </c>
      <c r="K9" s="3">
        <v>10</v>
      </c>
      <c r="L9" s="3">
        <v>56</v>
      </c>
      <c r="M9" s="3" t="s">
        <v>212</v>
      </c>
      <c r="Q9" s="3">
        <v>1</v>
      </c>
      <c r="AE9" s="3">
        <v>1</v>
      </c>
      <c r="BP9" s="3">
        <v>1</v>
      </c>
      <c r="BV9" s="3">
        <v>1</v>
      </c>
      <c r="CA9" s="3">
        <v>1</v>
      </c>
      <c r="CU9" s="3">
        <v>1</v>
      </c>
      <c r="DL9" s="3">
        <v>1</v>
      </c>
      <c r="DO9" s="3">
        <v>1</v>
      </c>
      <c r="DV9" s="3">
        <v>1</v>
      </c>
      <c r="EC9" s="3">
        <v>1</v>
      </c>
      <c r="EI9" s="3">
        <v>1</v>
      </c>
      <c r="FA9" s="3">
        <v>1</v>
      </c>
      <c r="FB9" s="3">
        <v>1</v>
      </c>
      <c r="FR9" s="3">
        <v>1</v>
      </c>
      <c r="GE9" s="3">
        <v>1</v>
      </c>
    </row>
    <row r="10" spans="1:194" ht="13" x14ac:dyDescent="0.15">
      <c r="A10" s="13">
        <v>38416</v>
      </c>
      <c r="B10" s="3" t="s">
        <v>196</v>
      </c>
      <c r="C10" s="3">
        <v>21.559277999999999</v>
      </c>
      <c r="D10" s="3">
        <v>-157.87190200000001</v>
      </c>
      <c r="E10" s="3" t="s">
        <v>197</v>
      </c>
      <c r="F10" s="14">
        <v>0</v>
      </c>
      <c r="G10" s="14">
        <v>4.1666666666666664E-2</v>
      </c>
      <c r="H10" s="3">
        <v>7</v>
      </c>
      <c r="I10" s="3">
        <v>9</v>
      </c>
      <c r="J10" s="3" t="s">
        <v>198</v>
      </c>
      <c r="K10" s="3">
        <v>10</v>
      </c>
      <c r="L10" s="3">
        <v>29</v>
      </c>
      <c r="M10" s="3" t="s">
        <v>214</v>
      </c>
      <c r="Q10" s="3">
        <v>1</v>
      </c>
      <c r="AC10" s="3">
        <v>1</v>
      </c>
      <c r="AE10" s="3">
        <v>1</v>
      </c>
      <c r="AJ10" s="3">
        <v>1</v>
      </c>
      <c r="DG10" s="3">
        <v>1</v>
      </c>
      <c r="DO10" s="3">
        <v>1</v>
      </c>
      <c r="EC10" s="3">
        <v>1</v>
      </c>
      <c r="EI10" s="3">
        <v>1</v>
      </c>
      <c r="FB10" s="3">
        <v>1</v>
      </c>
      <c r="GE10" s="3">
        <v>1</v>
      </c>
    </row>
    <row r="11" spans="1:194" ht="13" x14ac:dyDescent="0.15">
      <c r="A11" s="13">
        <v>38416</v>
      </c>
      <c r="B11" s="3" t="s">
        <v>201</v>
      </c>
      <c r="C11" s="3">
        <v>21.25544</v>
      </c>
      <c r="D11" s="3">
        <v>-157.810303</v>
      </c>
      <c r="E11" s="3" t="s">
        <v>197</v>
      </c>
      <c r="F11" s="14">
        <v>0</v>
      </c>
      <c r="G11" s="14">
        <v>4.1666666666666664E-2</v>
      </c>
      <c r="H11" s="3">
        <v>7</v>
      </c>
      <c r="I11" s="3">
        <v>9</v>
      </c>
      <c r="J11" s="3" t="s">
        <v>198</v>
      </c>
      <c r="K11" s="3">
        <v>10</v>
      </c>
      <c r="L11" s="3">
        <v>56</v>
      </c>
      <c r="M11" s="3" t="s">
        <v>215</v>
      </c>
      <c r="Q11" s="3">
        <v>1</v>
      </c>
      <c r="AE11" s="3">
        <v>1</v>
      </c>
      <c r="BP11" s="3">
        <v>1</v>
      </c>
      <c r="BV11" s="3">
        <v>1</v>
      </c>
      <c r="BY11" s="3">
        <v>1</v>
      </c>
      <c r="CA11" s="3">
        <v>1</v>
      </c>
      <c r="CC11" s="3">
        <v>1</v>
      </c>
      <c r="CR11" s="3">
        <v>1</v>
      </c>
      <c r="CU11" s="3">
        <v>1</v>
      </c>
      <c r="DL11" s="3">
        <v>1</v>
      </c>
      <c r="DO11" s="3">
        <v>1</v>
      </c>
      <c r="EC11" s="3">
        <v>1</v>
      </c>
      <c r="EI11" s="3">
        <v>1</v>
      </c>
      <c r="FA11" s="3">
        <v>1</v>
      </c>
      <c r="FQ11" s="3">
        <v>1</v>
      </c>
      <c r="FR11" s="3">
        <v>1</v>
      </c>
      <c r="FW11" s="15"/>
      <c r="FX11" s="15"/>
      <c r="FY11" s="15"/>
      <c r="FZ11" s="15"/>
      <c r="GA11" s="15"/>
      <c r="GB11" s="15"/>
      <c r="GC11" s="15"/>
      <c r="GD11" s="15"/>
      <c r="GE11" s="15">
        <v>1</v>
      </c>
      <c r="GF11" s="15"/>
    </row>
    <row r="12" spans="1:194" ht="13" x14ac:dyDescent="0.15">
      <c r="A12" s="13">
        <v>38440</v>
      </c>
      <c r="B12" s="3" t="s">
        <v>216</v>
      </c>
      <c r="C12" s="3">
        <v>21.3002</v>
      </c>
      <c r="D12" s="3">
        <v>-157.882599</v>
      </c>
      <c r="E12" s="3" t="s">
        <v>197</v>
      </c>
      <c r="F12" s="14">
        <v>0</v>
      </c>
      <c r="G12" s="14">
        <v>4.1666666666666664E-2</v>
      </c>
      <c r="H12" s="3">
        <v>4</v>
      </c>
      <c r="I12" s="3">
        <v>22</v>
      </c>
      <c r="J12" s="3" t="s">
        <v>217</v>
      </c>
      <c r="K12" s="3">
        <v>10</v>
      </c>
      <c r="L12" s="3">
        <v>26</v>
      </c>
      <c r="M12" s="3" t="s">
        <v>218</v>
      </c>
      <c r="BY12" s="3">
        <v>1</v>
      </c>
      <c r="EI12" s="3">
        <v>1</v>
      </c>
      <c r="FA12" s="3">
        <v>1</v>
      </c>
      <c r="FL12" s="3">
        <v>1</v>
      </c>
      <c r="FR12" s="3">
        <v>1</v>
      </c>
      <c r="GE12" s="3">
        <v>1</v>
      </c>
    </row>
    <row r="13" spans="1:194" ht="13" x14ac:dyDescent="0.15">
      <c r="A13" s="13">
        <v>38441</v>
      </c>
      <c r="B13" s="3" t="s">
        <v>219</v>
      </c>
      <c r="C13" s="3">
        <v>21.295798999999999</v>
      </c>
      <c r="D13" s="3">
        <v>-158.10369900000001</v>
      </c>
      <c r="E13" s="3" t="s">
        <v>197</v>
      </c>
      <c r="F13" s="14">
        <v>0</v>
      </c>
      <c r="G13" s="14">
        <v>4.1666666666666664E-2</v>
      </c>
      <c r="H13" s="3">
        <v>5</v>
      </c>
      <c r="I13" s="3">
        <v>20</v>
      </c>
      <c r="J13" s="3" t="s">
        <v>217</v>
      </c>
      <c r="K13" s="3">
        <v>10</v>
      </c>
      <c r="L13" s="3">
        <v>30</v>
      </c>
      <c r="M13" s="3" t="s">
        <v>220</v>
      </c>
      <c r="Q13" s="3">
        <v>1</v>
      </c>
      <c r="AH13" s="3">
        <v>1</v>
      </c>
      <c r="AL13" s="3">
        <v>1</v>
      </c>
      <c r="BD13" s="3">
        <v>1</v>
      </c>
      <c r="BL13" s="3">
        <v>1</v>
      </c>
      <c r="BP13" s="3">
        <v>1</v>
      </c>
      <c r="BV13" s="3">
        <v>1</v>
      </c>
      <c r="BY13" s="3">
        <v>1</v>
      </c>
      <c r="CB13" s="3">
        <v>1</v>
      </c>
      <c r="DL13" s="3">
        <v>1</v>
      </c>
      <c r="DP13" s="3">
        <v>1</v>
      </c>
      <c r="DY13" s="3">
        <v>1</v>
      </c>
      <c r="EC13" s="3">
        <v>1</v>
      </c>
      <c r="EI13" s="3">
        <v>1</v>
      </c>
      <c r="FA13" s="3">
        <v>1</v>
      </c>
      <c r="FB13" s="3">
        <v>1</v>
      </c>
      <c r="FR13" s="3">
        <v>1</v>
      </c>
      <c r="GE13" s="3">
        <v>1</v>
      </c>
    </row>
    <row r="14" spans="1:194" ht="13" x14ac:dyDescent="0.15">
      <c r="A14" s="13">
        <v>38464</v>
      </c>
      <c r="B14" s="3" t="s">
        <v>201</v>
      </c>
      <c r="C14" s="3">
        <v>21.25544</v>
      </c>
      <c r="D14" s="3">
        <v>-157.810303</v>
      </c>
      <c r="E14" s="3" t="s">
        <v>197</v>
      </c>
      <c r="F14" s="14">
        <v>0</v>
      </c>
      <c r="G14" s="14">
        <v>4.1666666666666664E-2</v>
      </c>
      <c r="H14" s="3">
        <v>5</v>
      </c>
      <c r="I14" s="3">
        <v>9</v>
      </c>
      <c r="J14" s="3" t="s">
        <v>198</v>
      </c>
      <c r="K14" s="3">
        <v>10</v>
      </c>
      <c r="L14" s="3">
        <v>45</v>
      </c>
      <c r="M14" s="3" t="s">
        <v>221</v>
      </c>
      <c r="Q14" s="3">
        <v>1</v>
      </c>
      <c r="AE14" s="3">
        <v>1</v>
      </c>
      <c r="BP14" s="3">
        <v>1</v>
      </c>
      <c r="BV14" s="3">
        <v>1</v>
      </c>
      <c r="BY14" s="3">
        <v>1</v>
      </c>
      <c r="CA14" s="3">
        <v>1</v>
      </c>
      <c r="CI14" s="3">
        <v>1</v>
      </c>
      <c r="CR14" s="3">
        <v>1</v>
      </c>
      <c r="DL14" s="3">
        <v>1</v>
      </c>
      <c r="DO14" s="3">
        <v>1</v>
      </c>
      <c r="DR14" s="3">
        <v>1</v>
      </c>
      <c r="DS14" s="3">
        <v>1</v>
      </c>
      <c r="DT14" s="3">
        <v>1</v>
      </c>
      <c r="EB14" s="3">
        <v>1</v>
      </c>
      <c r="EI14" s="3">
        <v>1</v>
      </c>
      <c r="FA14" s="3">
        <v>1</v>
      </c>
      <c r="FR14" s="3">
        <v>1</v>
      </c>
      <c r="GE14" s="3">
        <v>1</v>
      </c>
    </row>
    <row r="15" spans="1:194" ht="13" x14ac:dyDescent="0.15">
      <c r="A15" s="13">
        <v>38469</v>
      </c>
      <c r="B15" s="3" t="s">
        <v>219</v>
      </c>
      <c r="C15" s="3">
        <v>21.295798999999999</v>
      </c>
      <c r="D15" s="3">
        <v>-158.10369900000001</v>
      </c>
      <c r="E15" s="3" t="s">
        <v>197</v>
      </c>
      <c r="F15" s="14">
        <v>0</v>
      </c>
      <c r="G15" s="14">
        <v>4.1666666666666664E-2</v>
      </c>
      <c r="H15" s="3">
        <v>4</v>
      </c>
      <c r="I15" s="3">
        <v>20</v>
      </c>
      <c r="J15" s="3" t="s">
        <v>217</v>
      </c>
      <c r="K15" s="3">
        <v>10</v>
      </c>
      <c r="L15" s="3">
        <v>29</v>
      </c>
      <c r="M15" s="3" t="s">
        <v>222</v>
      </c>
      <c r="Q15" s="3">
        <v>1</v>
      </c>
      <c r="AP15" s="3">
        <v>1</v>
      </c>
      <c r="BP15" s="3">
        <v>1</v>
      </c>
      <c r="BV15" s="3">
        <v>1</v>
      </c>
      <c r="BY15" s="3">
        <v>1</v>
      </c>
      <c r="DG15" s="3">
        <v>1</v>
      </c>
      <c r="DL15" s="3">
        <v>1</v>
      </c>
      <c r="DY15" s="3">
        <v>1</v>
      </c>
      <c r="EC15" s="3">
        <v>1</v>
      </c>
      <c r="EI15" s="3">
        <v>1</v>
      </c>
      <c r="FA15" s="3">
        <v>1</v>
      </c>
      <c r="FR15" s="3">
        <v>1</v>
      </c>
      <c r="GE15" s="3">
        <v>1</v>
      </c>
    </row>
    <row r="16" spans="1:194" ht="13" x14ac:dyDescent="0.15">
      <c r="A16" s="13">
        <v>38471</v>
      </c>
      <c r="B16" s="3" t="s">
        <v>216</v>
      </c>
      <c r="C16" s="3">
        <v>21.3002</v>
      </c>
      <c r="D16" s="3">
        <v>-157.882599</v>
      </c>
      <c r="E16" s="3" t="s">
        <v>197</v>
      </c>
      <c r="F16" s="14">
        <v>0</v>
      </c>
      <c r="G16" s="14">
        <v>4.1666666666666664E-2</v>
      </c>
      <c r="H16" s="3">
        <v>6</v>
      </c>
      <c r="I16" s="3">
        <v>22</v>
      </c>
      <c r="J16" s="3" t="s">
        <v>217</v>
      </c>
      <c r="K16" s="3">
        <v>10</v>
      </c>
      <c r="L16" s="3">
        <v>36</v>
      </c>
      <c r="M16" s="3" t="s">
        <v>223</v>
      </c>
      <c r="Q16" s="3">
        <v>1</v>
      </c>
      <c r="AB16" s="3">
        <v>1</v>
      </c>
      <c r="BL16" s="3">
        <v>1</v>
      </c>
      <c r="CB16" s="3">
        <v>1</v>
      </c>
      <c r="CU16" s="3">
        <v>1</v>
      </c>
      <c r="DR16" s="3">
        <v>1</v>
      </c>
      <c r="DY16" s="3">
        <v>1</v>
      </c>
      <c r="EB16" s="3">
        <v>1</v>
      </c>
      <c r="EI16" s="3">
        <v>1</v>
      </c>
      <c r="FB16" s="3">
        <v>1</v>
      </c>
      <c r="FD16" s="3">
        <v>1</v>
      </c>
      <c r="FI16" s="3">
        <v>1</v>
      </c>
      <c r="FR16" s="3">
        <v>1</v>
      </c>
      <c r="GE16" s="3">
        <v>1</v>
      </c>
    </row>
    <row r="17" spans="1:187" ht="13" x14ac:dyDescent="0.15">
      <c r="A17" s="13">
        <v>38473</v>
      </c>
      <c r="B17" s="3" t="s">
        <v>201</v>
      </c>
      <c r="C17" s="3">
        <v>21.25544</v>
      </c>
      <c r="D17" s="3">
        <v>-157.810303</v>
      </c>
      <c r="E17" s="3" t="s">
        <v>197</v>
      </c>
      <c r="F17" s="14">
        <v>0</v>
      </c>
      <c r="G17" s="14">
        <v>4.1666666666666664E-2</v>
      </c>
      <c r="H17" s="3">
        <v>3</v>
      </c>
      <c r="I17" s="3">
        <v>9</v>
      </c>
      <c r="J17" s="3" t="s">
        <v>198</v>
      </c>
      <c r="K17" s="3">
        <v>10</v>
      </c>
      <c r="L17" s="3">
        <v>27</v>
      </c>
      <c r="Q17" s="3">
        <v>1</v>
      </c>
      <c r="BA17" s="3">
        <v>1</v>
      </c>
      <c r="BP17" s="3">
        <v>1</v>
      </c>
      <c r="BY17" s="3">
        <v>1</v>
      </c>
      <c r="DL17" s="3">
        <v>1</v>
      </c>
      <c r="DR17" s="3">
        <v>1</v>
      </c>
      <c r="EI17" s="3">
        <v>1</v>
      </c>
      <c r="FA17" s="3">
        <v>1</v>
      </c>
      <c r="FR17" s="3">
        <v>1</v>
      </c>
      <c r="GE17" s="3">
        <v>1</v>
      </c>
    </row>
    <row r="18" spans="1:187" ht="13" x14ac:dyDescent="0.15">
      <c r="A18" s="13">
        <v>38473</v>
      </c>
      <c r="B18" s="3" t="s">
        <v>219</v>
      </c>
      <c r="C18" s="3">
        <v>21.295798999999999</v>
      </c>
      <c r="D18" s="3">
        <v>-158.10369900000001</v>
      </c>
      <c r="E18" s="3" t="s">
        <v>197</v>
      </c>
      <c r="F18" s="14">
        <v>0</v>
      </c>
      <c r="G18" s="14">
        <v>4.1666666666666664E-2</v>
      </c>
      <c r="H18" s="3">
        <v>6</v>
      </c>
      <c r="I18" s="3">
        <v>20</v>
      </c>
      <c r="J18" s="3" t="s">
        <v>217</v>
      </c>
      <c r="K18" s="3">
        <v>10</v>
      </c>
      <c r="L18" s="3">
        <v>34</v>
      </c>
      <c r="M18" s="3" t="s">
        <v>224</v>
      </c>
      <c r="Q18" s="3">
        <v>1</v>
      </c>
      <c r="BP18" s="3">
        <v>1</v>
      </c>
      <c r="BV18" s="3">
        <v>1</v>
      </c>
      <c r="BY18" s="3">
        <v>1</v>
      </c>
      <c r="CR18" s="3">
        <v>1</v>
      </c>
      <c r="DL18" s="3">
        <v>1</v>
      </c>
      <c r="DY18" s="3">
        <v>1</v>
      </c>
      <c r="EC18" s="3">
        <v>1</v>
      </c>
      <c r="EI18" s="3">
        <v>1</v>
      </c>
      <c r="FA18" s="3">
        <v>1</v>
      </c>
      <c r="FB18" s="3">
        <v>1</v>
      </c>
      <c r="FR18" s="3">
        <v>1</v>
      </c>
      <c r="GE18" s="3">
        <v>1</v>
      </c>
    </row>
    <row r="19" spans="1:187" ht="13" x14ac:dyDescent="0.15">
      <c r="A19" s="13">
        <v>38478</v>
      </c>
      <c r="B19" s="3" t="s">
        <v>216</v>
      </c>
      <c r="C19" s="3">
        <v>21.3002</v>
      </c>
      <c r="D19" s="3">
        <v>-157.882599</v>
      </c>
      <c r="E19" s="3" t="s">
        <v>197</v>
      </c>
      <c r="F19" s="14">
        <v>0</v>
      </c>
      <c r="G19" s="14">
        <v>4.1666666666666664E-2</v>
      </c>
      <c r="H19" s="3">
        <v>4</v>
      </c>
      <c r="I19" s="3">
        <v>22</v>
      </c>
      <c r="J19" s="3" t="s">
        <v>217</v>
      </c>
      <c r="K19" s="3">
        <v>10</v>
      </c>
      <c r="L19" s="3">
        <v>38</v>
      </c>
      <c r="M19" s="3" t="s">
        <v>225</v>
      </c>
      <c r="Q19" s="3">
        <v>1</v>
      </c>
      <c r="BY19" s="3">
        <v>1</v>
      </c>
      <c r="CU19" s="3">
        <v>1</v>
      </c>
      <c r="DR19" s="3">
        <v>1</v>
      </c>
      <c r="EI19" s="3">
        <v>1</v>
      </c>
      <c r="FR19" s="3">
        <v>1</v>
      </c>
      <c r="GE19" s="3">
        <v>1</v>
      </c>
    </row>
    <row r="20" spans="1:187" ht="13" x14ac:dyDescent="0.15">
      <c r="A20" s="13">
        <v>38479</v>
      </c>
      <c r="B20" s="3" t="s">
        <v>226</v>
      </c>
      <c r="C20" s="3">
        <v>21.706499000000001</v>
      </c>
      <c r="D20" s="3">
        <v>-157.99850499999999</v>
      </c>
      <c r="E20" s="3" t="s">
        <v>197</v>
      </c>
      <c r="F20" s="14">
        <v>0</v>
      </c>
      <c r="G20" s="14">
        <v>4.1666666666666664E-2</v>
      </c>
      <c r="H20" s="3">
        <v>3</v>
      </c>
      <c r="I20" s="3">
        <v>27</v>
      </c>
      <c r="J20" s="3" t="s">
        <v>227</v>
      </c>
      <c r="K20" s="3">
        <v>10</v>
      </c>
      <c r="L20" s="3">
        <v>22</v>
      </c>
      <c r="M20" s="3" t="s">
        <v>228</v>
      </c>
      <c r="AB20" s="3">
        <v>1</v>
      </c>
      <c r="BG20" s="3">
        <v>1</v>
      </c>
      <c r="BV20" s="3">
        <v>1</v>
      </c>
      <c r="BY20" s="3">
        <v>1</v>
      </c>
      <c r="CB20" s="3">
        <v>1</v>
      </c>
      <c r="CR20" s="3">
        <v>1</v>
      </c>
      <c r="DB20" s="3">
        <v>1</v>
      </c>
      <c r="DL20" s="3">
        <v>1</v>
      </c>
      <c r="DU20" s="3">
        <v>1</v>
      </c>
      <c r="EI20" s="3">
        <v>1</v>
      </c>
      <c r="FA20" s="3">
        <v>1</v>
      </c>
      <c r="FQ20" s="3">
        <v>1</v>
      </c>
      <c r="FR20" s="3">
        <v>1</v>
      </c>
      <c r="FW20" s="3"/>
      <c r="FX20" s="3">
        <v>1</v>
      </c>
      <c r="GE20" s="3">
        <v>1</v>
      </c>
    </row>
    <row r="21" spans="1:187" ht="13" x14ac:dyDescent="0.15">
      <c r="A21" s="13">
        <v>38493</v>
      </c>
      <c r="B21" s="3" t="s">
        <v>226</v>
      </c>
      <c r="C21" s="3">
        <v>21.706499000000001</v>
      </c>
      <c r="D21" s="3">
        <v>-157.99850499999999</v>
      </c>
      <c r="E21" s="3" t="s">
        <v>197</v>
      </c>
      <c r="F21" s="14">
        <v>0</v>
      </c>
      <c r="G21" s="14">
        <v>4.1666666666666664E-2</v>
      </c>
      <c r="H21" s="3">
        <v>2</v>
      </c>
      <c r="I21" s="3">
        <v>27</v>
      </c>
      <c r="J21" s="3" t="s">
        <v>227</v>
      </c>
      <c r="K21" s="3">
        <v>10</v>
      </c>
      <c r="L21" s="3">
        <v>11</v>
      </c>
      <c r="M21" s="3" t="s">
        <v>229</v>
      </c>
      <c r="BG21" s="3">
        <v>1</v>
      </c>
      <c r="BV21" s="3">
        <v>1</v>
      </c>
      <c r="BY21" s="3">
        <v>1</v>
      </c>
      <c r="DU21" s="3">
        <v>1</v>
      </c>
      <c r="EC21" s="3">
        <v>1</v>
      </c>
      <c r="EI21" s="3">
        <v>1</v>
      </c>
      <c r="FA21" s="3">
        <v>1</v>
      </c>
      <c r="FQ21" s="3">
        <v>1</v>
      </c>
      <c r="FR21" s="3">
        <v>1</v>
      </c>
      <c r="GE21" s="3">
        <v>1</v>
      </c>
    </row>
    <row r="22" spans="1:187" ht="13" x14ac:dyDescent="0.15">
      <c r="A22" s="13">
        <v>38496</v>
      </c>
      <c r="B22" s="3" t="s">
        <v>230</v>
      </c>
      <c r="C22" s="3">
        <v>20.753699999999998</v>
      </c>
      <c r="D22" s="3">
        <v>-156.46090699999999</v>
      </c>
      <c r="E22" s="3" t="s">
        <v>197</v>
      </c>
      <c r="F22" s="14">
        <v>0</v>
      </c>
      <c r="G22" s="14">
        <v>4.1666666666666664E-2</v>
      </c>
      <c r="H22" s="3">
        <v>5</v>
      </c>
      <c r="I22" s="3">
        <v>15</v>
      </c>
      <c r="J22" s="3" t="s">
        <v>217</v>
      </c>
      <c r="K22" s="3">
        <v>8</v>
      </c>
      <c r="L22" s="3">
        <v>36</v>
      </c>
      <c r="M22" s="3" t="s">
        <v>231</v>
      </c>
      <c r="Q22" s="3">
        <v>1</v>
      </c>
      <c r="BG22" s="3">
        <v>1</v>
      </c>
      <c r="BL22" s="3">
        <v>1</v>
      </c>
      <c r="DE22" s="3">
        <v>1</v>
      </c>
      <c r="DL22" s="3">
        <v>1</v>
      </c>
      <c r="EG22" s="3">
        <v>1</v>
      </c>
      <c r="EI22" s="3">
        <v>1</v>
      </c>
      <c r="FA22" s="3">
        <v>1</v>
      </c>
      <c r="FR22" s="3">
        <v>1</v>
      </c>
      <c r="FS22" s="3">
        <v>1</v>
      </c>
      <c r="FU22" s="3">
        <v>1</v>
      </c>
      <c r="GE22" s="3">
        <v>1</v>
      </c>
    </row>
    <row r="23" spans="1:187" ht="13" x14ac:dyDescent="0.15">
      <c r="A23" s="13">
        <v>38507</v>
      </c>
      <c r="B23" s="3" t="s">
        <v>226</v>
      </c>
      <c r="C23" s="3">
        <v>21.706499000000001</v>
      </c>
      <c r="D23" s="3">
        <v>-157.99850499999999</v>
      </c>
      <c r="E23" s="3" t="s">
        <v>197</v>
      </c>
      <c r="F23" s="14">
        <v>0</v>
      </c>
      <c r="G23" s="14">
        <v>4.1666666666666664E-2</v>
      </c>
      <c r="H23" s="3">
        <v>3</v>
      </c>
      <c r="I23" s="3">
        <v>27</v>
      </c>
      <c r="J23" s="3" t="s">
        <v>227</v>
      </c>
      <c r="K23" s="3">
        <v>10</v>
      </c>
      <c r="L23" s="3">
        <v>20</v>
      </c>
      <c r="M23" s="3" t="s">
        <v>232</v>
      </c>
      <c r="Q23" s="3">
        <v>1</v>
      </c>
      <c r="R23" s="3">
        <v>1</v>
      </c>
      <c r="BA23" s="3">
        <v>1</v>
      </c>
      <c r="BG23" s="3">
        <v>1</v>
      </c>
      <c r="BL23" s="3">
        <v>1</v>
      </c>
      <c r="BV23" s="3">
        <v>1</v>
      </c>
      <c r="BY23" s="3">
        <v>1</v>
      </c>
      <c r="CB23" s="3">
        <v>1</v>
      </c>
      <c r="CC23" s="3">
        <v>1</v>
      </c>
      <c r="CR23" s="3">
        <v>1</v>
      </c>
      <c r="CV23" s="3">
        <v>1</v>
      </c>
      <c r="DB23" s="3">
        <v>1</v>
      </c>
      <c r="DL23" s="3">
        <v>1</v>
      </c>
      <c r="DU23" s="3">
        <v>1</v>
      </c>
      <c r="EI23" s="3">
        <v>1</v>
      </c>
      <c r="FA23" s="3">
        <v>1</v>
      </c>
      <c r="FQ23" s="3">
        <v>1</v>
      </c>
      <c r="FR23" s="3">
        <v>1</v>
      </c>
      <c r="GE23" s="3">
        <v>1</v>
      </c>
    </row>
    <row r="24" spans="1:187" ht="13" x14ac:dyDescent="0.15">
      <c r="A24" s="13">
        <v>38824</v>
      </c>
      <c r="B24" s="3" t="s">
        <v>233</v>
      </c>
      <c r="C24" s="3">
        <v>21.066799</v>
      </c>
      <c r="D24" s="3">
        <v>-156.804993</v>
      </c>
      <c r="E24" s="3" t="s">
        <v>197</v>
      </c>
      <c r="F24" s="14">
        <v>0</v>
      </c>
      <c r="G24" s="14">
        <v>4.1666666666666664E-2</v>
      </c>
      <c r="H24" s="3">
        <v>3</v>
      </c>
      <c r="I24" s="3">
        <v>27</v>
      </c>
      <c r="J24" s="3" t="s">
        <v>227</v>
      </c>
      <c r="K24" s="3">
        <v>10</v>
      </c>
      <c r="L24" s="3">
        <v>29</v>
      </c>
      <c r="M24" s="3" t="s">
        <v>234</v>
      </c>
      <c r="Q24" s="3">
        <v>1</v>
      </c>
      <c r="BA24" s="3">
        <v>1</v>
      </c>
      <c r="BL24" s="3">
        <v>1</v>
      </c>
      <c r="BX24" s="3">
        <v>1</v>
      </c>
      <c r="CF24" s="3">
        <v>1</v>
      </c>
      <c r="CN24" s="3">
        <v>1</v>
      </c>
      <c r="DC24" s="3">
        <v>1</v>
      </c>
      <c r="DL24" s="3">
        <v>1</v>
      </c>
      <c r="DR24" s="3">
        <v>1</v>
      </c>
      <c r="EI24" s="3">
        <v>1</v>
      </c>
      <c r="FA24" s="3">
        <v>1</v>
      </c>
      <c r="FQ24" s="3">
        <v>1</v>
      </c>
    </row>
    <row r="25" spans="1:187" ht="13" x14ac:dyDescent="0.15">
      <c r="A25" s="13">
        <v>38824</v>
      </c>
      <c r="B25" s="3" t="s">
        <v>201</v>
      </c>
      <c r="C25" s="3">
        <v>21.25544</v>
      </c>
      <c r="D25" s="3">
        <v>-157.810303</v>
      </c>
      <c r="E25" s="3" t="s">
        <v>197</v>
      </c>
      <c r="F25" s="14">
        <v>0</v>
      </c>
      <c r="G25" s="14">
        <v>4.1666666666666664E-2</v>
      </c>
      <c r="H25" s="3">
        <v>6</v>
      </c>
      <c r="I25" s="3">
        <v>11</v>
      </c>
      <c r="J25" s="3" t="s">
        <v>198</v>
      </c>
      <c r="K25" s="3">
        <v>12</v>
      </c>
      <c r="L25" s="3">
        <v>53</v>
      </c>
      <c r="M25" s="3" t="s">
        <v>235</v>
      </c>
      <c r="Q25" s="3">
        <v>1</v>
      </c>
      <c r="AD25" s="3">
        <v>1</v>
      </c>
      <c r="AE25" s="3">
        <v>1</v>
      </c>
      <c r="BG25" s="3">
        <v>1</v>
      </c>
      <c r="BP25" s="3">
        <v>1</v>
      </c>
      <c r="BV25" s="3">
        <v>1</v>
      </c>
      <c r="BY25" s="3">
        <v>1</v>
      </c>
      <c r="CR25" s="3">
        <v>1</v>
      </c>
      <c r="DL25" s="3">
        <v>1</v>
      </c>
      <c r="DO25" s="3">
        <v>1</v>
      </c>
      <c r="DY25" s="3">
        <v>1</v>
      </c>
      <c r="EI25" s="3">
        <v>1</v>
      </c>
      <c r="FA25" s="3">
        <v>1</v>
      </c>
      <c r="FB25" s="3">
        <v>1</v>
      </c>
      <c r="FQ25" s="3">
        <v>1</v>
      </c>
      <c r="FR25" s="3">
        <v>1</v>
      </c>
      <c r="FT25" s="3">
        <v>1</v>
      </c>
      <c r="GE25" s="3">
        <v>1</v>
      </c>
    </row>
    <row r="26" spans="1:187" ht="13" x14ac:dyDescent="0.15">
      <c r="A26" s="13">
        <v>38825</v>
      </c>
      <c r="B26" s="3" t="s">
        <v>230</v>
      </c>
      <c r="C26" s="3">
        <v>20.753699999999998</v>
      </c>
      <c r="D26" s="3">
        <v>-156.46090699999999</v>
      </c>
      <c r="E26" s="3" t="s">
        <v>197</v>
      </c>
      <c r="F26" s="14">
        <v>0</v>
      </c>
      <c r="G26" s="14">
        <v>4.1666666666666664E-2</v>
      </c>
      <c r="H26" s="3">
        <v>5</v>
      </c>
      <c r="I26" s="3">
        <v>22</v>
      </c>
      <c r="J26" s="3" t="s">
        <v>217</v>
      </c>
      <c r="K26" s="3">
        <v>14</v>
      </c>
      <c r="L26" s="3">
        <v>42</v>
      </c>
      <c r="M26" s="3" t="s">
        <v>236</v>
      </c>
      <c r="Q26" s="3">
        <v>1</v>
      </c>
      <c r="BJ26" s="3">
        <v>1</v>
      </c>
      <c r="BL26" s="3">
        <v>1</v>
      </c>
      <c r="BW26" s="3">
        <v>1</v>
      </c>
      <c r="DE26" s="3">
        <v>1</v>
      </c>
      <c r="DL26" s="3">
        <v>1</v>
      </c>
      <c r="EC26" s="3">
        <v>1</v>
      </c>
      <c r="EI26" s="3">
        <v>1</v>
      </c>
      <c r="FA26" s="3">
        <v>1</v>
      </c>
      <c r="FM26" s="3">
        <v>1</v>
      </c>
      <c r="FR26" s="3">
        <v>1</v>
      </c>
      <c r="FS26" s="3">
        <v>1</v>
      </c>
      <c r="FU26" s="3">
        <v>1</v>
      </c>
    </row>
    <row r="27" spans="1:187" ht="13" x14ac:dyDescent="0.15">
      <c r="A27" s="13">
        <v>38834</v>
      </c>
      <c r="B27" s="3" t="s">
        <v>219</v>
      </c>
      <c r="C27" s="3">
        <v>21.295798999999999</v>
      </c>
      <c r="D27" s="3">
        <v>-158.10369900000001</v>
      </c>
      <c r="E27" s="3" t="s">
        <v>197</v>
      </c>
      <c r="F27" s="14">
        <v>0</v>
      </c>
      <c r="G27" s="14">
        <v>4.1666666666666664E-2</v>
      </c>
      <c r="H27" s="3">
        <v>4</v>
      </c>
      <c r="I27" s="3">
        <v>25</v>
      </c>
      <c r="J27" s="3" t="s">
        <v>237</v>
      </c>
      <c r="K27" s="3">
        <v>5</v>
      </c>
      <c r="L27" s="3">
        <v>16</v>
      </c>
      <c r="M27" s="3" t="s">
        <v>238</v>
      </c>
      <c r="Q27" s="3">
        <v>1</v>
      </c>
      <c r="BC27" s="3">
        <v>1</v>
      </c>
      <c r="BL27" s="3">
        <v>1</v>
      </c>
      <c r="BP27" s="3">
        <v>1</v>
      </c>
      <c r="BT27" s="3">
        <v>1</v>
      </c>
      <c r="BV27" s="3">
        <v>1</v>
      </c>
      <c r="DL27" s="3">
        <v>1</v>
      </c>
      <c r="EB27" s="3">
        <v>1</v>
      </c>
      <c r="EC27" s="3">
        <v>1</v>
      </c>
      <c r="EI27" s="3">
        <v>1</v>
      </c>
      <c r="FA27" s="3">
        <v>1</v>
      </c>
      <c r="FR27" s="3">
        <v>1</v>
      </c>
    </row>
    <row r="28" spans="1:187" ht="13" x14ac:dyDescent="0.15">
      <c r="A28" s="13">
        <v>38835</v>
      </c>
      <c r="B28" s="3" t="s">
        <v>216</v>
      </c>
      <c r="C28" s="3">
        <v>21.3002</v>
      </c>
      <c r="D28" s="3">
        <v>-157.882599</v>
      </c>
      <c r="E28" s="3" t="s">
        <v>197</v>
      </c>
      <c r="F28" s="14">
        <v>0</v>
      </c>
      <c r="G28" s="14">
        <v>4.1666666666666664E-2</v>
      </c>
      <c r="H28" s="3">
        <v>3</v>
      </c>
      <c r="I28" s="3">
        <v>25</v>
      </c>
      <c r="J28" s="3" t="s">
        <v>237</v>
      </c>
      <c r="K28" s="3">
        <v>5</v>
      </c>
      <c r="L28" s="3">
        <v>10</v>
      </c>
      <c r="M28" s="3" t="s">
        <v>239</v>
      </c>
      <c r="Q28" s="3">
        <v>1</v>
      </c>
      <c r="BD28" s="3">
        <v>1</v>
      </c>
      <c r="BU28" s="3">
        <v>1</v>
      </c>
      <c r="DL28" s="3">
        <v>1</v>
      </c>
      <c r="EI28" s="3">
        <v>1</v>
      </c>
      <c r="FA28" s="3">
        <v>1</v>
      </c>
      <c r="GE28" s="3">
        <v>1</v>
      </c>
    </row>
    <row r="29" spans="1:187" ht="13" x14ac:dyDescent="0.15">
      <c r="A29" s="13">
        <v>38838</v>
      </c>
      <c r="B29" s="3" t="s">
        <v>240</v>
      </c>
      <c r="C29" s="3">
        <v>21.105899999999998</v>
      </c>
      <c r="D29" s="3">
        <v>-156.746094</v>
      </c>
      <c r="E29" s="3" t="s">
        <v>197</v>
      </c>
      <c r="F29" s="14">
        <v>0</v>
      </c>
      <c r="G29" s="14">
        <v>4.1666666666666664E-2</v>
      </c>
      <c r="H29" s="3">
        <v>3</v>
      </c>
      <c r="I29" s="3">
        <v>27</v>
      </c>
      <c r="J29" s="3" t="s">
        <v>227</v>
      </c>
      <c r="K29" s="3">
        <v>10</v>
      </c>
      <c r="L29" s="3">
        <v>27</v>
      </c>
      <c r="M29" s="3" t="s">
        <v>241</v>
      </c>
      <c r="AL29" s="3">
        <v>1</v>
      </c>
      <c r="BA29" s="3">
        <v>1</v>
      </c>
      <c r="BL29" s="3">
        <v>1</v>
      </c>
      <c r="CR29" s="3">
        <v>1</v>
      </c>
      <c r="EI29" s="3">
        <v>1</v>
      </c>
      <c r="FR29" s="3">
        <v>1</v>
      </c>
    </row>
    <row r="30" spans="1:187" ht="13" x14ac:dyDescent="0.15">
      <c r="A30" s="13">
        <v>38849</v>
      </c>
      <c r="B30" s="3" t="s">
        <v>219</v>
      </c>
      <c r="C30" s="3">
        <v>21.295798999999999</v>
      </c>
      <c r="D30" s="3">
        <v>-158.10369900000001</v>
      </c>
      <c r="E30" s="3" t="s">
        <v>197</v>
      </c>
      <c r="F30" s="14">
        <v>0</v>
      </c>
      <c r="G30" s="14">
        <v>4.1666666666666664E-2</v>
      </c>
      <c r="H30" s="3">
        <v>4</v>
      </c>
      <c r="I30" s="3">
        <v>25</v>
      </c>
      <c r="J30" s="3" t="s">
        <v>237</v>
      </c>
      <c r="K30" s="3">
        <v>5</v>
      </c>
      <c r="L30" s="3">
        <v>14</v>
      </c>
      <c r="M30" s="3" t="s">
        <v>242</v>
      </c>
      <c r="AC30" s="3">
        <v>1</v>
      </c>
      <c r="AL30" s="3">
        <v>1</v>
      </c>
      <c r="BP30" s="3">
        <v>1</v>
      </c>
      <c r="BV30" s="3">
        <v>1</v>
      </c>
      <c r="DG30" s="3">
        <v>1</v>
      </c>
      <c r="DL30" s="3">
        <v>1</v>
      </c>
      <c r="EB30" s="3">
        <v>1</v>
      </c>
      <c r="EI30" s="3">
        <v>1</v>
      </c>
      <c r="EU30" s="3">
        <v>1</v>
      </c>
      <c r="FA30" s="3">
        <v>1</v>
      </c>
      <c r="FB30" s="3">
        <v>1</v>
      </c>
      <c r="FR30" s="3">
        <v>1</v>
      </c>
      <c r="GE30" s="3">
        <v>1</v>
      </c>
    </row>
    <row r="31" spans="1:187" ht="13" x14ac:dyDescent="0.15">
      <c r="A31" s="13">
        <v>38852</v>
      </c>
      <c r="B31" s="3" t="s">
        <v>216</v>
      </c>
      <c r="C31" s="3">
        <v>21.3002</v>
      </c>
      <c r="D31" s="3">
        <v>-157.882599</v>
      </c>
      <c r="E31" s="3" t="s">
        <v>197</v>
      </c>
      <c r="F31" s="14">
        <v>0</v>
      </c>
      <c r="G31" s="14">
        <v>4.1666666666666664E-2</v>
      </c>
      <c r="H31" s="3">
        <v>7</v>
      </c>
      <c r="I31" s="3">
        <v>25</v>
      </c>
      <c r="J31" s="3" t="s">
        <v>237</v>
      </c>
      <c r="K31" s="3">
        <v>5</v>
      </c>
      <c r="L31" s="3">
        <v>23</v>
      </c>
      <c r="M31" s="3" t="s">
        <v>243</v>
      </c>
      <c r="Q31" s="3">
        <v>1</v>
      </c>
      <c r="AH31" s="3">
        <v>1</v>
      </c>
      <c r="BC31" s="3">
        <v>1</v>
      </c>
      <c r="BP31" s="3">
        <v>1</v>
      </c>
      <c r="BV31" s="3">
        <v>1</v>
      </c>
      <c r="CC31" s="3">
        <v>1</v>
      </c>
      <c r="DL31" s="3">
        <v>1</v>
      </c>
      <c r="DN31" s="3">
        <v>1</v>
      </c>
      <c r="DR31" s="3">
        <v>1</v>
      </c>
      <c r="EI31" s="3">
        <v>1</v>
      </c>
      <c r="FA31" s="3">
        <v>1</v>
      </c>
      <c r="FR31" s="3">
        <v>1</v>
      </c>
    </row>
    <row r="32" spans="1:187" ht="13" x14ac:dyDescent="0.15">
      <c r="A32" s="13">
        <v>38853</v>
      </c>
      <c r="B32" s="3" t="s">
        <v>244</v>
      </c>
      <c r="C32" s="3">
        <v>21.310611999999999</v>
      </c>
      <c r="D32" s="3">
        <v>-158.00441000000001</v>
      </c>
      <c r="E32" s="3" t="s">
        <v>197</v>
      </c>
      <c r="F32" s="14">
        <v>0</v>
      </c>
      <c r="G32" s="14">
        <v>4.1666666666666664E-2</v>
      </c>
      <c r="H32" s="3">
        <v>4</v>
      </c>
      <c r="I32" s="3">
        <v>20</v>
      </c>
      <c r="J32" s="3" t="s">
        <v>245</v>
      </c>
      <c r="K32" s="3">
        <v>5</v>
      </c>
      <c r="L32" s="3">
        <v>4</v>
      </c>
      <c r="M32" s="3">
        <v>4</v>
      </c>
      <c r="Q32" s="3">
        <v>1</v>
      </c>
      <c r="AW32" s="3">
        <v>1</v>
      </c>
      <c r="BL32" s="3">
        <v>1</v>
      </c>
      <c r="BP32" s="3">
        <v>1</v>
      </c>
      <c r="BT32" s="3">
        <v>1</v>
      </c>
      <c r="BW32" s="3">
        <v>1</v>
      </c>
      <c r="CR32" s="3">
        <v>1</v>
      </c>
      <c r="DC32" s="3">
        <v>1</v>
      </c>
      <c r="DL32" s="3">
        <v>1</v>
      </c>
      <c r="DT32" s="3"/>
      <c r="DU32" s="3">
        <v>1</v>
      </c>
      <c r="EI32" s="3">
        <v>1</v>
      </c>
      <c r="FA32" s="3">
        <v>1</v>
      </c>
      <c r="FQ32" s="3">
        <v>1</v>
      </c>
      <c r="FR32" s="3">
        <v>1</v>
      </c>
    </row>
    <row r="33" spans="1:187" ht="13" x14ac:dyDescent="0.15">
      <c r="A33" s="13">
        <v>38854</v>
      </c>
      <c r="B33" s="3" t="s">
        <v>246</v>
      </c>
      <c r="C33" s="3">
        <v>21.2882</v>
      </c>
      <c r="D33" s="3">
        <v>-157.66799900000001</v>
      </c>
      <c r="E33" s="3" t="s">
        <v>197</v>
      </c>
      <c r="F33" s="14">
        <v>0</v>
      </c>
      <c r="G33" s="14">
        <v>4.1666666666666664E-2</v>
      </c>
      <c r="H33" s="3">
        <v>3</v>
      </c>
      <c r="I33" s="3">
        <v>20</v>
      </c>
      <c r="J33" s="3" t="s">
        <v>245</v>
      </c>
      <c r="K33" s="3">
        <v>5</v>
      </c>
      <c r="L33" s="3">
        <v>4</v>
      </c>
      <c r="M33" s="3">
        <v>4</v>
      </c>
      <c r="Q33" s="3">
        <v>1</v>
      </c>
      <c r="BG33" s="3">
        <v>1</v>
      </c>
      <c r="BJ33" s="3">
        <v>1</v>
      </c>
      <c r="BV33" s="3">
        <v>1</v>
      </c>
      <c r="CI33" s="3">
        <v>1</v>
      </c>
      <c r="CN33" s="3">
        <v>1</v>
      </c>
      <c r="DL33" s="3">
        <v>1</v>
      </c>
      <c r="DN33" s="3">
        <v>1</v>
      </c>
      <c r="DY33" s="3">
        <v>1</v>
      </c>
      <c r="EI33" s="3">
        <v>1</v>
      </c>
      <c r="FA33" s="3">
        <v>1</v>
      </c>
      <c r="FQ33" s="3">
        <v>1</v>
      </c>
      <c r="FR33" s="3">
        <v>1</v>
      </c>
    </row>
    <row r="34" spans="1:187" ht="13" x14ac:dyDescent="0.15">
      <c r="A34" s="13">
        <v>39177</v>
      </c>
      <c r="B34" s="3" t="s">
        <v>247</v>
      </c>
      <c r="C34" s="3">
        <v>19.488199000000002</v>
      </c>
      <c r="D34" s="3">
        <v>-154.81930500000001</v>
      </c>
      <c r="E34" s="3" t="s">
        <v>197</v>
      </c>
      <c r="F34" s="14">
        <v>0</v>
      </c>
      <c r="G34" s="14">
        <v>4.1666666666666664E-2</v>
      </c>
      <c r="H34" s="3">
        <v>4</v>
      </c>
      <c r="I34" s="3">
        <v>20</v>
      </c>
      <c r="J34" s="3" t="s">
        <v>245</v>
      </c>
      <c r="K34" s="3">
        <v>5</v>
      </c>
      <c r="L34" s="3">
        <v>13</v>
      </c>
      <c r="M34" s="3" t="s">
        <v>248</v>
      </c>
      <c r="AL34" s="3">
        <v>1</v>
      </c>
      <c r="CB34" s="3">
        <v>1</v>
      </c>
      <c r="DL34" s="3">
        <v>1</v>
      </c>
      <c r="DW34" s="3">
        <v>1</v>
      </c>
      <c r="FL34" s="3">
        <v>1</v>
      </c>
      <c r="FR34" s="3">
        <v>1</v>
      </c>
      <c r="GE34" s="3">
        <v>1</v>
      </c>
    </row>
    <row r="35" spans="1:187" ht="13" x14ac:dyDescent="0.15">
      <c r="A35" s="13">
        <v>39190</v>
      </c>
      <c r="B35" s="3" t="s">
        <v>201</v>
      </c>
      <c r="C35" s="3">
        <v>21.25544</v>
      </c>
      <c r="D35" s="3">
        <v>-157.810303</v>
      </c>
      <c r="E35" s="3" t="s">
        <v>197</v>
      </c>
      <c r="F35" s="14">
        <v>0</v>
      </c>
      <c r="G35" s="14">
        <v>4.1666666666666664E-2</v>
      </c>
      <c r="H35" s="3">
        <v>7</v>
      </c>
      <c r="I35" s="3">
        <v>11</v>
      </c>
      <c r="J35" s="3" t="s">
        <v>198</v>
      </c>
      <c r="K35" s="3">
        <v>12</v>
      </c>
      <c r="L35" s="3">
        <v>74</v>
      </c>
      <c r="M35" s="3" t="s">
        <v>249</v>
      </c>
      <c r="Q35" s="3">
        <v>1</v>
      </c>
      <c r="X35" s="3">
        <v>1</v>
      </c>
      <c r="AE35" s="3">
        <v>1</v>
      </c>
      <c r="AL35" s="3">
        <v>1</v>
      </c>
      <c r="AY35" s="3">
        <v>1</v>
      </c>
      <c r="BA35" s="3">
        <v>1</v>
      </c>
      <c r="BE35" s="3">
        <v>1</v>
      </c>
      <c r="BL35" s="3">
        <v>1</v>
      </c>
      <c r="BP35" s="3">
        <v>1</v>
      </c>
      <c r="BS35" s="3">
        <v>1</v>
      </c>
      <c r="BT35" s="3">
        <v>1</v>
      </c>
      <c r="BV35" s="3">
        <v>1</v>
      </c>
      <c r="BW35" s="3">
        <v>1</v>
      </c>
      <c r="BX35" s="3">
        <v>1</v>
      </c>
      <c r="CA35" s="3">
        <v>1</v>
      </c>
      <c r="CI35" s="3">
        <v>1</v>
      </c>
      <c r="CN35" s="3">
        <v>1</v>
      </c>
      <c r="CR35" s="3">
        <v>1</v>
      </c>
      <c r="CU35" s="3">
        <v>1</v>
      </c>
      <c r="DC35" s="3">
        <v>1</v>
      </c>
      <c r="DE35" s="3">
        <v>1</v>
      </c>
      <c r="DK35" s="3">
        <v>1</v>
      </c>
      <c r="DL35" s="3">
        <v>1</v>
      </c>
      <c r="DO35" s="3">
        <v>1</v>
      </c>
      <c r="DR35" s="3">
        <v>1</v>
      </c>
      <c r="DT35" s="3"/>
      <c r="DU35" s="3">
        <v>1</v>
      </c>
      <c r="EC35" s="3">
        <v>1</v>
      </c>
      <c r="EI35" s="3">
        <v>1</v>
      </c>
      <c r="EV35" s="3">
        <v>1</v>
      </c>
      <c r="FA35" s="3">
        <v>1</v>
      </c>
      <c r="FB35" s="3">
        <v>1</v>
      </c>
      <c r="FH35" s="3">
        <v>1</v>
      </c>
      <c r="FQ35" s="3">
        <v>1</v>
      </c>
      <c r="FR35" s="3">
        <v>1</v>
      </c>
      <c r="FW35" s="3"/>
      <c r="FX35" s="3">
        <v>1</v>
      </c>
      <c r="GD35" s="3">
        <v>1</v>
      </c>
      <c r="GE35" s="3">
        <v>1</v>
      </c>
    </row>
    <row r="36" spans="1:187" ht="13" x14ac:dyDescent="0.15">
      <c r="A36" s="13">
        <v>39191</v>
      </c>
      <c r="B36" s="3" t="s">
        <v>250</v>
      </c>
      <c r="C36" s="3">
        <v>21.410399999999999</v>
      </c>
      <c r="D36" s="3">
        <v>-158.17770400000001</v>
      </c>
      <c r="E36" s="3" t="s">
        <v>197</v>
      </c>
      <c r="F36" s="14">
        <v>0</v>
      </c>
      <c r="G36" s="14">
        <v>4.1666666666666664E-2</v>
      </c>
      <c r="H36" s="3">
        <v>10</v>
      </c>
      <c r="I36" s="3">
        <v>20</v>
      </c>
      <c r="J36" s="3" t="s">
        <v>245</v>
      </c>
      <c r="K36" s="3">
        <v>6</v>
      </c>
      <c r="L36" s="3">
        <v>15</v>
      </c>
      <c r="M36" s="3" t="s">
        <v>251</v>
      </c>
      <c r="Q36" s="3">
        <v>1</v>
      </c>
      <c r="R36" s="3">
        <v>1</v>
      </c>
      <c r="AI36" s="3"/>
      <c r="AJ36" s="3">
        <v>1</v>
      </c>
      <c r="BF36" s="3">
        <v>1</v>
      </c>
      <c r="BH36" s="3">
        <v>1</v>
      </c>
      <c r="BJ36" s="3">
        <v>1</v>
      </c>
      <c r="BX36" s="3">
        <v>1</v>
      </c>
      <c r="BY36" s="3">
        <v>1</v>
      </c>
      <c r="CB36" s="3">
        <v>1</v>
      </c>
      <c r="CC36" s="3">
        <v>1</v>
      </c>
      <c r="DG36" s="3">
        <v>1</v>
      </c>
      <c r="DK36" s="3">
        <v>1</v>
      </c>
      <c r="DL36" s="3">
        <v>1</v>
      </c>
      <c r="EI36" s="3">
        <v>1</v>
      </c>
      <c r="EV36" s="3">
        <v>1</v>
      </c>
      <c r="FB36" s="3">
        <v>1</v>
      </c>
      <c r="FD36" s="3">
        <v>1</v>
      </c>
      <c r="FQ36" s="3">
        <v>1</v>
      </c>
      <c r="FR36" s="3">
        <v>1</v>
      </c>
      <c r="FS36" s="3">
        <v>1</v>
      </c>
      <c r="GD36" s="3">
        <v>1</v>
      </c>
      <c r="GE36" s="3">
        <v>1</v>
      </c>
    </row>
    <row r="37" spans="1:187" ht="13" x14ac:dyDescent="0.15">
      <c r="A37" s="13">
        <v>39191</v>
      </c>
      <c r="B37" s="3" t="s">
        <v>201</v>
      </c>
      <c r="C37" s="3">
        <v>21.25544</v>
      </c>
      <c r="D37" s="3">
        <v>-157.810303</v>
      </c>
      <c r="E37" s="3" t="s">
        <v>197</v>
      </c>
      <c r="F37" s="14">
        <v>0</v>
      </c>
      <c r="G37" s="14">
        <v>4.1666666666666664E-2</v>
      </c>
      <c r="H37" s="3">
        <v>7</v>
      </c>
      <c r="I37" s="3">
        <v>11</v>
      </c>
      <c r="J37" s="3" t="s">
        <v>198</v>
      </c>
      <c r="K37" s="3">
        <v>12</v>
      </c>
      <c r="L37" s="3">
        <v>66</v>
      </c>
      <c r="M37" s="3" t="s">
        <v>252</v>
      </c>
      <c r="Q37" s="3">
        <v>1</v>
      </c>
      <c r="W37" s="3">
        <v>1</v>
      </c>
      <c r="Y37" s="3">
        <v>1</v>
      </c>
      <c r="AD37" s="3">
        <v>1</v>
      </c>
      <c r="AE37" s="3">
        <v>1</v>
      </c>
      <c r="AH37" s="3">
        <v>1</v>
      </c>
      <c r="AI37" s="3">
        <v>1</v>
      </c>
      <c r="AL37" s="3">
        <v>1</v>
      </c>
      <c r="BA37" s="3">
        <v>1</v>
      </c>
      <c r="BL37" s="3">
        <v>1</v>
      </c>
      <c r="BP37" s="3">
        <v>1</v>
      </c>
      <c r="BS37" s="3">
        <v>1</v>
      </c>
      <c r="BT37" s="3">
        <v>1</v>
      </c>
      <c r="BV37" s="3">
        <v>1</v>
      </c>
      <c r="BW37" s="3">
        <v>1</v>
      </c>
      <c r="BX37" s="3">
        <v>1</v>
      </c>
      <c r="CA37" s="3">
        <v>1</v>
      </c>
      <c r="CI37" s="3">
        <v>1</v>
      </c>
      <c r="CN37" s="3">
        <v>1</v>
      </c>
      <c r="CR37" s="3">
        <v>1</v>
      </c>
      <c r="CU37" s="3">
        <v>1</v>
      </c>
      <c r="DE37" s="3">
        <v>1</v>
      </c>
      <c r="DG37" s="3">
        <v>1</v>
      </c>
      <c r="DK37" s="3">
        <v>1</v>
      </c>
      <c r="DL37" s="3">
        <v>1</v>
      </c>
      <c r="DN37" s="3">
        <v>1</v>
      </c>
      <c r="DO37" s="3">
        <v>1</v>
      </c>
      <c r="DR37" s="3">
        <v>1</v>
      </c>
      <c r="DT37" s="3"/>
      <c r="DU37" s="3">
        <v>1</v>
      </c>
      <c r="DY37" s="3">
        <v>1</v>
      </c>
      <c r="EA37" s="3">
        <v>1</v>
      </c>
      <c r="EB37" s="3">
        <v>1</v>
      </c>
      <c r="EC37" s="3">
        <v>1</v>
      </c>
      <c r="EI37" s="3">
        <v>1</v>
      </c>
      <c r="EM37" s="3">
        <v>1</v>
      </c>
      <c r="EV37" s="3">
        <v>1</v>
      </c>
      <c r="FA37" s="3">
        <v>1</v>
      </c>
      <c r="FB37" s="3">
        <v>1</v>
      </c>
      <c r="FD37" s="3">
        <v>1</v>
      </c>
      <c r="FE37" s="3">
        <v>1</v>
      </c>
      <c r="FG37" s="3">
        <v>1</v>
      </c>
      <c r="FL37" s="3">
        <v>1</v>
      </c>
      <c r="FQ37" s="3">
        <v>1</v>
      </c>
      <c r="FR37" s="3">
        <v>1</v>
      </c>
      <c r="GD37" s="3">
        <v>1</v>
      </c>
      <c r="GE37" s="3">
        <v>1</v>
      </c>
    </row>
    <row r="38" spans="1:187" ht="13" x14ac:dyDescent="0.15">
      <c r="A38" s="13">
        <v>39192</v>
      </c>
      <c r="B38" s="3" t="s">
        <v>230</v>
      </c>
      <c r="C38" s="3">
        <v>20.753699999999998</v>
      </c>
      <c r="D38" s="3">
        <v>-156.46090699999999</v>
      </c>
      <c r="E38" s="3" t="s">
        <v>197</v>
      </c>
      <c r="F38" s="14">
        <v>0</v>
      </c>
      <c r="G38" s="14">
        <v>4.1666666666666664E-2</v>
      </c>
      <c r="H38" s="3">
        <v>4</v>
      </c>
      <c r="I38" s="3">
        <v>9</v>
      </c>
      <c r="J38" s="3" t="s">
        <v>198</v>
      </c>
      <c r="K38" s="3">
        <v>10</v>
      </c>
      <c r="L38" s="3">
        <v>36</v>
      </c>
      <c r="M38" s="3" t="s">
        <v>253</v>
      </c>
      <c r="Q38" s="3">
        <v>1</v>
      </c>
      <c r="Y38" s="3">
        <v>1</v>
      </c>
      <c r="AC38" s="3">
        <v>1</v>
      </c>
      <c r="AL38" s="3">
        <v>1</v>
      </c>
      <c r="AM38" s="3">
        <v>1</v>
      </c>
      <c r="AN38" s="3"/>
      <c r="AO38" s="3">
        <v>1</v>
      </c>
      <c r="BG38" s="3">
        <v>1</v>
      </c>
      <c r="BJ38" s="3">
        <v>1</v>
      </c>
      <c r="BL38" s="3">
        <v>1</v>
      </c>
      <c r="BW38" s="3">
        <v>1</v>
      </c>
      <c r="BX38" s="3">
        <v>1</v>
      </c>
      <c r="CB38" s="3">
        <v>1</v>
      </c>
      <c r="DE38" s="3">
        <v>1</v>
      </c>
      <c r="DG38" s="3">
        <v>1</v>
      </c>
      <c r="DL38" s="3">
        <v>1</v>
      </c>
      <c r="DR38" s="3">
        <v>1</v>
      </c>
      <c r="DV38" s="3">
        <v>1</v>
      </c>
      <c r="EI38" s="3">
        <v>1</v>
      </c>
      <c r="FA38" s="3">
        <v>1</v>
      </c>
      <c r="FG38" s="3">
        <v>1</v>
      </c>
      <c r="FR38" s="3">
        <v>1</v>
      </c>
      <c r="FS38" s="3">
        <v>1</v>
      </c>
    </row>
    <row r="39" spans="1:187" ht="13" x14ac:dyDescent="0.15">
      <c r="A39" s="13">
        <v>39192</v>
      </c>
      <c r="B39" s="3" t="s">
        <v>246</v>
      </c>
      <c r="C39" s="3">
        <v>21.2882</v>
      </c>
      <c r="D39" s="3">
        <v>-157.66799900000001</v>
      </c>
      <c r="E39" s="3" t="s">
        <v>197</v>
      </c>
      <c r="F39" s="14">
        <v>0</v>
      </c>
      <c r="G39" s="14">
        <v>4.1666666666666664E-2</v>
      </c>
      <c r="H39" s="3">
        <v>3</v>
      </c>
      <c r="I39" s="3">
        <v>20</v>
      </c>
      <c r="J39" s="3" t="s">
        <v>245</v>
      </c>
      <c r="K39" s="3">
        <v>7</v>
      </c>
      <c r="L39" s="3">
        <v>15</v>
      </c>
      <c r="M39" s="3" t="s">
        <v>254</v>
      </c>
      <c r="Q39" s="3">
        <v>1</v>
      </c>
      <c r="AA39" s="3">
        <v>1</v>
      </c>
      <c r="AL39" s="3">
        <v>1</v>
      </c>
      <c r="BA39" s="3">
        <v>1</v>
      </c>
      <c r="BE39" s="3">
        <v>1</v>
      </c>
      <c r="BG39" s="3">
        <v>1</v>
      </c>
      <c r="BJ39" s="3">
        <v>1</v>
      </c>
      <c r="BL39" s="3">
        <v>1</v>
      </c>
      <c r="BX39" s="3">
        <v>1</v>
      </c>
      <c r="CI39" s="3">
        <v>1</v>
      </c>
      <c r="DL39" s="3">
        <v>1</v>
      </c>
      <c r="DR39" s="3">
        <v>1</v>
      </c>
      <c r="EI39" s="3">
        <v>1</v>
      </c>
      <c r="EU39" s="3">
        <v>1</v>
      </c>
      <c r="EV39" s="3">
        <v>1</v>
      </c>
      <c r="FL39" s="3">
        <v>1</v>
      </c>
      <c r="FR39" s="3">
        <v>1</v>
      </c>
    </row>
    <row r="40" spans="1:187" ht="13" x14ac:dyDescent="0.15">
      <c r="A40" s="13">
        <v>39203</v>
      </c>
      <c r="B40" s="3" t="s">
        <v>230</v>
      </c>
      <c r="C40" s="3">
        <v>20.753699999999998</v>
      </c>
      <c r="D40" s="3">
        <v>-156.46090699999999</v>
      </c>
      <c r="E40" s="3" t="s">
        <v>197</v>
      </c>
      <c r="F40" s="14">
        <v>0</v>
      </c>
      <c r="G40" s="14">
        <v>4.1666666666666664E-2</v>
      </c>
      <c r="H40" s="3">
        <v>5</v>
      </c>
      <c r="I40" s="3">
        <v>18</v>
      </c>
      <c r="J40" s="3" t="s">
        <v>217</v>
      </c>
      <c r="K40" s="3">
        <v>10</v>
      </c>
      <c r="L40" s="3">
        <v>43</v>
      </c>
      <c r="M40" s="3" t="s">
        <v>255</v>
      </c>
      <c r="Q40" s="3">
        <v>1</v>
      </c>
      <c r="AW40" s="3">
        <v>1</v>
      </c>
      <c r="BA40" s="3">
        <v>1</v>
      </c>
      <c r="BG40" s="3">
        <v>1</v>
      </c>
      <c r="BL40" s="3">
        <v>1</v>
      </c>
      <c r="BW40" s="3">
        <v>1</v>
      </c>
      <c r="BY40" s="3">
        <v>1</v>
      </c>
      <c r="CB40" s="3">
        <v>1</v>
      </c>
      <c r="CI40" s="3">
        <v>1</v>
      </c>
      <c r="CT40" s="3">
        <v>1</v>
      </c>
      <c r="DE40" s="3">
        <v>1</v>
      </c>
      <c r="DL40" s="3">
        <v>1</v>
      </c>
      <c r="DV40" s="3">
        <v>1</v>
      </c>
      <c r="EI40" s="3">
        <v>1</v>
      </c>
      <c r="FA40" s="3">
        <v>1</v>
      </c>
      <c r="FE40" s="3">
        <v>1</v>
      </c>
      <c r="FR40" s="3">
        <v>1</v>
      </c>
      <c r="FS40" s="3">
        <v>1</v>
      </c>
      <c r="FU40" s="3">
        <v>1</v>
      </c>
      <c r="GD40" s="3">
        <v>1</v>
      </c>
      <c r="GE40" s="3">
        <v>1</v>
      </c>
    </row>
    <row r="41" spans="1:187" ht="13" x14ac:dyDescent="0.15">
      <c r="A41" s="13">
        <v>39203</v>
      </c>
      <c r="B41" s="3" t="s">
        <v>216</v>
      </c>
      <c r="C41" s="3">
        <v>21.3002</v>
      </c>
      <c r="D41" s="3">
        <v>-157.882599</v>
      </c>
      <c r="E41" s="3" t="s">
        <v>197</v>
      </c>
      <c r="F41" s="14">
        <v>0</v>
      </c>
      <c r="G41" s="14">
        <v>4.1666666666666664E-2</v>
      </c>
      <c r="H41" s="3">
        <v>4</v>
      </c>
      <c r="I41" s="3">
        <v>30</v>
      </c>
      <c r="J41" s="3" t="s">
        <v>227</v>
      </c>
      <c r="K41" s="3">
        <v>10</v>
      </c>
      <c r="L41" s="3">
        <v>36</v>
      </c>
      <c r="M41" s="3" t="s">
        <v>256</v>
      </c>
      <c r="Q41" s="3">
        <v>1</v>
      </c>
      <c r="AB41" s="3">
        <v>1</v>
      </c>
      <c r="AL41" s="3">
        <v>1</v>
      </c>
      <c r="BA41" s="3">
        <v>1</v>
      </c>
      <c r="BB41" s="3">
        <v>1</v>
      </c>
      <c r="BG41" s="3">
        <v>1</v>
      </c>
      <c r="BL41" s="3">
        <v>1</v>
      </c>
      <c r="CB41" s="3">
        <v>1</v>
      </c>
      <c r="CC41" s="3">
        <v>1</v>
      </c>
      <c r="CV41" s="3">
        <v>1</v>
      </c>
      <c r="DR41" s="3">
        <v>1</v>
      </c>
      <c r="DY41" s="3">
        <v>1</v>
      </c>
      <c r="EI41" s="3">
        <v>1</v>
      </c>
      <c r="FL41" s="3">
        <v>1</v>
      </c>
      <c r="FR41" s="3">
        <v>1</v>
      </c>
      <c r="GE41" s="3">
        <v>1</v>
      </c>
    </row>
    <row r="42" spans="1:187" ht="13" x14ac:dyDescent="0.15">
      <c r="A42" s="13">
        <v>39204</v>
      </c>
      <c r="B42" s="3" t="s">
        <v>219</v>
      </c>
      <c r="C42" s="3">
        <v>21.295798999999999</v>
      </c>
      <c r="D42" s="3">
        <v>-158.10369900000001</v>
      </c>
      <c r="E42" s="3" t="s">
        <v>197</v>
      </c>
      <c r="F42" s="14">
        <v>0</v>
      </c>
      <c r="G42" s="14">
        <v>4.1666666666666664E-2</v>
      </c>
      <c r="H42" s="3">
        <v>5</v>
      </c>
      <c r="I42" s="3">
        <v>30</v>
      </c>
      <c r="J42" s="3" t="s">
        <v>237</v>
      </c>
      <c r="K42" s="3">
        <v>7</v>
      </c>
      <c r="L42" s="3">
        <v>22</v>
      </c>
      <c r="M42" s="3" t="s">
        <v>257</v>
      </c>
      <c r="Q42" s="3">
        <v>1</v>
      </c>
      <c r="AE42" s="3">
        <v>1</v>
      </c>
      <c r="AL42" s="3">
        <v>1</v>
      </c>
      <c r="BA42" s="3">
        <v>1</v>
      </c>
      <c r="BC42" s="3">
        <v>1</v>
      </c>
      <c r="BL42" s="3">
        <v>1</v>
      </c>
      <c r="BV42" s="3">
        <v>1</v>
      </c>
      <c r="BW42" s="3">
        <v>1</v>
      </c>
      <c r="CN42" s="3">
        <v>1</v>
      </c>
      <c r="CR42" s="3">
        <v>1</v>
      </c>
      <c r="DL42" s="3">
        <v>1</v>
      </c>
      <c r="DR42" s="3">
        <v>1</v>
      </c>
      <c r="DY42" s="3">
        <v>1</v>
      </c>
      <c r="EB42" s="3">
        <v>1</v>
      </c>
      <c r="EC42" s="3">
        <v>1</v>
      </c>
      <c r="EI42" s="3">
        <v>1</v>
      </c>
      <c r="FA42" s="3">
        <v>1</v>
      </c>
      <c r="FB42" s="3">
        <v>1</v>
      </c>
      <c r="FD42" s="3">
        <v>1</v>
      </c>
      <c r="FG42" s="3">
        <v>1</v>
      </c>
      <c r="FR42" s="3">
        <v>1</v>
      </c>
      <c r="GE42" s="3">
        <v>1</v>
      </c>
    </row>
    <row r="43" spans="1:187" ht="13" x14ac:dyDescent="0.15">
      <c r="A43" s="13">
        <v>39206</v>
      </c>
      <c r="B43" s="3" t="s">
        <v>216</v>
      </c>
      <c r="C43" s="3">
        <v>21.3002</v>
      </c>
      <c r="D43" s="3">
        <v>-157.882599</v>
      </c>
      <c r="E43" s="3" t="s">
        <v>197</v>
      </c>
      <c r="F43" s="14">
        <v>0</v>
      </c>
      <c r="G43" s="14">
        <v>4.1666666666666664E-2</v>
      </c>
      <c r="H43" s="3">
        <v>4</v>
      </c>
      <c r="I43" s="3">
        <v>30</v>
      </c>
      <c r="J43" s="3" t="s">
        <v>237</v>
      </c>
      <c r="K43" s="3">
        <v>7</v>
      </c>
      <c r="L43" s="3">
        <v>20</v>
      </c>
      <c r="M43" s="3" t="s">
        <v>258</v>
      </c>
      <c r="Q43" s="3">
        <v>1</v>
      </c>
      <c r="AD43" s="3">
        <v>1</v>
      </c>
      <c r="AL43" s="3">
        <v>1</v>
      </c>
      <c r="AM43" s="3">
        <v>1</v>
      </c>
      <c r="BC43" s="3">
        <v>1</v>
      </c>
      <c r="BG43" s="3">
        <v>1</v>
      </c>
      <c r="BL43" s="3">
        <v>1</v>
      </c>
      <c r="BV43" s="3">
        <v>1</v>
      </c>
      <c r="CV43" s="3">
        <v>1</v>
      </c>
      <c r="DP43" s="3">
        <v>1</v>
      </c>
      <c r="DR43" s="3">
        <v>1</v>
      </c>
      <c r="EI43" s="3">
        <v>1</v>
      </c>
      <c r="FE43" s="3">
        <v>1</v>
      </c>
      <c r="FI43" s="3">
        <v>1</v>
      </c>
      <c r="FL43" s="3">
        <v>1</v>
      </c>
      <c r="FR43" s="3">
        <v>1</v>
      </c>
    </row>
    <row r="44" spans="1:187" ht="13" x14ac:dyDescent="0.15">
      <c r="A44" s="13">
        <v>39217</v>
      </c>
      <c r="B44" s="3" t="s">
        <v>259</v>
      </c>
      <c r="C44" s="3">
        <v>19.737894000000001</v>
      </c>
      <c r="D44" s="3">
        <v>-155.03405799999999</v>
      </c>
      <c r="E44" s="3" t="s">
        <v>197</v>
      </c>
      <c r="F44" s="14">
        <v>0</v>
      </c>
      <c r="G44" s="14">
        <v>4.1666666666666664E-2</v>
      </c>
      <c r="H44" s="3">
        <v>6</v>
      </c>
      <c r="I44" s="3">
        <v>18</v>
      </c>
      <c r="J44" s="3" t="s">
        <v>227</v>
      </c>
      <c r="K44" s="3">
        <v>7</v>
      </c>
      <c r="L44" s="3">
        <v>22</v>
      </c>
      <c r="M44" s="3" t="s">
        <v>260</v>
      </c>
      <c r="AJ44" s="3">
        <v>1</v>
      </c>
      <c r="BT44" s="3">
        <v>1</v>
      </c>
      <c r="BW44" s="3">
        <v>1</v>
      </c>
      <c r="CB44" s="3">
        <v>1</v>
      </c>
      <c r="CN44" s="3">
        <v>1</v>
      </c>
      <c r="DG44" s="3">
        <v>1</v>
      </c>
      <c r="EC44" s="3">
        <v>1</v>
      </c>
      <c r="EI44" s="3">
        <v>1</v>
      </c>
      <c r="FR44" s="3">
        <v>1</v>
      </c>
      <c r="GD44" s="3">
        <v>1</v>
      </c>
      <c r="GE44" s="3">
        <v>1</v>
      </c>
    </row>
    <row r="45" spans="1:187" ht="13" x14ac:dyDescent="0.15">
      <c r="A45" s="13">
        <v>39218</v>
      </c>
      <c r="B45" s="3" t="s">
        <v>216</v>
      </c>
      <c r="C45" s="3">
        <v>21.3002</v>
      </c>
      <c r="D45" s="3">
        <v>-157.882599</v>
      </c>
      <c r="E45" s="3" t="s">
        <v>197</v>
      </c>
      <c r="F45" s="14">
        <v>0</v>
      </c>
      <c r="G45" s="14">
        <v>4.1666666666666664E-2</v>
      </c>
      <c r="H45" s="3">
        <v>5</v>
      </c>
      <c r="I45" s="3">
        <v>30</v>
      </c>
      <c r="J45" s="3" t="s">
        <v>237</v>
      </c>
      <c r="K45" s="3">
        <v>7</v>
      </c>
      <c r="L45" s="3">
        <v>15</v>
      </c>
      <c r="M45" s="3" t="s">
        <v>261</v>
      </c>
      <c r="Q45" s="3">
        <v>1</v>
      </c>
      <c r="BC45" s="3">
        <v>1</v>
      </c>
      <c r="BJ45" s="3">
        <v>1</v>
      </c>
      <c r="BV45" s="3">
        <v>1</v>
      </c>
      <c r="DP45" s="3">
        <v>1</v>
      </c>
      <c r="DR45" s="3">
        <v>1</v>
      </c>
      <c r="EI45" s="3">
        <v>1</v>
      </c>
      <c r="FM45" s="3">
        <v>1</v>
      </c>
      <c r="FR45" s="3">
        <v>1</v>
      </c>
      <c r="GD45" s="3">
        <v>1</v>
      </c>
    </row>
    <row r="46" spans="1:187" ht="13" x14ac:dyDescent="0.15">
      <c r="A46" s="13">
        <v>39219</v>
      </c>
      <c r="B46" s="3" t="s">
        <v>247</v>
      </c>
      <c r="C46" s="3">
        <v>19.488199000000002</v>
      </c>
      <c r="D46" s="3">
        <v>-154.81930500000001</v>
      </c>
      <c r="E46" s="3" t="s">
        <v>197</v>
      </c>
      <c r="F46" s="14">
        <v>0</v>
      </c>
      <c r="G46" s="14">
        <v>4.1666666666666664E-2</v>
      </c>
      <c r="H46" s="3">
        <v>5</v>
      </c>
      <c r="I46" s="3">
        <v>20</v>
      </c>
      <c r="J46" s="3" t="s">
        <v>217</v>
      </c>
      <c r="K46" s="3">
        <v>10</v>
      </c>
      <c r="L46" s="3">
        <v>49</v>
      </c>
      <c r="M46" s="3" t="s">
        <v>262</v>
      </c>
      <c r="AL46" s="3">
        <v>1</v>
      </c>
      <c r="BJ46" s="3">
        <v>1</v>
      </c>
      <c r="BL46" s="3">
        <v>1</v>
      </c>
      <c r="BW46" s="3">
        <v>1</v>
      </c>
      <c r="CB46" s="3">
        <v>1</v>
      </c>
      <c r="CC46" s="3">
        <v>1</v>
      </c>
      <c r="DK46" s="3">
        <v>1</v>
      </c>
      <c r="DL46" s="3">
        <v>1</v>
      </c>
      <c r="DN46" s="3">
        <v>1</v>
      </c>
      <c r="DP46" s="3">
        <v>1</v>
      </c>
      <c r="DR46" s="3">
        <v>1</v>
      </c>
      <c r="DW46" s="3">
        <v>1</v>
      </c>
      <c r="EG46" s="3">
        <v>1</v>
      </c>
      <c r="EI46" s="3">
        <v>1</v>
      </c>
      <c r="EO46" s="3">
        <v>1</v>
      </c>
      <c r="EQ46" s="3">
        <v>1</v>
      </c>
      <c r="FF46" s="3">
        <v>1</v>
      </c>
      <c r="FL46" s="3">
        <v>1</v>
      </c>
      <c r="FR46" s="3">
        <v>1</v>
      </c>
      <c r="FU46" s="3">
        <v>1</v>
      </c>
      <c r="FW46" s="3"/>
      <c r="FX46" s="3">
        <v>1</v>
      </c>
      <c r="GD46" s="3">
        <v>1</v>
      </c>
      <c r="GE46" s="3">
        <v>1</v>
      </c>
    </row>
    <row r="47" spans="1:187" ht="13" x14ac:dyDescent="0.15">
      <c r="A47" s="13">
        <v>39220</v>
      </c>
      <c r="B47" s="3" t="s">
        <v>219</v>
      </c>
      <c r="C47" s="3">
        <v>21.295798999999999</v>
      </c>
      <c r="D47" s="3">
        <v>-158.10369900000001</v>
      </c>
      <c r="E47" s="3" t="s">
        <v>197</v>
      </c>
      <c r="F47" s="14">
        <v>0</v>
      </c>
      <c r="G47" s="14">
        <v>4.1666666666666664E-2</v>
      </c>
      <c r="H47" s="3">
        <v>5</v>
      </c>
      <c r="I47" s="3">
        <v>30</v>
      </c>
      <c r="J47" s="3" t="s">
        <v>237</v>
      </c>
      <c r="K47" s="3">
        <v>7</v>
      </c>
      <c r="L47" s="3">
        <v>28</v>
      </c>
      <c r="M47" s="3" t="s">
        <v>263</v>
      </c>
      <c r="Q47" s="3">
        <v>1</v>
      </c>
      <c r="AL47" s="3">
        <v>1</v>
      </c>
      <c r="BA47" s="3">
        <v>1</v>
      </c>
      <c r="BL47" s="3">
        <v>1</v>
      </c>
      <c r="BS47" s="3">
        <v>1</v>
      </c>
      <c r="BV47" s="3">
        <v>1</v>
      </c>
      <c r="BW47" s="3">
        <v>1</v>
      </c>
      <c r="CB47" s="3">
        <v>1</v>
      </c>
      <c r="DC47" s="3">
        <v>1</v>
      </c>
      <c r="DD47" s="3">
        <v>1</v>
      </c>
      <c r="DG47" s="3">
        <v>1</v>
      </c>
      <c r="DK47" s="3">
        <v>1</v>
      </c>
      <c r="DL47" s="3">
        <v>1</v>
      </c>
      <c r="DR47" s="3">
        <v>1</v>
      </c>
      <c r="DT47" s="3"/>
      <c r="DU47" s="3">
        <v>1</v>
      </c>
      <c r="EB47" s="3">
        <v>1</v>
      </c>
      <c r="EI47" s="3">
        <v>1</v>
      </c>
      <c r="EV47" s="3">
        <v>1</v>
      </c>
      <c r="FA47" s="3">
        <v>1</v>
      </c>
      <c r="FB47" s="3">
        <v>1</v>
      </c>
      <c r="FG47" s="3">
        <v>1</v>
      </c>
      <c r="FL47" s="3">
        <v>1</v>
      </c>
      <c r="FR47" s="3">
        <v>1</v>
      </c>
      <c r="GD47" s="3">
        <v>1</v>
      </c>
      <c r="GE47" s="3">
        <v>1</v>
      </c>
    </row>
    <row r="48" spans="1:187" ht="13" x14ac:dyDescent="0.15">
      <c r="A48" s="13">
        <v>39501</v>
      </c>
      <c r="B48" s="3" t="s">
        <v>250</v>
      </c>
      <c r="C48" s="3">
        <v>21.410399999999999</v>
      </c>
      <c r="D48" s="3">
        <v>-158.17770400000001</v>
      </c>
      <c r="E48" s="3" t="s">
        <v>197</v>
      </c>
      <c r="F48" s="14">
        <v>0</v>
      </c>
      <c r="G48" s="14">
        <v>4.1666666666666664E-2</v>
      </c>
      <c r="H48" s="3">
        <v>4</v>
      </c>
      <c r="I48" s="3">
        <v>21</v>
      </c>
      <c r="J48" s="3" t="s">
        <v>217</v>
      </c>
      <c r="K48" s="3">
        <v>11</v>
      </c>
      <c r="L48" s="3">
        <v>41</v>
      </c>
      <c r="M48" s="3" t="s">
        <v>264</v>
      </c>
      <c r="Q48" s="3">
        <v>1</v>
      </c>
      <c r="X48" s="3"/>
      <c r="Y48" s="3">
        <v>1</v>
      </c>
      <c r="AL48" s="3">
        <v>1</v>
      </c>
      <c r="AQ48" s="3">
        <v>1</v>
      </c>
      <c r="AW48" s="3">
        <v>1</v>
      </c>
      <c r="BG48" s="3">
        <v>1</v>
      </c>
      <c r="BL48" s="3">
        <v>1</v>
      </c>
      <c r="BP48" s="3">
        <v>1</v>
      </c>
      <c r="BU48" s="3">
        <v>1</v>
      </c>
      <c r="BY48" s="3">
        <v>1</v>
      </c>
      <c r="CB48" s="3">
        <v>1</v>
      </c>
      <c r="CC48" s="3">
        <v>1</v>
      </c>
      <c r="CI48" s="3">
        <v>1</v>
      </c>
      <c r="CJ48" s="3">
        <v>1</v>
      </c>
      <c r="DC48" s="3">
        <v>1</v>
      </c>
      <c r="DE48" s="3">
        <v>1</v>
      </c>
      <c r="DL48" s="3">
        <v>1</v>
      </c>
      <c r="DR48" s="3">
        <v>1</v>
      </c>
      <c r="EI48" s="3">
        <v>1</v>
      </c>
      <c r="EU48" s="3">
        <v>1</v>
      </c>
      <c r="FL48" s="3">
        <v>1</v>
      </c>
      <c r="FR48" s="3">
        <v>1</v>
      </c>
      <c r="FS48" s="3">
        <v>1</v>
      </c>
    </row>
    <row r="49" spans="1:194" ht="13" x14ac:dyDescent="0.15">
      <c r="A49" s="13">
        <v>42420</v>
      </c>
      <c r="B49" s="3" t="s">
        <v>216</v>
      </c>
      <c r="C49" s="3">
        <v>21.3002</v>
      </c>
      <c r="D49" s="3">
        <v>-157.882599</v>
      </c>
      <c r="E49" s="3" t="s">
        <v>197</v>
      </c>
      <c r="F49" s="14">
        <v>0.36388888888888887</v>
      </c>
      <c r="G49" s="14">
        <v>0.43055555555555558</v>
      </c>
      <c r="H49" s="3">
        <v>7</v>
      </c>
      <c r="I49" s="3">
        <v>25</v>
      </c>
      <c r="J49" s="3" t="s">
        <v>198</v>
      </c>
      <c r="K49" s="3">
        <v>13</v>
      </c>
      <c r="L49" s="3">
        <v>75</v>
      </c>
      <c r="M49" s="3" t="s">
        <v>265</v>
      </c>
      <c r="Q49" s="3">
        <v>1</v>
      </c>
      <c r="R49" s="3">
        <v>1</v>
      </c>
      <c r="AA49" s="3">
        <v>1</v>
      </c>
      <c r="AB49" s="3">
        <v>1</v>
      </c>
      <c r="AD49" s="3">
        <v>1</v>
      </c>
      <c r="AF49" s="3">
        <v>1</v>
      </c>
      <c r="AG49" s="3">
        <v>1</v>
      </c>
      <c r="AH49" s="3">
        <v>1</v>
      </c>
      <c r="AL49" s="3">
        <v>1</v>
      </c>
      <c r="AW49" s="3">
        <v>1</v>
      </c>
      <c r="BD49" s="3">
        <v>1</v>
      </c>
      <c r="BJ49" s="3">
        <v>1</v>
      </c>
      <c r="BL49" s="3">
        <v>1</v>
      </c>
      <c r="BM49" s="3">
        <v>1</v>
      </c>
      <c r="BP49" s="3">
        <v>1</v>
      </c>
      <c r="BU49" s="3">
        <v>1</v>
      </c>
      <c r="BY49" s="3">
        <v>1</v>
      </c>
      <c r="CB49" s="3">
        <v>1</v>
      </c>
      <c r="CU49" s="3">
        <v>1</v>
      </c>
      <c r="CV49" s="3">
        <v>1</v>
      </c>
      <c r="CW49" s="3">
        <v>1</v>
      </c>
      <c r="DF49" s="3">
        <v>1</v>
      </c>
      <c r="DM49" s="3">
        <v>1</v>
      </c>
      <c r="DN49" s="3">
        <v>1</v>
      </c>
      <c r="DP49" s="3">
        <v>1</v>
      </c>
      <c r="EB49" s="3">
        <v>1</v>
      </c>
      <c r="EI49" s="3">
        <v>1</v>
      </c>
      <c r="FC49" s="3"/>
      <c r="FE49" s="3">
        <v>1</v>
      </c>
      <c r="FI49" s="3"/>
      <c r="FJ49" s="3"/>
      <c r="FK49" s="3">
        <v>1</v>
      </c>
      <c r="FP49" s="3">
        <v>1</v>
      </c>
      <c r="FR49" s="3">
        <v>1</v>
      </c>
      <c r="FT49" s="3">
        <v>1</v>
      </c>
    </row>
    <row r="50" spans="1:194" ht="13" x14ac:dyDescent="0.15">
      <c r="A50" s="13">
        <v>42427</v>
      </c>
      <c r="B50" s="3" t="s">
        <v>266</v>
      </c>
      <c r="C50" s="3">
        <v>22.060683999999998</v>
      </c>
      <c r="D50" s="3">
        <v>-159.318512</v>
      </c>
      <c r="E50" s="3" t="s">
        <v>197</v>
      </c>
      <c r="F50" s="14">
        <v>0.4826388888888889</v>
      </c>
      <c r="G50" s="14">
        <v>0.54166666666666663</v>
      </c>
      <c r="H50" s="3">
        <v>3</v>
      </c>
      <c r="I50" s="3">
        <v>16</v>
      </c>
      <c r="J50" s="3" t="s">
        <v>198</v>
      </c>
      <c r="K50" s="3">
        <v>15</v>
      </c>
      <c r="L50" s="3">
        <v>40</v>
      </c>
      <c r="M50" s="3" t="s">
        <v>267</v>
      </c>
      <c r="Q50" s="3">
        <v>1</v>
      </c>
      <c r="S50" s="3">
        <v>1</v>
      </c>
      <c r="V50" s="3"/>
      <c r="W50" s="3">
        <v>1</v>
      </c>
      <c r="AA50" s="3">
        <v>1</v>
      </c>
      <c r="AB50" s="3">
        <v>1</v>
      </c>
      <c r="AC50" s="3">
        <v>1</v>
      </c>
      <c r="AF50" s="3">
        <v>1</v>
      </c>
      <c r="AH50" s="3">
        <v>1</v>
      </c>
      <c r="AL50" s="3">
        <v>1</v>
      </c>
      <c r="AW50" s="3">
        <v>1</v>
      </c>
      <c r="BA50" s="3">
        <v>1</v>
      </c>
      <c r="BM50" s="3">
        <v>1</v>
      </c>
      <c r="BU50" s="3">
        <v>1</v>
      </c>
      <c r="DF50" s="3">
        <v>1</v>
      </c>
      <c r="DL50" s="3">
        <v>1</v>
      </c>
      <c r="DN50" s="3">
        <v>1</v>
      </c>
      <c r="DT50" s="3"/>
      <c r="DU50" s="3">
        <v>1</v>
      </c>
      <c r="EI50" s="3">
        <v>1</v>
      </c>
      <c r="EM50" s="3">
        <v>1</v>
      </c>
      <c r="FA50" s="3">
        <v>1</v>
      </c>
      <c r="FH50" s="3">
        <v>1</v>
      </c>
      <c r="FQ50" s="3">
        <v>1</v>
      </c>
      <c r="FR50" s="3">
        <v>1</v>
      </c>
      <c r="FW50" s="3"/>
      <c r="FX50" s="3">
        <v>1</v>
      </c>
    </row>
    <row r="51" spans="1:194" ht="13" x14ac:dyDescent="0.15">
      <c r="A51" s="13">
        <v>42428</v>
      </c>
      <c r="B51" s="3" t="s">
        <v>266</v>
      </c>
      <c r="C51" s="3">
        <v>22.060683999999998</v>
      </c>
      <c r="D51" s="3">
        <v>-159.318512</v>
      </c>
      <c r="E51" s="3" t="s">
        <v>197</v>
      </c>
      <c r="F51" s="14">
        <v>0.48958333333333331</v>
      </c>
      <c r="G51" s="14">
        <v>0.5625</v>
      </c>
      <c r="H51" s="3">
        <v>3</v>
      </c>
      <c r="I51" s="3">
        <v>21</v>
      </c>
      <c r="J51" s="3" t="s">
        <v>198</v>
      </c>
      <c r="K51" s="3">
        <v>15</v>
      </c>
      <c r="L51" s="3">
        <v>43</v>
      </c>
      <c r="M51" s="3" t="s">
        <v>268</v>
      </c>
      <c r="Q51" s="3">
        <v>1</v>
      </c>
      <c r="S51" s="3">
        <v>1</v>
      </c>
      <c r="AA51" s="3">
        <v>1</v>
      </c>
      <c r="AC51" s="3">
        <v>1</v>
      </c>
      <c r="AL51" s="3">
        <v>1</v>
      </c>
      <c r="AW51" s="3">
        <v>1</v>
      </c>
      <c r="AY51" s="3">
        <v>1</v>
      </c>
      <c r="BA51" s="3">
        <v>1</v>
      </c>
      <c r="BL51" s="3">
        <v>1</v>
      </c>
      <c r="BM51" s="3">
        <v>1</v>
      </c>
      <c r="BN51" s="3"/>
      <c r="BO51" s="3">
        <v>1</v>
      </c>
      <c r="BP51" s="3">
        <v>1</v>
      </c>
      <c r="BU51" s="3">
        <v>1</v>
      </c>
      <c r="BY51" s="3">
        <v>1</v>
      </c>
      <c r="CJ51" s="3">
        <v>1</v>
      </c>
      <c r="DF51" s="3">
        <v>1</v>
      </c>
      <c r="DL51" s="3">
        <v>1</v>
      </c>
      <c r="DT51" s="3"/>
      <c r="DU51" s="3">
        <v>1</v>
      </c>
      <c r="EI51" s="3">
        <v>1</v>
      </c>
      <c r="FA51" s="3">
        <v>1</v>
      </c>
      <c r="FB51" s="3">
        <v>1</v>
      </c>
      <c r="FQ51" s="3">
        <v>1</v>
      </c>
      <c r="FR51" s="3">
        <v>1</v>
      </c>
    </row>
    <row r="52" spans="1:194" ht="13" x14ac:dyDescent="0.15">
      <c r="A52" s="19">
        <v>42428</v>
      </c>
      <c r="B52" s="20" t="s">
        <v>201</v>
      </c>
      <c r="C52" s="20">
        <v>21.25544</v>
      </c>
      <c r="D52" s="20">
        <v>-157.810303</v>
      </c>
      <c r="E52" s="20" t="s">
        <v>197</v>
      </c>
      <c r="F52" s="21"/>
      <c r="G52" s="21"/>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c r="DV52" s="20"/>
      <c r="DW52" s="20"/>
      <c r="DX52" s="20"/>
      <c r="DY52" s="20"/>
      <c r="DZ52" s="20"/>
      <c r="EA52" s="20"/>
      <c r="EB52" s="20"/>
      <c r="EC52" s="20"/>
      <c r="ED52" s="20"/>
      <c r="EE52" s="20"/>
      <c r="EF52" s="20"/>
      <c r="EG52" s="20"/>
      <c r="EH52" s="20"/>
      <c r="EI52" s="20"/>
      <c r="EJ52" s="20"/>
      <c r="EK52" s="20"/>
      <c r="EL52" s="20"/>
      <c r="EM52" s="20"/>
      <c r="EN52" s="20"/>
      <c r="EO52" s="20"/>
      <c r="EP52" s="20"/>
      <c r="EQ52" s="20"/>
      <c r="ER52" s="20"/>
      <c r="ES52" s="20"/>
      <c r="ET52" s="20"/>
      <c r="EU52" s="20"/>
      <c r="EV52" s="20"/>
      <c r="EW52" s="20"/>
      <c r="EX52" s="20"/>
      <c r="EY52" s="20"/>
      <c r="EZ52" s="20"/>
      <c r="FA52" s="20"/>
      <c r="FB52" s="20"/>
      <c r="FC52" s="20"/>
      <c r="FD52" s="20"/>
      <c r="FE52" s="20"/>
      <c r="FF52" s="20"/>
      <c r="FG52" s="20"/>
      <c r="FH52" s="20"/>
      <c r="FI52" s="20"/>
      <c r="FJ52" s="20"/>
      <c r="FK52" s="20"/>
      <c r="FL52" s="20"/>
      <c r="FM52" s="20"/>
      <c r="FN52" s="20"/>
      <c r="FO52" s="20"/>
      <c r="FP52" s="20"/>
      <c r="FQ52" s="20"/>
      <c r="FR52" s="20"/>
      <c r="FS52" s="20"/>
      <c r="FT52" s="20"/>
      <c r="FU52" s="20"/>
      <c r="FV52" s="20"/>
      <c r="FW52" s="20"/>
      <c r="FX52" s="20"/>
      <c r="FY52" s="20"/>
      <c r="FZ52" s="20"/>
      <c r="GA52" s="20"/>
      <c r="GB52" s="20"/>
      <c r="GC52" s="20"/>
      <c r="GD52" s="20"/>
      <c r="GE52" s="20"/>
      <c r="GF52" s="20"/>
      <c r="GG52" s="20"/>
      <c r="GH52" s="20"/>
      <c r="GI52" s="20"/>
      <c r="GJ52" s="20"/>
      <c r="GK52" s="20"/>
      <c r="GL52" s="20"/>
    </row>
    <row r="53" spans="1:194" ht="13" x14ac:dyDescent="0.15">
      <c r="A53" s="19">
        <v>42435</v>
      </c>
      <c r="B53" s="20" t="s">
        <v>216</v>
      </c>
      <c r="C53" s="20">
        <v>21.3002</v>
      </c>
      <c r="D53" s="20">
        <v>-157.882599</v>
      </c>
      <c r="E53" s="20" t="s">
        <v>197</v>
      </c>
      <c r="F53" s="21"/>
      <c r="G53" s="21"/>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20"/>
      <c r="DM53" s="20"/>
      <c r="DN53" s="20"/>
      <c r="DO53" s="20"/>
      <c r="DP53" s="20"/>
      <c r="DQ53" s="20"/>
      <c r="DR53" s="20"/>
      <c r="DS53" s="20"/>
      <c r="DT53" s="20"/>
      <c r="DU53" s="20"/>
      <c r="DV53" s="20"/>
      <c r="DW53" s="20"/>
      <c r="DX53" s="20"/>
      <c r="DY53" s="20"/>
      <c r="DZ53" s="20"/>
      <c r="EA53" s="20"/>
      <c r="EB53" s="20"/>
      <c r="EC53" s="20"/>
      <c r="ED53" s="20"/>
      <c r="EE53" s="20"/>
      <c r="EF53" s="20"/>
      <c r="EG53" s="20"/>
      <c r="EH53" s="20"/>
      <c r="EI53" s="20"/>
      <c r="EJ53" s="20"/>
      <c r="EK53" s="20"/>
      <c r="EL53" s="20"/>
      <c r="EM53" s="20"/>
      <c r="EN53" s="20"/>
      <c r="EO53" s="20"/>
      <c r="EP53" s="20"/>
      <c r="EQ53" s="20"/>
      <c r="ER53" s="20"/>
      <c r="ES53" s="20"/>
      <c r="ET53" s="20"/>
      <c r="EU53" s="20"/>
      <c r="EV53" s="20"/>
      <c r="EW53" s="20"/>
      <c r="EX53" s="20"/>
      <c r="EY53" s="20"/>
      <c r="EZ53" s="20"/>
      <c r="FA53" s="20"/>
      <c r="FB53" s="20"/>
      <c r="FC53" s="20"/>
      <c r="FD53" s="20"/>
      <c r="FE53" s="20"/>
      <c r="FF53" s="20"/>
      <c r="FG53" s="20"/>
      <c r="FH53" s="20"/>
      <c r="FI53" s="20"/>
      <c r="FJ53" s="20"/>
      <c r="FK53" s="20"/>
      <c r="FL53" s="20"/>
      <c r="FM53" s="20"/>
      <c r="FN53" s="20"/>
      <c r="FO53" s="20"/>
      <c r="FP53" s="20"/>
      <c r="FQ53" s="20"/>
      <c r="FR53" s="20"/>
      <c r="FS53" s="20"/>
      <c r="FT53" s="20"/>
      <c r="FU53" s="20"/>
      <c r="FV53" s="20"/>
      <c r="FW53" s="20"/>
      <c r="FX53" s="20"/>
      <c r="FY53" s="20"/>
      <c r="FZ53" s="20"/>
      <c r="GA53" s="20"/>
      <c r="GB53" s="20"/>
      <c r="GC53" s="20"/>
      <c r="GD53" s="20"/>
      <c r="GE53" s="20"/>
      <c r="GF53" s="20"/>
      <c r="GG53" s="20"/>
      <c r="GH53" s="20"/>
      <c r="GI53" s="20"/>
      <c r="GJ53" s="20"/>
      <c r="GK53" s="20"/>
      <c r="GL53" s="20"/>
    </row>
    <row r="54" spans="1:194" ht="13" x14ac:dyDescent="0.15">
      <c r="A54" s="24">
        <v>42437</v>
      </c>
      <c r="B54" s="25" t="s">
        <v>219</v>
      </c>
      <c r="C54" s="25">
        <v>21.295798999999999</v>
      </c>
      <c r="D54" s="25">
        <v>-158.10369900000001</v>
      </c>
      <c r="E54" s="25" t="s">
        <v>269</v>
      </c>
      <c r="F54" s="26">
        <v>0.4201388888888889</v>
      </c>
      <c r="G54" s="26">
        <v>0.47222222222222221</v>
      </c>
      <c r="H54" s="25">
        <v>7</v>
      </c>
      <c r="I54" s="25">
        <v>20</v>
      </c>
      <c r="J54" s="25" t="s">
        <v>198</v>
      </c>
      <c r="K54" s="25">
        <v>8</v>
      </c>
      <c r="L54" s="25">
        <v>44</v>
      </c>
      <c r="M54" s="25" t="s">
        <v>270</v>
      </c>
      <c r="N54" s="25"/>
      <c r="O54" s="25"/>
      <c r="P54" s="25"/>
      <c r="Q54" s="25">
        <v>1</v>
      </c>
      <c r="R54" s="25"/>
      <c r="S54" s="25"/>
      <c r="T54" s="25"/>
      <c r="U54" s="25"/>
      <c r="V54" s="25">
        <v>1</v>
      </c>
      <c r="W54" s="25"/>
      <c r="X54" s="25"/>
      <c r="Y54" s="25"/>
      <c r="Z54" s="25"/>
      <c r="AA54" s="25"/>
      <c r="AB54" s="25">
        <v>1</v>
      </c>
      <c r="AC54" s="25"/>
      <c r="AD54" s="25"/>
      <c r="AE54" s="25"/>
      <c r="AF54" s="25"/>
      <c r="AG54" s="25"/>
      <c r="AH54" s="25"/>
      <c r="AI54" s="25"/>
      <c r="AJ54" s="25"/>
      <c r="AK54" s="25"/>
      <c r="AL54" s="25">
        <v>1</v>
      </c>
      <c r="AM54" s="25"/>
      <c r="AN54" s="25"/>
      <c r="AO54" s="25"/>
      <c r="AP54" s="25"/>
      <c r="AQ54" s="25"/>
      <c r="AR54" s="25"/>
      <c r="AS54" s="25"/>
      <c r="AT54" s="25"/>
      <c r="AU54" s="25"/>
      <c r="AV54" s="25"/>
      <c r="AW54" s="25"/>
      <c r="AX54" s="25"/>
      <c r="AY54" s="25"/>
      <c r="AZ54" s="25"/>
      <c r="BA54" s="25"/>
      <c r="BB54" s="25"/>
      <c r="BC54" s="25"/>
      <c r="BD54" s="25">
        <v>1</v>
      </c>
      <c r="BE54" s="25"/>
      <c r="BF54" s="25"/>
      <c r="BG54" s="25"/>
      <c r="BH54" s="25"/>
      <c r="BI54" s="25"/>
      <c r="BJ54" s="25">
        <v>1</v>
      </c>
      <c r="BK54" s="25"/>
      <c r="BL54" s="25">
        <v>1</v>
      </c>
      <c r="BM54" s="25"/>
      <c r="BN54" s="25"/>
      <c r="BO54" s="25"/>
      <c r="BP54" s="25"/>
      <c r="BQ54" s="25"/>
      <c r="BR54" s="25"/>
      <c r="BS54" s="25"/>
      <c r="BT54" s="25"/>
      <c r="BU54" s="25">
        <v>1</v>
      </c>
      <c r="BV54" s="25"/>
      <c r="BW54" s="25"/>
      <c r="BX54" s="25"/>
      <c r="BY54" s="25">
        <v>1</v>
      </c>
      <c r="BZ54" s="25"/>
      <c r="CA54" s="25"/>
      <c r="CB54" s="25"/>
      <c r="CC54" s="25"/>
      <c r="CD54" s="25"/>
      <c r="CE54" s="25"/>
      <c r="CF54" s="25"/>
      <c r="CG54" s="25"/>
      <c r="CH54" s="25"/>
      <c r="CI54" s="25"/>
      <c r="CJ54" s="25"/>
      <c r="CK54" s="25"/>
      <c r="CL54" s="25"/>
      <c r="CM54" s="25"/>
      <c r="CN54" s="25">
        <v>1</v>
      </c>
      <c r="CO54" s="25"/>
      <c r="CP54" s="25"/>
      <c r="CQ54" s="25"/>
      <c r="CR54" s="25"/>
      <c r="CS54" s="25"/>
      <c r="CT54" s="25"/>
      <c r="CU54" s="25"/>
      <c r="CV54" s="25"/>
      <c r="CW54" s="25"/>
      <c r="CX54" s="25"/>
      <c r="CY54" s="25"/>
      <c r="CZ54" s="25"/>
      <c r="DA54" s="25"/>
      <c r="DB54" s="25"/>
      <c r="DC54" s="25"/>
      <c r="DD54" s="25"/>
      <c r="DE54" s="25"/>
      <c r="DF54" s="25">
        <v>1</v>
      </c>
      <c r="DG54" s="25"/>
      <c r="DH54" s="25"/>
      <c r="DI54" s="25"/>
      <c r="DJ54" s="25"/>
      <c r="DK54" s="25"/>
      <c r="DL54" s="25">
        <v>1</v>
      </c>
      <c r="DM54" s="25"/>
      <c r="DN54" s="25"/>
      <c r="DO54" s="25"/>
      <c r="DP54" s="25"/>
      <c r="DQ54" s="25"/>
      <c r="DR54" s="25"/>
      <c r="DS54" s="25"/>
      <c r="DT54" s="25"/>
      <c r="DU54" s="25"/>
      <c r="DV54" s="25"/>
      <c r="DW54" s="25"/>
      <c r="DX54" s="25"/>
      <c r="DY54" s="25">
        <v>1</v>
      </c>
      <c r="DZ54" s="25"/>
      <c r="EA54" s="25"/>
      <c r="EB54" s="25"/>
      <c r="EC54" s="25"/>
      <c r="ED54" s="25"/>
      <c r="EE54" s="25"/>
      <c r="EF54" s="25"/>
      <c r="EG54" s="25"/>
      <c r="EH54" s="25"/>
      <c r="EI54" s="25">
        <v>1</v>
      </c>
      <c r="EJ54" s="25"/>
      <c r="EK54" s="25"/>
      <c r="EL54" s="25"/>
      <c r="EM54" s="25"/>
      <c r="EN54" s="25"/>
      <c r="EO54" s="25"/>
      <c r="EP54" s="25"/>
      <c r="EQ54" s="25"/>
      <c r="ER54" s="25"/>
      <c r="ES54" s="25"/>
      <c r="ET54" s="25"/>
      <c r="EU54" s="25"/>
      <c r="EV54" s="25"/>
      <c r="EW54" s="25"/>
      <c r="EX54" s="25"/>
      <c r="EY54" s="25"/>
      <c r="EZ54" s="25"/>
      <c r="FA54" s="25">
        <v>1</v>
      </c>
      <c r="FB54" s="25"/>
      <c r="FC54" s="25"/>
      <c r="FD54" s="25"/>
      <c r="FE54" s="25">
        <v>1</v>
      </c>
      <c r="FF54" s="25"/>
      <c r="FG54" s="25"/>
      <c r="FH54" s="25"/>
      <c r="FI54" s="25"/>
      <c r="FJ54" s="25"/>
      <c r="FK54" s="25"/>
      <c r="FL54" s="25"/>
      <c r="FM54" s="25"/>
      <c r="FN54" s="25"/>
      <c r="FO54" s="25"/>
      <c r="FP54" s="25"/>
      <c r="FQ54" s="25">
        <v>1</v>
      </c>
      <c r="FR54" s="25">
        <v>1</v>
      </c>
      <c r="FS54" s="25">
        <v>1</v>
      </c>
      <c r="FT54" s="25"/>
      <c r="FU54" s="25"/>
      <c r="FV54" s="25"/>
      <c r="FW54" s="25"/>
      <c r="FX54" s="25"/>
      <c r="FY54" s="25"/>
      <c r="FZ54" s="25"/>
      <c r="GA54" s="25"/>
      <c r="GB54" s="25"/>
      <c r="GC54" s="25"/>
      <c r="GD54" s="25"/>
      <c r="GE54" s="25"/>
      <c r="GF54" s="25"/>
      <c r="GG54" s="25"/>
    </row>
    <row r="55" spans="1:194" ht="13" x14ac:dyDescent="0.15">
      <c r="A55" s="13">
        <v>42439</v>
      </c>
      <c r="B55" s="3" t="s">
        <v>216</v>
      </c>
      <c r="C55" s="3">
        <v>21.3002</v>
      </c>
      <c r="D55" s="3">
        <v>-157.882599</v>
      </c>
      <c r="E55" s="3" t="s">
        <v>272</v>
      </c>
      <c r="F55" s="14">
        <v>0.43194444444444446</v>
      </c>
      <c r="G55" s="14">
        <v>0.47986111111111113</v>
      </c>
      <c r="H55" s="3">
        <v>7</v>
      </c>
      <c r="I55" s="3">
        <v>21</v>
      </c>
      <c r="J55" s="3" t="s">
        <v>198</v>
      </c>
      <c r="K55" s="3">
        <v>6</v>
      </c>
      <c r="L55" s="3">
        <v>36</v>
      </c>
      <c r="M55" s="3" t="s">
        <v>273</v>
      </c>
      <c r="AI55" s="3"/>
      <c r="AJ55" s="3">
        <v>1</v>
      </c>
      <c r="AK55" s="3">
        <v>1</v>
      </c>
      <c r="AL55" s="3">
        <v>1</v>
      </c>
      <c r="BD55" s="3">
        <v>1</v>
      </c>
      <c r="BL55" s="3">
        <v>1</v>
      </c>
      <c r="BM55" s="3">
        <v>1</v>
      </c>
      <c r="BP55" s="3">
        <v>1</v>
      </c>
      <c r="BU55" s="3">
        <v>1</v>
      </c>
      <c r="CC55" s="3">
        <v>1</v>
      </c>
      <c r="CJ55" s="3">
        <v>1</v>
      </c>
      <c r="CP55" s="3">
        <v>1</v>
      </c>
      <c r="DF55" s="3">
        <v>1</v>
      </c>
      <c r="DH55" s="3">
        <v>1</v>
      </c>
      <c r="DP55" s="3">
        <v>1</v>
      </c>
      <c r="EI55" s="3">
        <v>1</v>
      </c>
      <c r="ET55" s="3">
        <v>1</v>
      </c>
      <c r="FA55" s="3">
        <v>1</v>
      </c>
      <c r="FC55" s="3"/>
      <c r="FE55" s="3">
        <v>1</v>
      </c>
      <c r="FI55" s="3"/>
      <c r="FJ55" s="3">
        <v>1</v>
      </c>
      <c r="FK55" s="3">
        <v>1</v>
      </c>
      <c r="FR55" s="3">
        <v>1</v>
      </c>
    </row>
    <row r="56" spans="1:194" ht="13" x14ac:dyDescent="0.15">
      <c r="A56" s="13">
        <v>42439</v>
      </c>
      <c r="B56" s="3" t="s">
        <v>266</v>
      </c>
      <c r="C56" s="3">
        <v>22.060683999999998</v>
      </c>
      <c r="D56" s="3">
        <v>-159.318512</v>
      </c>
      <c r="E56" s="3" t="s">
        <v>274</v>
      </c>
      <c r="F56" s="14">
        <v>0.375</v>
      </c>
      <c r="G56" s="14">
        <v>0.54166666666666663</v>
      </c>
      <c r="H56" s="3">
        <v>4</v>
      </c>
      <c r="I56" s="3">
        <v>11</v>
      </c>
      <c r="J56" s="3" t="s">
        <v>198</v>
      </c>
      <c r="K56" s="3">
        <v>10</v>
      </c>
      <c r="L56" s="3">
        <v>23</v>
      </c>
      <c r="M56" s="3" t="s">
        <v>275</v>
      </c>
      <c r="Q56" s="3">
        <v>1</v>
      </c>
      <c r="AB56" s="3">
        <v>1</v>
      </c>
      <c r="AK56" s="3">
        <v>1</v>
      </c>
      <c r="AL56" s="3">
        <v>1</v>
      </c>
      <c r="AM56" s="3">
        <v>1</v>
      </c>
      <c r="AT56" s="3">
        <v>1</v>
      </c>
      <c r="BD56" s="3">
        <v>1</v>
      </c>
      <c r="BG56" s="3">
        <v>1</v>
      </c>
      <c r="BJ56" s="3">
        <v>1</v>
      </c>
      <c r="BL56" s="3">
        <v>1</v>
      </c>
      <c r="BU56" s="3">
        <v>1</v>
      </c>
      <c r="CR56" s="3">
        <v>1</v>
      </c>
      <c r="DF56" s="3">
        <v>1</v>
      </c>
      <c r="DL56" s="3">
        <v>1</v>
      </c>
      <c r="DT56" s="3"/>
      <c r="DU56" s="3">
        <v>1</v>
      </c>
      <c r="EI56" s="3">
        <v>1</v>
      </c>
      <c r="EW56" s="3">
        <v>1</v>
      </c>
      <c r="FA56" s="3">
        <v>1</v>
      </c>
      <c r="FN56" s="3"/>
      <c r="FO56" s="3">
        <v>1</v>
      </c>
      <c r="FQ56" s="3">
        <v>1</v>
      </c>
      <c r="FR56" s="3">
        <v>1</v>
      </c>
    </row>
    <row r="57" spans="1:194" ht="13" x14ac:dyDescent="0.15">
      <c r="A57" s="13">
        <v>42440</v>
      </c>
      <c r="B57" s="3" t="s">
        <v>246</v>
      </c>
      <c r="C57" s="3">
        <v>21.2882</v>
      </c>
      <c r="D57" s="3">
        <v>-157.66799900000001</v>
      </c>
      <c r="E57" s="3" t="s">
        <v>274</v>
      </c>
      <c r="F57" s="14">
        <v>0.42708333333333331</v>
      </c>
      <c r="G57" s="14">
        <v>0.47916666666666669</v>
      </c>
      <c r="H57" s="3">
        <v>5</v>
      </c>
      <c r="I57" s="3">
        <v>13</v>
      </c>
      <c r="J57" s="3" t="s">
        <v>198</v>
      </c>
      <c r="K57" s="3">
        <v>5</v>
      </c>
      <c r="L57" s="3">
        <v>18</v>
      </c>
      <c r="M57" s="3" t="s">
        <v>276</v>
      </c>
      <c r="AA57" s="3">
        <v>1</v>
      </c>
      <c r="BA57" s="3">
        <v>1</v>
      </c>
      <c r="BL57" s="3">
        <v>1</v>
      </c>
      <c r="BY57" s="3">
        <v>1</v>
      </c>
      <c r="DL57" s="3">
        <v>1</v>
      </c>
      <c r="EI57" s="3">
        <v>1</v>
      </c>
      <c r="FQ57" s="3">
        <v>1</v>
      </c>
      <c r="FR57" s="3">
        <v>1</v>
      </c>
      <c r="FU57" s="3"/>
      <c r="FV57" s="3">
        <v>1</v>
      </c>
    </row>
    <row r="58" spans="1:194" ht="13" x14ac:dyDescent="0.15">
      <c r="A58" s="13">
        <v>42443</v>
      </c>
      <c r="B58" s="3" t="s">
        <v>230</v>
      </c>
      <c r="C58" s="3">
        <v>20.753699999999998</v>
      </c>
      <c r="D58" s="3">
        <v>-156.46090699999999</v>
      </c>
      <c r="E58" s="3" t="s">
        <v>197</v>
      </c>
      <c r="F58" s="14">
        <v>0.55208333333333337</v>
      </c>
      <c r="G58" s="14">
        <v>0.625</v>
      </c>
      <c r="H58" s="3">
        <v>3</v>
      </c>
      <c r="I58" s="3">
        <v>15</v>
      </c>
      <c r="J58" s="3" t="s">
        <v>277</v>
      </c>
      <c r="K58" s="3">
        <v>10</v>
      </c>
      <c r="L58" s="3">
        <v>30</v>
      </c>
      <c r="Q58" s="3">
        <v>1</v>
      </c>
      <c r="AL58" s="3">
        <v>1</v>
      </c>
      <c r="BL58" s="3">
        <v>1</v>
      </c>
      <c r="BM58" s="3">
        <v>1</v>
      </c>
      <c r="CN58" s="3">
        <v>1</v>
      </c>
      <c r="DL58" s="3">
        <v>1</v>
      </c>
      <c r="EW58" s="3">
        <v>1</v>
      </c>
      <c r="FN58" s="3"/>
      <c r="FO58" s="3">
        <v>1</v>
      </c>
      <c r="FP58" s="3">
        <v>1</v>
      </c>
      <c r="FR58" s="3">
        <v>1</v>
      </c>
      <c r="FS58" s="3">
        <v>1</v>
      </c>
    </row>
    <row r="59" spans="1:194" ht="13" x14ac:dyDescent="0.15">
      <c r="A59" s="13">
        <v>42464</v>
      </c>
      <c r="B59" s="3" t="s">
        <v>244</v>
      </c>
      <c r="C59" s="3">
        <v>21.310611999999999</v>
      </c>
      <c r="D59" s="3">
        <v>-158.00441000000001</v>
      </c>
      <c r="E59" s="3" t="s">
        <v>278</v>
      </c>
      <c r="F59" s="14">
        <v>0.375</v>
      </c>
      <c r="G59" s="14">
        <v>0.45833333333333331</v>
      </c>
      <c r="H59" s="3">
        <v>5</v>
      </c>
      <c r="I59" s="3">
        <v>12</v>
      </c>
      <c r="J59" s="3" t="s">
        <v>198</v>
      </c>
      <c r="K59" s="3">
        <v>6</v>
      </c>
      <c r="L59" s="3">
        <v>26</v>
      </c>
      <c r="M59" s="3" t="s">
        <v>279</v>
      </c>
      <c r="Q59" s="3">
        <v>1</v>
      </c>
      <c r="S59" s="3">
        <v>1</v>
      </c>
      <c r="BL59" s="3">
        <v>1</v>
      </c>
      <c r="BU59" s="3">
        <v>1</v>
      </c>
      <c r="BY59" s="3">
        <v>1</v>
      </c>
      <c r="CF59" s="3"/>
      <c r="CG59" s="3">
        <v>1</v>
      </c>
      <c r="CR59" s="3">
        <v>1</v>
      </c>
      <c r="DF59" s="3">
        <v>1</v>
      </c>
      <c r="DL59" s="3">
        <v>1</v>
      </c>
      <c r="DT59" s="3"/>
      <c r="DU59" s="3">
        <v>1</v>
      </c>
      <c r="EI59" s="3">
        <v>1</v>
      </c>
      <c r="FA59" s="3">
        <v>1</v>
      </c>
      <c r="FR59" s="3">
        <v>1</v>
      </c>
    </row>
    <row r="60" spans="1:194" ht="13" x14ac:dyDescent="0.15">
      <c r="A60" s="24">
        <v>42465</v>
      </c>
      <c r="B60" s="25" t="s">
        <v>280</v>
      </c>
      <c r="C60" s="25">
        <v>19.638598999999999</v>
      </c>
      <c r="D60" s="25">
        <v>-156.00250199999999</v>
      </c>
      <c r="E60" s="25" t="s">
        <v>274</v>
      </c>
      <c r="F60" s="26">
        <v>0.43055555555555558</v>
      </c>
      <c r="G60" s="26">
        <v>0.47916666666666669</v>
      </c>
      <c r="H60" s="25">
        <v>8</v>
      </c>
      <c r="I60" s="25">
        <v>26</v>
      </c>
      <c r="J60" s="25" t="s">
        <v>217</v>
      </c>
      <c r="K60" s="25">
        <v>12</v>
      </c>
      <c r="L60" s="25">
        <v>81</v>
      </c>
      <c r="M60" s="25" t="s">
        <v>281</v>
      </c>
      <c r="N60" s="25"/>
      <c r="O60" s="25"/>
      <c r="P60" s="25"/>
      <c r="Q60" s="25">
        <v>1</v>
      </c>
      <c r="R60" s="25">
        <v>1</v>
      </c>
      <c r="S60" s="25"/>
      <c r="T60" s="25"/>
      <c r="U60" s="25"/>
      <c r="V60" s="25"/>
      <c r="W60" s="25"/>
      <c r="X60" s="25"/>
      <c r="Y60" s="25"/>
      <c r="Z60" s="25"/>
      <c r="AA60" s="25"/>
      <c r="AB60" s="25">
        <v>1</v>
      </c>
      <c r="AC60" s="25"/>
      <c r="AD60" s="25"/>
      <c r="AE60" s="25"/>
      <c r="AF60" s="25"/>
      <c r="AG60" s="25"/>
      <c r="AH60" s="25"/>
      <c r="AI60" s="25"/>
      <c r="AJ60" s="25"/>
      <c r="AK60" s="25">
        <v>1</v>
      </c>
      <c r="AL60" s="25"/>
      <c r="AM60" s="25"/>
      <c r="AN60" s="25"/>
      <c r="AO60" s="25"/>
      <c r="AP60" s="25"/>
      <c r="AQ60" s="25"/>
      <c r="AR60" s="25"/>
      <c r="AS60" s="25"/>
      <c r="AT60" s="25"/>
      <c r="AU60" s="25"/>
      <c r="AV60" s="25"/>
      <c r="AW60" s="25"/>
      <c r="AX60" s="25"/>
      <c r="AY60" s="25"/>
      <c r="AZ60" s="25"/>
      <c r="BA60" s="25"/>
      <c r="BB60" s="25"/>
      <c r="BC60" s="25"/>
      <c r="BD60" s="25">
        <v>1</v>
      </c>
      <c r="BE60" s="25"/>
      <c r="BF60" s="25"/>
      <c r="BG60" s="25"/>
      <c r="BH60" s="25"/>
      <c r="BI60" s="25"/>
      <c r="BJ60" s="25">
        <v>1</v>
      </c>
      <c r="BK60" s="25"/>
      <c r="BL60" s="25">
        <v>1</v>
      </c>
      <c r="BM60" s="25"/>
      <c r="BN60" s="25"/>
      <c r="BO60" s="25"/>
      <c r="BP60" s="25"/>
      <c r="BQ60" s="25"/>
      <c r="BR60" s="25"/>
      <c r="BS60" s="25"/>
      <c r="BT60" s="25"/>
      <c r="BU60" s="25"/>
      <c r="BV60" s="25"/>
      <c r="BW60" s="25"/>
      <c r="BX60" s="25"/>
      <c r="BY60" s="25"/>
      <c r="BZ60" s="25"/>
      <c r="CA60" s="25"/>
      <c r="CB60" s="25">
        <v>1</v>
      </c>
      <c r="CC60" s="25">
        <v>1</v>
      </c>
      <c r="CD60" s="25"/>
      <c r="CE60" s="25"/>
      <c r="CF60" s="25"/>
      <c r="CG60" s="25"/>
      <c r="CH60" s="25"/>
      <c r="CI60" s="25"/>
      <c r="CJ60" s="25"/>
      <c r="CK60" s="25"/>
      <c r="CL60" s="25"/>
      <c r="CM60" s="25"/>
      <c r="CN60" s="25"/>
      <c r="CO60" s="25"/>
      <c r="CP60" s="25"/>
      <c r="CQ60" s="25"/>
      <c r="CR60" s="25"/>
      <c r="CS60" s="25"/>
      <c r="CT60" s="25"/>
      <c r="CU60" s="25">
        <v>1</v>
      </c>
      <c r="CV60" s="25"/>
      <c r="CW60" s="25"/>
      <c r="CX60" s="25"/>
      <c r="CY60" s="25"/>
      <c r="CZ60" s="25"/>
      <c r="DA60" s="25"/>
      <c r="DB60" s="25"/>
      <c r="DC60" s="25"/>
      <c r="DD60" s="25"/>
      <c r="DE60" s="25"/>
      <c r="DF60" s="25"/>
      <c r="DG60" s="25">
        <v>1</v>
      </c>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5"/>
      <c r="EN60" s="25"/>
      <c r="EO60" s="25"/>
      <c r="EP60" s="25"/>
      <c r="EQ60" s="25"/>
      <c r="ER60" s="25"/>
      <c r="ES60" s="25"/>
      <c r="ET60" s="25"/>
      <c r="EU60" s="25"/>
      <c r="EV60" s="25"/>
      <c r="EW60" s="25"/>
      <c r="EX60" s="25"/>
      <c r="EY60" s="25"/>
      <c r="EZ60" s="25"/>
      <c r="FA60" s="25"/>
      <c r="FB60" s="25"/>
      <c r="FC60" s="25"/>
      <c r="FD60" s="25"/>
      <c r="FE60" s="25">
        <v>1</v>
      </c>
      <c r="FF60" s="25"/>
      <c r="FG60" s="25"/>
      <c r="FH60" s="25"/>
      <c r="FI60" s="25"/>
      <c r="FJ60" s="25"/>
      <c r="FK60" s="25"/>
      <c r="FL60" s="25"/>
      <c r="FM60" s="25"/>
      <c r="FN60" s="25"/>
      <c r="FO60" s="25">
        <v>1</v>
      </c>
      <c r="FP60" s="25">
        <v>1</v>
      </c>
      <c r="FQ60" s="25">
        <v>1</v>
      </c>
      <c r="FR60" s="25">
        <v>1</v>
      </c>
      <c r="FS60" s="25">
        <v>1</v>
      </c>
      <c r="FT60" s="25"/>
      <c r="FU60" s="25"/>
      <c r="FV60" s="25"/>
      <c r="FW60" s="25"/>
      <c r="FX60" s="25"/>
      <c r="FY60" s="25"/>
      <c r="FZ60" s="25"/>
      <c r="GA60" s="25"/>
      <c r="GB60" s="25"/>
      <c r="GC60" s="25"/>
      <c r="GD60" s="25"/>
      <c r="GE60" s="25"/>
      <c r="GF60" s="25"/>
    </row>
    <row r="61" spans="1:194" ht="13" x14ac:dyDescent="0.15">
      <c r="A61" s="13">
        <v>42465</v>
      </c>
      <c r="B61" s="3" t="s">
        <v>244</v>
      </c>
      <c r="C61" s="3">
        <v>21.310611999999999</v>
      </c>
      <c r="D61" s="3">
        <v>-158.00441000000001</v>
      </c>
      <c r="E61" s="3" t="s">
        <v>274</v>
      </c>
      <c r="F61" s="14">
        <v>0.35416666666666669</v>
      </c>
      <c r="G61" s="14">
        <v>0.41875000000000001</v>
      </c>
      <c r="H61" s="3">
        <v>7</v>
      </c>
      <c r="I61" s="3">
        <v>20</v>
      </c>
      <c r="J61" s="3" t="s">
        <v>198</v>
      </c>
      <c r="K61" s="3">
        <v>10</v>
      </c>
      <c r="L61" s="3">
        <v>51</v>
      </c>
      <c r="M61" s="3" t="s">
        <v>283</v>
      </c>
      <c r="Q61" s="3">
        <v>1</v>
      </c>
      <c r="S61" s="3">
        <v>1</v>
      </c>
      <c r="V61" s="3">
        <v>1</v>
      </c>
      <c r="AH61" s="3">
        <v>1</v>
      </c>
      <c r="BD61" s="3">
        <v>1</v>
      </c>
      <c r="BL61" s="3">
        <v>1</v>
      </c>
      <c r="BU61" s="3">
        <v>1</v>
      </c>
      <c r="BY61" s="3">
        <v>1</v>
      </c>
      <c r="CB61" s="3">
        <v>1</v>
      </c>
      <c r="CF61" s="3"/>
      <c r="CG61" s="3">
        <v>1</v>
      </c>
      <c r="CN61" s="3">
        <v>1</v>
      </c>
      <c r="CR61" s="3">
        <v>1</v>
      </c>
      <c r="DF61" s="3">
        <v>1</v>
      </c>
      <c r="DL61" s="3">
        <v>1</v>
      </c>
      <c r="DN61" s="3">
        <v>1</v>
      </c>
      <c r="DR61" s="3">
        <v>1</v>
      </c>
      <c r="EB61" s="3">
        <v>1</v>
      </c>
      <c r="EI61" s="3">
        <v>1</v>
      </c>
      <c r="EJ61" s="3">
        <v>1</v>
      </c>
      <c r="FA61" s="3">
        <v>1</v>
      </c>
      <c r="FG61" s="3">
        <v>1</v>
      </c>
      <c r="FR61" s="3">
        <v>1</v>
      </c>
    </row>
    <row r="62" spans="1:194" ht="13" x14ac:dyDescent="0.15">
      <c r="A62" s="13">
        <v>42465</v>
      </c>
      <c r="B62" s="3" t="s">
        <v>244</v>
      </c>
      <c r="C62" s="3">
        <v>21.310611999999999</v>
      </c>
      <c r="D62" s="3">
        <v>-158.00441000000001</v>
      </c>
      <c r="E62" s="3" t="s">
        <v>278</v>
      </c>
      <c r="F62" s="14">
        <v>0.375</v>
      </c>
      <c r="G62" s="14">
        <v>0.45833333333333331</v>
      </c>
      <c r="H62" s="3">
        <v>5</v>
      </c>
      <c r="I62" s="3">
        <v>12</v>
      </c>
      <c r="J62" s="3" t="s">
        <v>198</v>
      </c>
      <c r="K62" s="3">
        <v>6</v>
      </c>
      <c r="L62" s="3">
        <v>29</v>
      </c>
      <c r="M62" s="3" t="s">
        <v>284</v>
      </c>
      <c r="Q62" s="3">
        <v>1</v>
      </c>
      <c r="V62" s="3">
        <v>1</v>
      </c>
      <c r="AA62" s="3">
        <v>1</v>
      </c>
      <c r="AB62" s="3">
        <v>1</v>
      </c>
      <c r="AD62" s="3">
        <v>1</v>
      </c>
      <c r="AH62" s="3">
        <v>1</v>
      </c>
      <c r="BD62" s="3">
        <v>1</v>
      </c>
      <c r="BL62" s="3">
        <v>1</v>
      </c>
      <c r="BU62" s="3">
        <v>1</v>
      </c>
      <c r="BY62" s="3">
        <v>1</v>
      </c>
      <c r="CF62" s="3"/>
      <c r="CG62" s="3">
        <v>1</v>
      </c>
      <c r="CR62" s="3">
        <v>1</v>
      </c>
      <c r="DF62" s="3">
        <v>1</v>
      </c>
      <c r="DL62" s="3">
        <v>1</v>
      </c>
      <c r="EB62" s="3">
        <v>1</v>
      </c>
      <c r="EI62" s="3">
        <v>1</v>
      </c>
      <c r="EJ62" s="3">
        <v>1</v>
      </c>
      <c r="FA62" s="3">
        <v>1</v>
      </c>
      <c r="FR62" s="3">
        <v>1</v>
      </c>
      <c r="FY62" s="3">
        <v>1</v>
      </c>
    </row>
    <row r="63" spans="1:194" ht="13" x14ac:dyDescent="0.15">
      <c r="A63" s="27">
        <v>42465</v>
      </c>
      <c r="B63" s="28" t="s">
        <v>312</v>
      </c>
      <c r="C63" s="28">
        <v>19.851700000000001</v>
      </c>
      <c r="D63" s="28">
        <v>-155.93190000000001</v>
      </c>
      <c r="E63" s="28" t="s">
        <v>313</v>
      </c>
      <c r="F63" s="29">
        <v>0.40625</v>
      </c>
      <c r="G63" s="29">
        <v>0.49305555555555558</v>
      </c>
      <c r="H63" s="28">
        <v>3</v>
      </c>
      <c r="I63" s="28">
        <v>11</v>
      </c>
      <c r="J63" s="28" t="s">
        <v>314</v>
      </c>
      <c r="K63" s="28">
        <v>10</v>
      </c>
      <c r="L63" s="28">
        <v>25</v>
      </c>
      <c r="M63" s="28" t="s">
        <v>315</v>
      </c>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v>1</v>
      </c>
      <c r="BM63" s="28"/>
      <c r="BN63" s="28"/>
      <c r="BO63" s="28"/>
      <c r="BP63" s="28"/>
      <c r="BQ63" s="28"/>
      <c r="BR63" s="28"/>
      <c r="BS63" s="28"/>
      <c r="BT63" s="28"/>
      <c r="BU63" s="28"/>
      <c r="BV63" s="28"/>
      <c r="BW63" s="28"/>
      <c r="BX63" s="28"/>
      <c r="BY63" s="28"/>
      <c r="BZ63" s="28"/>
      <c r="CA63" s="28"/>
      <c r="CB63" s="28">
        <v>1</v>
      </c>
      <c r="CC63" s="28">
        <v>1</v>
      </c>
      <c r="CD63" s="28"/>
      <c r="CE63" s="28"/>
      <c r="CF63" s="28"/>
      <c r="CG63" s="28"/>
      <c r="CH63" s="28"/>
      <c r="CI63" s="28"/>
      <c r="CJ63" s="28"/>
      <c r="CK63" s="28"/>
      <c r="CL63" s="28"/>
      <c r="CM63" s="28"/>
      <c r="CN63" s="28"/>
      <c r="CO63" s="28"/>
      <c r="CP63" s="28"/>
      <c r="CQ63" s="28"/>
      <c r="CR63" s="28"/>
      <c r="CS63" s="28"/>
      <c r="CT63" s="28"/>
      <c r="CU63" s="28"/>
      <c r="CV63" s="28">
        <v>1</v>
      </c>
      <c r="CW63" s="28"/>
      <c r="CX63" s="28"/>
      <c r="CY63" s="28"/>
      <c r="CZ63" s="28"/>
      <c r="DA63" s="28"/>
      <c r="DB63" s="28"/>
      <c r="DC63" s="28"/>
      <c r="DD63" s="28"/>
      <c r="DE63" s="28"/>
      <c r="DF63" s="28"/>
      <c r="DG63" s="28"/>
      <c r="DH63" s="28"/>
      <c r="DI63" s="28"/>
      <c r="DJ63" s="28"/>
      <c r="DK63" s="28"/>
      <c r="DL63" s="28"/>
      <c r="DM63" s="28"/>
      <c r="DN63" s="28"/>
      <c r="DO63" s="28"/>
      <c r="DP63" s="28"/>
      <c r="DQ63" s="28"/>
      <c r="DR63" s="28"/>
      <c r="DS63" s="28"/>
      <c r="DT63" s="28"/>
      <c r="DU63" s="28"/>
      <c r="DV63" s="28"/>
      <c r="DW63" s="28"/>
      <c r="DX63" s="28"/>
      <c r="DY63" s="28"/>
      <c r="DZ63" s="28"/>
      <c r="EA63" s="28"/>
      <c r="EB63" s="28"/>
      <c r="EC63" s="28">
        <v>1</v>
      </c>
      <c r="ED63" s="28"/>
      <c r="EE63" s="28"/>
      <c r="EF63" s="28"/>
      <c r="EG63" s="28"/>
      <c r="EH63" s="28"/>
      <c r="EI63" s="28"/>
      <c r="EJ63" s="28"/>
      <c r="EK63" s="28"/>
      <c r="EL63" s="28"/>
      <c r="EM63" s="28"/>
      <c r="EN63" s="28"/>
      <c r="EO63" s="28"/>
      <c r="EP63" s="28"/>
      <c r="EQ63" s="28"/>
      <c r="ER63" s="28"/>
      <c r="ES63" s="28"/>
      <c r="ET63" s="28"/>
      <c r="EU63" s="28"/>
      <c r="EV63" s="28"/>
      <c r="EW63" s="28"/>
      <c r="EX63" s="28"/>
      <c r="EY63" s="28"/>
      <c r="EZ63" s="28"/>
      <c r="FA63" s="28"/>
      <c r="FB63" s="28"/>
      <c r="FC63" s="28"/>
      <c r="FD63" s="28"/>
      <c r="FE63" s="28"/>
      <c r="FF63" s="28"/>
      <c r="FG63" s="28"/>
      <c r="FH63" s="28"/>
      <c r="FI63" s="28"/>
      <c r="FJ63" s="28"/>
      <c r="FK63" s="28"/>
      <c r="FL63" s="28"/>
      <c r="FM63" s="28"/>
      <c r="FN63" s="28"/>
      <c r="FO63" s="28"/>
      <c r="FP63" s="28"/>
      <c r="FQ63" s="28">
        <v>1</v>
      </c>
      <c r="FR63" s="28">
        <v>1</v>
      </c>
      <c r="FS63" s="28">
        <v>1</v>
      </c>
      <c r="FT63" s="28"/>
      <c r="FU63" s="28"/>
      <c r="FV63" s="28"/>
      <c r="FW63" s="28"/>
      <c r="FX63" s="28"/>
      <c r="FY63" s="28"/>
      <c r="FZ63" s="28"/>
      <c r="GA63" s="28"/>
      <c r="GB63" s="28"/>
      <c r="GC63" s="28"/>
      <c r="GD63" s="28"/>
      <c r="GE63" s="28"/>
      <c r="GF63" s="28"/>
    </row>
    <row r="64" spans="1:194" ht="13" x14ac:dyDescent="0.15">
      <c r="A64" s="13">
        <v>42467</v>
      </c>
      <c r="B64" s="3" t="s">
        <v>201</v>
      </c>
      <c r="C64" s="3">
        <v>21.25544</v>
      </c>
      <c r="D64" s="3">
        <v>-157.810303</v>
      </c>
      <c r="E64" s="3" t="s">
        <v>274</v>
      </c>
      <c r="F64" s="14">
        <v>0.38194444444444442</v>
      </c>
      <c r="G64" s="14">
        <v>0.46875</v>
      </c>
      <c r="H64" s="3">
        <v>7</v>
      </c>
      <c r="I64" s="3">
        <v>10</v>
      </c>
      <c r="J64" s="3" t="s">
        <v>217</v>
      </c>
      <c r="K64" s="3">
        <v>6</v>
      </c>
      <c r="L64" s="3">
        <v>41</v>
      </c>
      <c r="M64" s="3" t="s">
        <v>285</v>
      </c>
      <c r="Q64" s="3">
        <v>1</v>
      </c>
      <c r="AA64" s="3">
        <v>1</v>
      </c>
      <c r="AB64" s="3">
        <v>1</v>
      </c>
      <c r="AL64" s="3">
        <v>1</v>
      </c>
      <c r="BA64" s="3">
        <v>1</v>
      </c>
      <c r="BC64" s="3">
        <v>1</v>
      </c>
      <c r="BD64" s="3">
        <v>1</v>
      </c>
      <c r="BL64" s="3">
        <v>1</v>
      </c>
      <c r="BM64" s="3">
        <v>1</v>
      </c>
      <c r="BP64" s="3">
        <v>1</v>
      </c>
      <c r="BU64" s="3">
        <v>1</v>
      </c>
      <c r="BV64" s="3">
        <v>1</v>
      </c>
      <c r="BY64" s="3">
        <v>1</v>
      </c>
      <c r="CM64" s="3">
        <v>1</v>
      </c>
      <c r="DK64" s="3">
        <v>1</v>
      </c>
      <c r="DN64" s="3">
        <v>1</v>
      </c>
      <c r="DR64" s="3">
        <v>1</v>
      </c>
      <c r="DT64" s="3"/>
      <c r="DU64" s="3">
        <v>1</v>
      </c>
      <c r="DY64" s="3">
        <v>1</v>
      </c>
      <c r="EB64" s="3">
        <v>1</v>
      </c>
      <c r="EI64" s="3">
        <v>1</v>
      </c>
      <c r="EY64" s="3">
        <v>1</v>
      </c>
      <c r="FA64" s="3">
        <v>1</v>
      </c>
      <c r="FB64" s="3">
        <v>1</v>
      </c>
      <c r="FC64" s="3"/>
      <c r="FE64" s="3">
        <v>1</v>
      </c>
      <c r="FH64" s="3">
        <v>1</v>
      </c>
      <c r="FQ64" s="3">
        <v>1</v>
      </c>
      <c r="FR64" s="3">
        <v>1</v>
      </c>
      <c r="FW64" s="3"/>
      <c r="FX64" s="3">
        <v>1</v>
      </c>
      <c r="GE64" s="3">
        <v>1</v>
      </c>
    </row>
    <row r="65" spans="1:188" ht="13" x14ac:dyDescent="0.15">
      <c r="A65" s="13">
        <v>42467</v>
      </c>
      <c r="B65" s="3" t="s">
        <v>233</v>
      </c>
      <c r="C65" s="23">
        <v>21.066799</v>
      </c>
      <c r="D65" s="23">
        <v>-156.804993</v>
      </c>
      <c r="E65" s="3" t="s">
        <v>286</v>
      </c>
      <c r="F65" s="14">
        <v>0.375</v>
      </c>
      <c r="G65" s="14">
        <v>0.43888888888888888</v>
      </c>
      <c r="H65" s="3">
        <v>4</v>
      </c>
      <c r="I65" s="3">
        <v>17</v>
      </c>
      <c r="J65" s="3" t="s">
        <v>198</v>
      </c>
      <c r="K65" s="3">
        <v>16</v>
      </c>
      <c r="L65" s="3">
        <v>25</v>
      </c>
      <c r="M65" s="3" t="s">
        <v>287</v>
      </c>
      <c r="N65" s="3" t="s">
        <v>288</v>
      </c>
      <c r="Q65" s="3">
        <v>1</v>
      </c>
      <c r="T65" s="3">
        <v>1</v>
      </c>
      <c r="V65" s="3">
        <v>1</v>
      </c>
      <c r="BA65" s="3">
        <v>1</v>
      </c>
      <c r="BK65" s="3">
        <v>1</v>
      </c>
      <c r="BL65" s="3">
        <v>1</v>
      </c>
      <c r="BY65" s="3">
        <v>1</v>
      </c>
      <c r="CC65" s="3">
        <v>1</v>
      </c>
      <c r="CN65" s="3">
        <v>1</v>
      </c>
      <c r="DF65" s="3">
        <v>1</v>
      </c>
      <c r="EI65" s="3">
        <v>1</v>
      </c>
      <c r="FA65" s="3">
        <v>1</v>
      </c>
      <c r="FW65" s="3"/>
      <c r="FX65" s="3">
        <v>1</v>
      </c>
    </row>
    <row r="66" spans="1:188" ht="13" x14ac:dyDescent="0.15">
      <c r="A66" s="13">
        <v>42468</v>
      </c>
      <c r="B66" s="3" t="s">
        <v>247</v>
      </c>
      <c r="C66" s="3">
        <v>19.488199000000002</v>
      </c>
      <c r="D66" s="3">
        <v>-154.81930500000001</v>
      </c>
      <c r="E66" s="3" t="s">
        <v>289</v>
      </c>
      <c r="F66" s="14">
        <v>0.3972222222222222</v>
      </c>
      <c r="G66" s="14">
        <v>0.44791666666666669</v>
      </c>
      <c r="H66" s="3">
        <v>5</v>
      </c>
      <c r="I66" s="3">
        <v>21</v>
      </c>
      <c r="J66" s="3" t="s">
        <v>198</v>
      </c>
      <c r="K66" s="3">
        <v>5</v>
      </c>
      <c r="L66" s="3">
        <v>23</v>
      </c>
      <c r="M66" s="3" t="s">
        <v>290</v>
      </c>
      <c r="AL66" s="3">
        <v>1</v>
      </c>
      <c r="BH66" s="3"/>
      <c r="BI66" s="3">
        <v>1</v>
      </c>
      <c r="BL66" s="3">
        <v>1</v>
      </c>
      <c r="BM66" s="3">
        <v>1</v>
      </c>
      <c r="BP66" s="3">
        <v>1</v>
      </c>
      <c r="CB66" s="3">
        <v>1</v>
      </c>
      <c r="DR66" s="3">
        <v>1</v>
      </c>
      <c r="FA66" s="3">
        <v>1</v>
      </c>
      <c r="FR66" s="3">
        <v>1</v>
      </c>
    </row>
    <row r="67" spans="1:188" ht="13" x14ac:dyDescent="0.15">
      <c r="A67" s="13">
        <v>42468</v>
      </c>
      <c r="B67" s="3" t="s">
        <v>291</v>
      </c>
      <c r="C67" s="3">
        <v>19.734331000000001</v>
      </c>
      <c r="D67" s="3">
        <v>-155.01483200000001</v>
      </c>
      <c r="E67" s="3" t="s">
        <v>274</v>
      </c>
      <c r="F67" s="14">
        <v>0.38194444444444442</v>
      </c>
      <c r="G67" s="14">
        <v>0.45833333333333331</v>
      </c>
      <c r="H67" s="3">
        <v>6</v>
      </c>
      <c r="I67" s="3">
        <v>17</v>
      </c>
      <c r="J67" s="3" t="s">
        <v>198</v>
      </c>
      <c r="K67" s="3">
        <v>5</v>
      </c>
      <c r="L67" s="3">
        <v>19</v>
      </c>
      <c r="M67" s="3" t="s">
        <v>292</v>
      </c>
      <c r="Q67" s="3">
        <v>1</v>
      </c>
      <c r="AB67" s="3">
        <v>1</v>
      </c>
      <c r="AF67" s="3">
        <v>1</v>
      </c>
      <c r="AL67" s="3">
        <v>1</v>
      </c>
      <c r="AM67" s="3">
        <v>1</v>
      </c>
      <c r="BA67" s="3">
        <v>1</v>
      </c>
      <c r="BJ67" s="3">
        <v>1</v>
      </c>
      <c r="BL67" s="3">
        <v>1</v>
      </c>
      <c r="BM67" s="3">
        <v>1</v>
      </c>
      <c r="CB67" s="3">
        <v>1</v>
      </c>
      <c r="CN67" s="3">
        <v>1</v>
      </c>
      <c r="CP67" s="3">
        <v>1</v>
      </c>
      <c r="DG67" s="3">
        <v>1</v>
      </c>
      <c r="DV67" s="3">
        <v>1</v>
      </c>
      <c r="FA67" s="3">
        <v>1</v>
      </c>
      <c r="FG67" s="3">
        <v>1</v>
      </c>
      <c r="FP67" s="3">
        <v>1</v>
      </c>
      <c r="FQ67" s="3">
        <v>1</v>
      </c>
      <c r="FR67" s="3">
        <v>1</v>
      </c>
    </row>
    <row r="68" spans="1:188" ht="13" x14ac:dyDescent="0.15">
      <c r="A68" s="19">
        <v>42468</v>
      </c>
      <c r="B68" s="20" t="s">
        <v>196</v>
      </c>
      <c r="C68" s="20">
        <v>21.559277999999999</v>
      </c>
      <c r="D68" s="20">
        <v>-157.87190200000001</v>
      </c>
      <c r="E68" s="20" t="s">
        <v>325</v>
      </c>
      <c r="F68" s="21">
        <v>0.36458333333333331</v>
      </c>
      <c r="G68" s="21">
        <v>0.40625</v>
      </c>
      <c r="H68" s="20">
        <v>5</v>
      </c>
      <c r="I68" s="20">
        <v>9</v>
      </c>
      <c r="J68" s="20" t="s">
        <v>314</v>
      </c>
      <c r="K68" s="20">
        <v>5</v>
      </c>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c r="DB68" s="20"/>
      <c r="DC68" s="20"/>
      <c r="DD68" s="20"/>
      <c r="DE68" s="20"/>
      <c r="DF68" s="20"/>
      <c r="DG68" s="20"/>
      <c r="DH68" s="20"/>
      <c r="DI68" s="20"/>
      <c r="DJ68" s="20"/>
      <c r="DK68" s="20"/>
      <c r="DL68" s="20"/>
      <c r="DM68" s="20"/>
      <c r="DN68" s="20"/>
      <c r="DO68" s="20"/>
      <c r="DP68" s="20"/>
      <c r="DQ68" s="20"/>
      <c r="DR68" s="20"/>
      <c r="DS68" s="20"/>
      <c r="DT68" s="20"/>
      <c r="DU68" s="20"/>
      <c r="DV68" s="20"/>
      <c r="DW68" s="20"/>
      <c r="DX68" s="20"/>
      <c r="DY68" s="20"/>
      <c r="DZ68" s="20"/>
      <c r="EA68" s="20"/>
      <c r="EB68" s="20"/>
      <c r="EC68" s="20"/>
      <c r="ED68" s="20"/>
      <c r="EE68" s="20"/>
      <c r="EF68" s="20"/>
      <c r="EG68" s="20"/>
      <c r="EH68" s="20"/>
      <c r="EI68" s="20"/>
      <c r="EJ68" s="20"/>
      <c r="EK68" s="20"/>
      <c r="EL68" s="20"/>
      <c r="EM68" s="20"/>
      <c r="EN68" s="20"/>
      <c r="EO68" s="20"/>
      <c r="EP68" s="20"/>
      <c r="EQ68" s="20"/>
      <c r="ER68" s="20"/>
      <c r="ES68" s="20"/>
      <c r="ET68" s="20"/>
      <c r="EU68" s="20"/>
      <c r="EV68" s="20"/>
      <c r="EW68" s="20"/>
      <c r="EX68" s="20"/>
      <c r="EY68" s="20"/>
      <c r="EZ68" s="20"/>
      <c r="FA68" s="20"/>
      <c r="FB68" s="20"/>
      <c r="FC68" s="20"/>
      <c r="FD68" s="20"/>
      <c r="FE68" s="20"/>
      <c r="FF68" s="20"/>
      <c r="FG68" s="20"/>
      <c r="FH68" s="20"/>
      <c r="FI68" s="20"/>
      <c r="FJ68" s="20"/>
      <c r="FK68" s="20"/>
      <c r="FL68" s="20"/>
      <c r="FM68" s="20"/>
      <c r="FN68" s="20"/>
      <c r="FO68" s="20"/>
      <c r="FP68" s="20"/>
      <c r="FQ68" s="20"/>
      <c r="FR68" s="20"/>
      <c r="FS68" s="20"/>
      <c r="FT68" s="20"/>
      <c r="FU68" s="20"/>
      <c r="FV68" s="20"/>
      <c r="FW68" s="20"/>
      <c r="FX68" s="20"/>
      <c r="FY68" s="20"/>
      <c r="FZ68" s="20"/>
      <c r="GA68" s="20"/>
      <c r="GB68" s="20"/>
      <c r="GC68" s="20"/>
      <c r="GD68" s="20"/>
      <c r="GE68" s="20"/>
      <c r="GF68" s="20"/>
    </row>
    <row r="69" spans="1:188" ht="13" x14ac:dyDescent="0.15">
      <c r="A69" s="13">
        <v>42469</v>
      </c>
      <c r="B69" s="3" t="s">
        <v>293</v>
      </c>
      <c r="C69" s="3">
        <v>19.738602</v>
      </c>
      <c r="D69" s="3">
        <v>-155.03887900000001</v>
      </c>
      <c r="E69" s="3" t="s">
        <v>197</v>
      </c>
      <c r="F69" s="14">
        <v>0.40763888888888888</v>
      </c>
      <c r="G69" s="14">
        <v>0.46527777777777779</v>
      </c>
      <c r="H69" s="3">
        <v>4</v>
      </c>
      <c r="I69" s="3">
        <v>15</v>
      </c>
      <c r="J69" s="3" t="s">
        <v>277</v>
      </c>
      <c r="K69" s="3">
        <v>10</v>
      </c>
      <c r="L69" s="3">
        <v>20</v>
      </c>
      <c r="M69" s="3" t="s">
        <v>294</v>
      </c>
      <c r="N69" s="3" t="s">
        <v>295</v>
      </c>
      <c r="AA69" s="3">
        <v>1</v>
      </c>
      <c r="AH69" s="3">
        <v>1</v>
      </c>
      <c r="AL69" s="3">
        <v>1</v>
      </c>
      <c r="BJ69" s="3">
        <v>1</v>
      </c>
      <c r="BL69" s="3">
        <v>1</v>
      </c>
      <c r="BY69" s="3">
        <v>1</v>
      </c>
      <c r="CC69" s="3">
        <v>1</v>
      </c>
      <c r="CE69" s="3">
        <v>1</v>
      </c>
      <c r="CM69" s="3">
        <v>1</v>
      </c>
      <c r="CN69" s="3">
        <v>1</v>
      </c>
      <c r="DF69" s="3">
        <v>1</v>
      </c>
      <c r="DL69" s="3">
        <v>1</v>
      </c>
      <c r="DT69" s="3"/>
      <c r="DU69" s="3">
        <v>1</v>
      </c>
      <c r="EI69" s="3">
        <v>1</v>
      </c>
      <c r="FP69" s="3">
        <v>1</v>
      </c>
      <c r="FR69" s="3">
        <v>1</v>
      </c>
    </row>
    <row r="70" spans="1:188" ht="13" x14ac:dyDescent="0.15">
      <c r="A70" s="13">
        <v>42470</v>
      </c>
      <c r="B70" s="3" t="s">
        <v>293</v>
      </c>
      <c r="C70" s="3">
        <v>19.738602</v>
      </c>
      <c r="D70" s="3">
        <v>-155.03887900000001</v>
      </c>
      <c r="E70" s="3" t="s">
        <v>197</v>
      </c>
      <c r="F70" s="14">
        <v>0.43402777777777779</v>
      </c>
      <c r="G70" s="14">
        <v>0.52777777777777779</v>
      </c>
      <c r="H70" s="3">
        <v>4</v>
      </c>
      <c r="I70" s="3">
        <v>22</v>
      </c>
      <c r="J70" s="3" t="s">
        <v>198</v>
      </c>
      <c r="K70" s="3">
        <v>11</v>
      </c>
      <c r="L70" s="3">
        <v>35</v>
      </c>
      <c r="M70" s="3" t="s">
        <v>296</v>
      </c>
      <c r="Q70" s="3">
        <v>1</v>
      </c>
      <c r="S70" s="3">
        <v>1</v>
      </c>
      <c r="AA70" s="3">
        <v>1</v>
      </c>
      <c r="AC70" s="3">
        <v>1</v>
      </c>
      <c r="AG70" s="3">
        <v>1</v>
      </c>
      <c r="AL70" s="3">
        <v>1</v>
      </c>
      <c r="AY70" s="3">
        <v>1</v>
      </c>
      <c r="BA70" s="3">
        <v>1</v>
      </c>
      <c r="BF70" s="3">
        <v>1</v>
      </c>
      <c r="BH70" s="3"/>
      <c r="BI70" s="3">
        <v>1</v>
      </c>
      <c r="BJ70" s="3">
        <v>1</v>
      </c>
      <c r="BL70" s="3">
        <v>1</v>
      </c>
      <c r="BM70" s="3">
        <v>1</v>
      </c>
      <c r="BY70" s="3">
        <v>1</v>
      </c>
      <c r="CA70" s="3">
        <v>1</v>
      </c>
      <c r="CB70" s="3">
        <v>1</v>
      </c>
      <c r="CK70" s="3">
        <v>1</v>
      </c>
      <c r="CN70" s="3">
        <v>1</v>
      </c>
      <c r="DF70" s="3">
        <v>1</v>
      </c>
      <c r="DG70" s="3">
        <v>1</v>
      </c>
      <c r="DL70" s="3">
        <v>1</v>
      </c>
      <c r="DP70" s="3">
        <v>1</v>
      </c>
      <c r="EC70" s="3">
        <v>1</v>
      </c>
      <c r="EI70" s="3">
        <v>1</v>
      </c>
      <c r="EW70" s="3">
        <v>1</v>
      </c>
      <c r="FA70" s="3">
        <v>1</v>
      </c>
      <c r="FN70" s="3"/>
      <c r="FO70" s="3">
        <v>1</v>
      </c>
      <c r="FP70" s="3">
        <v>1</v>
      </c>
      <c r="FR70" s="3">
        <v>1</v>
      </c>
      <c r="FS70" s="3">
        <v>1</v>
      </c>
    </row>
    <row r="71" spans="1:188" ht="13" x14ac:dyDescent="0.15">
      <c r="A71" s="13">
        <v>42471</v>
      </c>
      <c r="B71" s="3" t="s">
        <v>266</v>
      </c>
      <c r="C71" s="3">
        <v>22.060683999999998</v>
      </c>
      <c r="D71" s="3">
        <v>-159.318512</v>
      </c>
      <c r="E71" s="3" t="s">
        <v>297</v>
      </c>
      <c r="F71" s="14">
        <v>0.48958333333333331</v>
      </c>
      <c r="G71" s="14">
        <v>0.54166666666666663</v>
      </c>
      <c r="H71" s="3">
        <v>5</v>
      </c>
      <c r="I71" s="3">
        <v>12</v>
      </c>
      <c r="J71" s="3" t="s">
        <v>198</v>
      </c>
      <c r="K71" s="3">
        <v>5</v>
      </c>
      <c r="L71" s="3">
        <v>24</v>
      </c>
      <c r="M71" s="3" t="s">
        <v>298</v>
      </c>
      <c r="Q71" s="3">
        <v>1</v>
      </c>
      <c r="AL71" s="3">
        <v>1</v>
      </c>
      <c r="BA71" s="3">
        <v>1</v>
      </c>
      <c r="BL71" s="3">
        <v>1</v>
      </c>
      <c r="BM71" s="3">
        <v>1</v>
      </c>
      <c r="BY71" s="3">
        <v>1</v>
      </c>
      <c r="CU71" s="3">
        <v>1</v>
      </c>
      <c r="DT71" s="3"/>
      <c r="DU71" s="3">
        <v>1</v>
      </c>
      <c r="EI71" s="3">
        <v>1</v>
      </c>
      <c r="FR71" s="3">
        <v>1</v>
      </c>
    </row>
    <row r="72" spans="1:188" ht="13" x14ac:dyDescent="0.15">
      <c r="A72" s="13">
        <v>42471</v>
      </c>
      <c r="B72" s="3" t="s">
        <v>216</v>
      </c>
      <c r="C72" s="3">
        <v>21.3002</v>
      </c>
      <c r="D72" s="3">
        <v>-157.882599</v>
      </c>
      <c r="E72" s="3" t="s">
        <v>299</v>
      </c>
      <c r="F72" s="14">
        <v>0.52777777777777779</v>
      </c>
      <c r="G72" s="14">
        <v>0.57291666666666663</v>
      </c>
      <c r="H72" s="3">
        <v>4</v>
      </c>
      <c r="I72" s="3">
        <v>26</v>
      </c>
      <c r="J72" s="3" t="s">
        <v>198</v>
      </c>
      <c r="K72" s="3">
        <v>9</v>
      </c>
      <c r="L72" s="3">
        <v>29</v>
      </c>
      <c r="M72" s="3" t="s">
        <v>300</v>
      </c>
      <c r="AB72" s="3">
        <v>1</v>
      </c>
      <c r="AL72" s="3">
        <v>1</v>
      </c>
      <c r="BL72" s="3">
        <v>1</v>
      </c>
      <c r="BM72" s="3">
        <v>1</v>
      </c>
      <c r="BP72" s="3">
        <v>1</v>
      </c>
      <c r="BU72" s="3">
        <v>1</v>
      </c>
      <c r="BY72" s="3">
        <v>1</v>
      </c>
      <c r="CB72" s="3">
        <v>1</v>
      </c>
      <c r="FP72" s="3">
        <v>1</v>
      </c>
      <c r="FR72" s="3">
        <v>1</v>
      </c>
    </row>
    <row r="73" spans="1:188" ht="13" x14ac:dyDescent="0.15">
      <c r="A73" s="13">
        <v>42471</v>
      </c>
      <c r="B73" s="3" t="s">
        <v>301</v>
      </c>
      <c r="C73" s="3">
        <v>22.065598999999999</v>
      </c>
      <c r="D73" s="3">
        <v>-159.31770299999999</v>
      </c>
      <c r="E73" s="3" t="s">
        <v>302</v>
      </c>
      <c r="F73" s="14">
        <v>0.48958333333333331</v>
      </c>
      <c r="G73" s="14">
        <v>0.54166666666666663</v>
      </c>
      <c r="H73" s="3">
        <v>5</v>
      </c>
      <c r="I73" s="3">
        <v>5</v>
      </c>
      <c r="J73" s="3" t="s">
        <v>198</v>
      </c>
      <c r="K73" s="3">
        <v>5</v>
      </c>
      <c r="L73" s="3">
        <v>25</v>
      </c>
      <c r="Q73" s="3">
        <v>1</v>
      </c>
      <c r="AB73" s="3">
        <v>1</v>
      </c>
      <c r="AF73" s="3">
        <v>1</v>
      </c>
      <c r="AL73" s="3">
        <v>1</v>
      </c>
      <c r="AY73" s="3">
        <v>1</v>
      </c>
      <c r="BA73" s="3">
        <v>1</v>
      </c>
      <c r="BD73" s="3">
        <v>1</v>
      </c>
      <c r="BJ73" s="3">
        <v>1</v>
      </c>
      <c r="BL73" s="3">
        <v>1</v>
      </c>
      <c r="BM73" s="3">
        <v>1</v>
      </c>
      <c r="BN73" s="3">
        <v>1</v>
      </c>
      <c r="BU73" s="3">
        <v>1</v>
      </c>
      <c r="BY73" s="3">
        <v>1</v>
      </c>
      <c r="DL73" s="3">
        <v>1</v>
      </c>
      <c r="DT73" s="3"/>
      <c r="DU73" s="3">
        <v>1</v>
      </c>
      <c r="EI73" s="3">
        <v>1</v>
      </c>
      <c r="FA73" s="3">
        <v>1</v>
      </c>
      <c r="FN73" s="3"/>
      <c r="FO73" s="3">
        <v>1</v>
      </c>
      <c r="FQ73" s="3">
        <v>1</v>
      </c>
      <c r="FR73" s="3">
        <v>1</v>
      </c>
    </row>
    <row r="74" spans="1:188" ht="13" x14ac:dyDescent="0.15">
      <c r="A74" s="13">
        <v>42475</v>
      </c>
      <c r="B74" s="3" t="s">
        <v>303</v>
      </c>
      <c r="C74" s="3">
        <v>20.994240000000001</v>
      </c>
      <c r="D74" s="3">
        <v>-156.66825900000001</v>
      </c>
      <c r="E74" s="3" t="s">
        <v>274</v>
      </c>
      <c r="F74" s="14">
        <v>0.33333333333333331</v>
      </c>
      <c r="G74" s="14">
        <v>0.41666666666666669</v>
      </c>
      <c r="H74" s="3">
        <v>4</v>
      </c>
      <c r="I74" s="3">
        <v>22</v>
      </c>
      <c r="J74" s="3" t="s">
        <v>217</v>
      </c>
      <c r="K74" s="3">
        <v>12</v>
      </c>
      <c r="L74" s="3">
        <v>35</v>
      </c>
      <c r="M74" s="3" t="s">
        <v>296</v>
      </c>
      <c r="Q74" s="3">
        <v>1</v>
      </c>
      <c r="S74" s="3">
        <v>1</v>
      </c>
      <c r="AA74" s="3">
        <v>1</v>
      </c>
      <c r="AC74" s="3">
        <v>1</v>
      </c>
      <c r="AE74" s="3">
        <v>1</v>
      </c>
      <c r="AL74" s="3">
        <v>1</v>
      </c>
      <c r="AW74" s="3">
        <v>1</v>
      </c>
      <c r="AY74" s="3">
        <v>1</v>
      </c>
      <c r="BA74" s="3">
        <v>1</v>
      </c>
      <c r="BF74" s="3">
        <v>1</v>
      </c>
      <c r="BH74" s="3">
        <v>1</v>
      </c>
      <c r="BJ74" s="3">
        <v>1</v>
      </c>
      <c r="BL74" s="3">
        <v>1</v>
      </c>
      <c r="BM74" s="3">
        <v>1</v>
      </c>
      <c r="BX74" s="3">
        <v>1</v>
      </c>
      <c r="CA74" s="3">
        <v>1</v>
      </c>
      <c r="CB74" s="3">
        <v>1</v>
      </c>
      <c r="CN74" s="3">
        <v>1</v>
      </c>
      <c r="DF74" s="3">
        <v>1</v>
      </c>
      <c r="DG74" s="3">
        <v>1</v>
      </c>
      <c r="DL74" s="3">
        <v>1</v>
      </c>
      <c r="DP74" s="3">
        <v>1</v>
      </c>
      <c r="EI74" s="3">
        <v>1</v>
      </c>
      <c r="EM74" s="3">
        <v>1</v>
      </c>
      <c r="EV74" s="3">
        <v>1</v>
      </c>
      <c r="FA74" s="3">
        <v>1</v>
      </c>
      <c r="FB74" s="3">
        <v>1</v>
      </c>
      <c r="FL74" s="3">
        <v>1</v>
      </c>
      <c r="FN74" s="3"/>
      <c r="FO74" s="3">
        <v>1</v>
      </c>
      <c r="FR74" s="3">
        <v>1</v>
      </c>
      <c r="FS74" s="3">
        <v>1</v>
      </c>
    </row>
    <row r="75" spans="1:188" ht="13" x14ac:dyDescent="0.15">
      <c r="A75" s="13">
        <v>42479</v>
      </c>
      <c r="B75" s="3" t="s">
        <v>201</v>
      </c>
      <c r="C75" s="3">
        <v>21.25544</v>
      </c>
      <c r="D75" s="3">
        <v>-157.810303</v>
      </c>
      <c r="E75" s="3" t="s">
        <v>274</v>
      </c>
      <c r="F75" s="14">
        <v>0.3611111111111111</v>
      </c>
      <c r="G75" s="14">
        <v>0.41666666666666669</v>
      </c>
      <c r="H75" s="3">
        <v>5</v>
      </c>
      <c r="I75" s="3">
        <v>14</v>
      </c>
      <c r="J75" s="3" t="s">
        <v>217</v>
      </c>
      <c r="K75" s="3">
        <v>7</v>
      </c>
      <c r="L75" s="3">
        <v>29</v>
      </c>
      <c r="M75" s="3" t="s">
        <v>304</v>
      </c>
      <c r="Q75" s="3">
        <v>1</v>
      </c>
      <c r="W75" s="3">
        <v>1</v>
      </c>
      <c r="AA75" s="3">
        <v>1</v>
      </c>
      <c r="AH75" s="3">
        <v>1</v>
      </c>
      <c r="AN75" s="3"/>
      <c r="AO75" s="3">
        <v>1</v>
      </c>
      <c r="BA75" s="3">
        <v>1</v>
      </c>
      <c r="BK75" s="3">
        <v>1</v>
      </c>
      <c r="BL75" s="3">
        <v>1</v>
      </c>
      <c r="BM75" s="3">
        <v>1</v>
      </c>
      <c r="BP75" s="3">
        <v>1</v>
      </c>
      <c r="BU75" s="3">
        <v>1</v>
      </c>
      <c r="BY75" s="3">
        <v>1</v>
      </c>
      <c r="CJ75" s="3">
        <v>1</v>
      </c>
      <c r="CR75" s="3">
        <v>1</v>
      </c>
      <c r="DF75" s="3">
        <v>1</v>
      </c>
      <c r="DL75" s="3">
        <v>1</v>
      </c>
      <c r="DO75" s="3">
        <v>1</v>
      </c>
      <c r="DT75" s="3"/>
      <c r="DU75" s="3">
        <v>1</v>
      </c>
      <c r="EB75" s="3">
        <v>1</v>
      </c>
      <c r="ED75" s="3"/>
      <c r="EE75" s="3">
        <v>1</v>
      </c>
      <c r="EI75" s="3">
        <v>1</v>
      </c>
      <c r="EJ75" s="3">
        <v>1</v>
      </c>
      <c r="FA75" s="3">
        <v>1</v>
      </c>
      <c r="FH75" s="3">
        <v>1</v>
      </c>
      <c r="FN75" s="3"/>
      <c r="FO75" s="3">
        <v>1</v>
      </c>
      <c r="FQ75" s="3">
        <v>1</v>
      </c>
      <c r="FR75" s="3">
        <v>1</v>
      </c>
      <c r="FT75" s="3">
        <v>1</v>
      </c>
    </row>
    <row r="76" spans="1:188" ht="13" x14ac:dyDescent="0.15">
      <c r="A76" s="27">
        <v>42479</v>
      </c>
      <c r="B76" s="28" t="s">
        <v>293</v>
      </c>
      <c r="C76" s="28">
        <v>19.738602</v>
      </c>
      <c r="D76" s="28">
        <v>-155.03887900000001</v>
      </c>
      <c r="E76" s="28" t="s">
        <v>274</v>
      </c>
      <c r="F76" s="29">
        <v>0.43055555555555558</v>
      </c>
      <c r="G76" s="29">
        <v>0.46180555555555558</v>
      </c>
      <c r="H76" s="28">
        <v>4</v>
      </c>
      <c r="I76" s="28">
        <v>13</v>
      </c>
      <c r="J76" s="28" t="s">
        <v>314</v>
      </c>
      <c r="K76" s="28">
        <v>12</v>
      </c>
      <c r="L76" s="28">
        <v>26</v>
      </c>
      <c r="M76" s="28" t="s">
        <v>343</v>
      </c>
      <c r="N76" s="28"/>
      <c r="O76" s="28"/>
      <c r="P76" s="28"/>
      <c r="Q76" s="28"/>
      <c r="R76" s="28"/>
      <c r="S76" s="28"/>
      <c r="T76" s="28"/>
      <c r="U76" s="28"/>
      <c r="V76" s="28"/>
      <c r="W76" s="28"/>
      <c r="X76" s="28"/>
      <c r="Y76" s="28"/>
      <c r="Z76" s="28"/>
      <c r="AA76" s="28"/>
      <c r="AB76" s="28"/>
      <c r="AC76" s="28"/>
      <c r="AD76" s="28"/>
      <c r="AE76" s="28"/>
      <c r="AF76" s="28"/>
      <c r="AG76" s="28">
        <v>1</v>
      </c>
      <c r="AH76" s="28"/>
      <c r="AI76" s="28"/>
      <c r="AJ76" s="28"/>
      <c r="AK76" s="28">
        <v>1</v>
      </c>
      <c r="AL76" s="28"/>
      <c r="AM76" s="28"/>
      <c r="AN76" s="28"/>
      <c r="AO76" s="28"/>
      <c r="AP76" s="28">
        <v>1</v>
      </c>
      <c r="AQ76" s="28"/>
      <c r="AR76" s="28"/>
      <c r="AS76" s="28"/>
      <c r="AT76" s="28"/>
      <c r="AU76" s="28"/>
      <c r="AV76" s="28"/>
      <c r="AW76" s="28"/>
      <c r="AX76" s="28"/>
      <c r="AY76" s="28"/>
      <c r="AZ76" s="28"/>
      <c r="BA76" s="28"/>
      <c r="BB76" s="28"/>
      <c r="BC76" s="28"/>
      <c r="BD76" s="28"/>
      <c r="BE76" s="28"/>
      <c r="BF76" s="28"/>
      <c r="BG76" s="28"/>
      <c r="BH76" s="28"/>
      <c r="BI76" s="28"/>
      <c r="BJ76" s="28"/>
      <c r="BK76" s="28"/>
      <c r="BL76" s="28">
        <v>1</v>
      </c>
      <c r="BM76" s="28"/>
      <c r="BN76" s="28"/>
      <c r="BO76" s="28"/>
      <c r="BP76" s="28"/>
      <c r="BQ76" s="28"/>
      <c r="BR76" s="28"/>
      <c r="BS76" s="28"/>
      <c r="BT76" s="28"/>
      <c r="BU76" s="28"/>
      <c r="BV76" s="28"/>
      <c r="BW76" s="28"/>
      <c r="BX76" s="28"/>
      <c r="BY76" s="28"/>
      <c r="BZ76" s="28"/>
      <c r="CA76" s="28"/>
      <c r="CB76" s="28">
        <v>1</v>
      </c>
      <c r="CC76" s="28">
        <v>1</v>
      </c>
      <c r="CD76" s="28"/>
      <c r="CE76" s="28"/>
      <c r="CF76" s="28"/>
      <c r="CG76" s="28"/>
      <c r="CH76" s="28"/>
      <c r="CI76" s="28"/>
      <c r="CJ76" s="28"/>
      <c r="CK76" s="28"/>
      <c r="CL76" s="28"/>
      <c r="CM76" s="28"/>
      <c r="CN76" s="28">
        <v>1</v>
      </c>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v>1</v>
      </c>
      <c r="EJ76" s="28"/>
      <c r="EK76" s="28"/>
      <c r="EL76" s="28"/>
      <c r="EM76" s="28"/>
      <c r="EN76" s="28"/>
      <c r="EO76" s="28"/>
      <c r="EP76" s="28"/>
      <c r="EQ76" s="28"/>
      <c r="ER76" s="28"/>
      <c r="ES76" s="28"/>
      <c r="ET76" s="28"/>
      <c r="EU76" s="28"/>
      <c r="EV76" s="28"/>
      <c r="EW76" s="28">
        <v>1</v>
      </c>
      <c r="EX76" s="28"/>
      <c r="EY76" s="28"/>
      <c r="EZ76" s="28"/>
      <c r="FA76" s="28"/>
      <c r="FB76" s="28"/>
      <c r="FC76" s="28"/>
      <c r="FD76" s="28"/>
      <c r="FE76" s="28"/>
      <c r="FF76" s="28"/>
      <c r="FG76" s="28"/>
      <c r="FH76" s="28"/>
      <c r="FI76" s="28"/>
      <c r="FJ76" s="28"/>
      <c r="FK76" s="28"/>
      <c r="FL76" s="28"/>
      <c r="FM76" s="28"/>
      <c r="FN76" s="28"/>
      <c r="FO76" s="28"/>
      <c r="FP76" s="28">
        <v>1</v>
      </c>
      <c r="FQ76" s="28">
        <v>1</v>
      </c>
      <c r="FR76" s="28">
        <v>1</v>
      </c>
      <c r="FS76" s="28"/>
      <c r="FT76" s="28"/>
      <c r="FU76" s="28"/>
      <c r="FV76" s="28"/>
      <c r="FW76" s="28"/>
      <c r="FX76" s="28"/>
      <c r="FY76" s="28"/>
      <c r="FZ76" s="28"/>
      <c r="GA76" s="28"/>
      <c r="GB76" s="28"/>
      <c r="GC76" s="28"/>
      <c r="GD76" s="28"/>
      <c r="GE76" s="28"/>
      <c r="GF76" s="28"/>
    </row>
    <row r="77" spans="1:188" ht="13" x14ac:dyDescent="0.15">
      <c r="A77" s="24">
        <v>42481</v>
      </c>
      <c r="B77" s="25" t="s">
        <v>240</v>
      </c>
      <c r="C77" s="25">
        <v>21.105899999999998</v>
      </c>
      <c r="D77" s="25">
        <v>-156.746094</v>
      </c>
      <c r="E77" s="25" t="s">
        <v>286</v>
      </c>
      <c r="F77" s="26">
        <v>0.37361111111111112</v>
      </c>
      <c r="G77" s="26">
        <v>0.40763888888888888</v>
      </c>
      <c r="H77" s="25">
        <v>4</v>
      </c>
      <c r="I77" s="25">
        <v>13</v>
      </c>
      <c r="J77" s="25" t="s">
        <v>198</v>
      </c>
      <c r="K77" s="25">
        <v>12</v>
      </c>
      <c r="L77" s="25">
        <v>34</v>
      </c>
      <c r="M77" s="25" t="s">
        <v>305</v>
      </c>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v>1</v>
      </c>
      <c r="AP77" s="25"/>
      <c r="AQ77" s="25"/>
      <c r="AR77" s="25"/>
      <c r="AS77" s="25"/>
      <c r="AT77" s="25"/>
      <c r="AU77" s="25"/>
      <c r="AV77" s="25"/>
      <c r="AW77" s="25"/>
      <c r="AX77" s="25"/>
      <c r="AY77" s="25"/>
      <c r="AZ77" s="25"/>
      <c r="BA77" s="25"/>
      <c r="BB77" s="25"/>
      <c r="BC77" s="25"/>
      <c r="BD77" s="25">
        <v>1</v>
      </c>
      <c r="BE77" s="25"/>
      <c r="BF77" s="25"/>
      <c r="BG77" s="25">
        <v>1</v>
      </c>
      <c r="BH77" s="25"/>
      <c r="BI77" s="25"/>
      <c r="BJ77" s="25"/>
      <c r="BK77" s="25"/>
      <c r="BL77" s="25">
        <v>1</v>
      </c>
      <c r="BM77" s="25">
        <v>1</v>
      </c>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v>1</v>
      </c>
      <c r="CQ77" s="25"/>
      <c r="CR77" s="25"/>
      <c r="CS77" s="25"/>
      <c r="CT77" s="25"/>
      <c r="CU77" s="25"/>
      <c r="CV77" s="25">
        <v>1</v>
      </c>
      <c r="CW77" s="25"/>
      <c r="CX77" s="25"/>
      <c r="CY77" s="25"/>
      <c r="CZ77" s="25"/>
      <c r="DA77" s="25"/>
      <c r="DB77" s="25"/>
      <c r="DC77" s="25"/>
      <c r="DD77" s="25"/>
      <c r="DE77" s="25"/>
      <c r="DF77" s="25">
        <v>1</v>
      </c>
      <c r="DG77" s="25"/>
      <c r="DH77" s="25"/>
      <c r="DI77" s="25"/>
      <c r="DJ77" s="25"/>
      <c r="DK77" s="25"/>
      <c r="DL77" s="25"/>
      <c r="DM77" s="25"/>
      <c r="DN77" s="25"/>
      <c r="DO77" s="25"/>
      <c r="DP77" s="25"/>
      <c r="DQ77" s="25"/>
      <c r="DR77" s="25"/>
      <c r="DS77" s="25"/>
      <c r="DT77" s="25"/>
      <c r="DU77" s="25">
        <v>1</v>
      </c>
      <c r="DV77" s="25"/>
      <c r="DW77" s="25"/>
      <c r="DX77" s="25"/>
      <c r="DY77" s="25">
        <v>1</v>
      </c>
      <c r="DZ77" s="25"/>
      <c r="EA77" s="25"/>
      <c r="EB77" s="25"/>
      <c r="EC77" s="25"/>
      <c r="ED77" s="25">
        <v>1</v>
      </c>
      <c r="EE77" s="25"/>
      <c r="EF77" s="25">
        <v>1</v>
      </c>
      <c r="EG77" s="25"/>
      <c r="EH77" s="25"/>
      <c r="EI77" s="25">
        <v>1</v>
      </c>
      <c r="EJ77" s="25"/>
      <c r="EK77" s="25"/>
      <c r="EL77" s="25"/>
      <c r="EM77" s="25"/>
      <c r="EN77" s="25"/>
      <c r="EO77" s="25"/>
      <c r="EP77" s="25"/>
      <c r="EQ77" s="25"/>
      <c r="ER77" s="25"/>
      <c r="ES77" s="25"/>
      <c r="ET77" s="25"/>
      <c r="EU77" s="25"/>
      <c r="EV77" s="25"/>
      <c r="EW77" s="25">
        <v>1</v>
      </c>
      <c r="EX77" s="25"/>
      <c r="EY77" s="25"/>
      <c r="EZ77" s="25"/>
      <c r="FA77" s="25"/>
      <c r="FB77" s="25">
        <v>1</v>
      </c>
      <c r="FC77" s="25">
        <v>1</v>
      </c>
      <c r="FD77" s="25"/>
      <c r="FE77" s="25">
        <v>1</v>
      </c>
      <c r="FF77" s="25"/>
      <c r="FG77" s="25"/>
      <c r="FH77" s="25"/>
      <c r="FI77" s="25"/>
      <c r="FJ77" s="25"/>
      <c r="FK77" s="25"/>
      <c r="FL77" s="25"/>
      <c r="FM77" s="25"/>
      <c r="FN77" s="25"/>
      <c r="FO77" s="25"/>
      <c r="FP77" s="25"/>
      <c r="FQ77" s="25"/>
      <c r="FR77" s="25">
        <v>1</v>
      </c>
      <c r="FS77" s="25"/>
      <c r="FT77" s="25"/>
      <c r="FU77" s="25"/>
      <c r="FV77" s="25"/>
      <c r="FW77" s="25"/>
      <c r="FX77" s="25"/>
      <c r="FY77" s="25"/>
      <c r="FZ77" s="25"/>
      <c r="GA77" s="25"/>
      <c r="GB77" s="25"/>
      <c r="GC77" s="25"/>
      <c r="GD77" s="25"/>
      <c r="GE77" s="25"/>
      <c r="GF77" s="25"/>
    </row>
    <row r="78" spans="1:188" ht="13" x14ac:dyDescent="0.15">
      <c r="A78" s="27">
        <v>42482</v>
      </c>
      <c r="B78" s="28" t="s">
        <v>352</v>
      </c>
      <c r="C78" s="28">
        <v>21.7057</v>
      </c>
      <c r="D78" s="28">
        <v>-157.99569700000001</v>
      </c>
      <c r="E78" s="28" t="s">
        <v>353</v>
      </c>
      <c r="F78" s="29">
        <v>0.42708333333333331</v>
      </c>
      <c r="G78" s="29">
        <v>0.47916666666666669</v>
      </c>
      <c r="H78" s="28">
        <v>5</v>
      </c>
      <c r="I78" s="28">
        <v>17</v>
      </c>
      <c r="J78" s="28" t="s">
        <v>198</v>
      </c>
      <c r="K78" s="28">
        <v>8</v>
      </c>
      <c r="L78" s="28">
        <v>27</v>
      </c>
      <c r="M78" s="28" t="s">
        <v>354</v>
      </c>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v>1</v>
      </c>
      <c r="BM78" s="28">
        <v>1</v>
      </c>
      <c r="BN78" s="28"/>
      <c r="BO78" s="28"/>
      <c r="BP78" s="28"/>
      <c r="BQ78" s="28"/>
      <c r="BR78" s="28"/>
      <c r="BS78" s="28"/>
      <c r="BT78" s="28"/>
      <c r="BU78" s="28"/>
      <c r="BV78" s="28"/>
      <c r="BW78" s="28"/>
      <c r="BX78" s="28"/>
      <c r="BY78" s="28"/>
      <c r="BZ78" s="28"/>
      <c r="CA78" s="28">
        <v>1</v>
      </c>
      <c r="CB78" s="28">
        <v>1</v>
      </c>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v>1</v>
      </c>
      <c r="DP78" s="28"/>
      <c r="DQ78" s="28"/>
      <c r="DR78" s="28"/>
      <c r="DS78" s="28"/>
      <c r="DT78" s="28"/>
      <c r="DU78" s="28">
        <v>1</v>
      </c>
      <c r="DV78" s="28"/>
      <c r="DW78" s="28"/>
      <c r="DX78" s="28"/>
      <c r="DY78" s="28"/>
      <c r="DZ78" s="28"/>
      <c r="EA78" s="28"/>
      <c r="EB78" s="28"/>
      <c r="EC78" s="28">
        <v>1</v>
      </c>
      <c r="ED78" s="28"/>
      <c r="EE78" s="28">
        <v>1</v>
      </c>
      <c r="EF78" s="28"/>
      <c r="EG78" s="28"/>
      <c r="EH78" s="28"/>
      <c r="EI78" s="28"/>
      <c r="EJ78" s="28"/>
      <c r="EK78" s="28"/>
      <c r="EL78" s="28"/>
      <c r="EM78" s="28">
        <v>1</v>
      </c>
      <c r="EN78" s="28"/>
      <c r="EO78" s="28"/>
      <c r="EP78" s="28"/>
      <c r="EQ78" s="28"/>
      <c r="ER78" s="28"/>
      <c r="ES78" s="28"/>
      <c r="ET78" s="28"/>
      <c r="EU78" s="28"/>
      <c r="EV78" s="28"/>
      <c r="EW78" s="28"/>
      <c r="EX78" s="28"/>
      <c r="EY78" s="28"/>
      <c r="EZ78" s="28"/>
      <c r="FA78" s="28"/>
      <c r="FB78" s="28">
        <v>1</v>
      </c>
      <c r="FC78" s="28"/>
      <c r="FD78" s="28"/>
      <c r="FE78" s="28"/>
      <c r="FF78" s="28"/>
      <c r="FG78" s="28"/>
      <c r="FH78" s="28"/>
      <c r="FI78" s="28"/>
      <c r="FJ78" s="28">
        <v>1</v>
      </c>
      <c r="FK78" s="28"/>
      <c r="FL78" s="28"/>
      <c r="FM78" s="28"/>
      <c r="FN78" s="28"/>
      <c r="FO78" s="28"/>
      <c r="FP78" s="28"/>
      <c r="FQ78" s="28"/>
      <c r="FR78" s="28">
        <v>1</v>
      </c>
      <c r="FS78" s="28"/>
      <c r="FT78" s="28"/>
      <c r="FU78" s="28"/>
      <c r="FV78" s="28"/>
      <c r="FW78" s="28"/>
      <c r="FX78" s="28"/>
      <c r="FY78" s="28"/>
      <c r="FZ78" s="28"/>
      <c r="GA78" s="28"/>
      <c r="GB78" s="28"/>
      <c r="GC78" s="28"/>
      <c r="GD78" s="28"/>
      <c r="GE78" s="28"/>
      <c r="GF78" s="28"/>
    </row>
    <row r="79" spans="1:188" ht="13" x14ac:dyDescent="0.15">
      <c r="A79" s="27">
        <v>42482</v>
      </c>
      <c r="B79" s="28" t="s">
        <v>359</v>
      </c>
      <c r="C79" s="28">
        <v>21.196847999999999</v>
      </c>
      <c r="D79" s="28">
        <v>-157.14347799999999</v>
      </c>
      <c r="E79" s="28" t="s">
        <v>286</v>
      </c>
      <c r="F79" s="29">
        <v>0.35972222222222222</v>
      </c>
      <c r="G79" s="29">
        <v>0.39583333333333331</v>
      </c>
      <c r="H79" s="28">
        <v>4</v>
      </c>
      <c r="I79" s="28">
        <v>13</v>
      </c>
      <c r="J79" s="28" t="s">
        <v>314</v>
      </c>
      <c r="K79" s="28">
        <v>14</v>
      </c>
      <c r="L79" s="28">
        <v>36</v>
      </c>
      <c r="M79" s="28" t="s">
        <v>362</v>
      </c>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v>1</v>
      </c>
      <c r="CV79" s="28"/>
      <c r="CW79" s="28"/>
      <c r="CX79" s="28"/>
      <c r="CY79" s="28"/>
      <c r="CZ79" s="28"/>
      <c r="DA79" s="28"/>
      <c r="DB79" s="28"/>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v>1</v>
      </c>
      <c r="EJ79" s="28"/>
      <c r="EK79" s="28"/>
      <c r="EL79" s="28"/>
      <c r="EM79" s="28"/>
      <c r="EN79" s="28"/>
      <c r="EO79" s="28"/>
      <c r="EP79" s="28"/>
      <c r="EQ79" s="28"/>
      <c r="ER79" s="28"/>
      <c r="ES79" s="28"/>
      <c r="ET79" s="28"/>
      <c r="EU79" s="28"/>
      <c r="EV79" s="28"/>
      <c r="EW79" s="28"/>
      <c r="EX79" s="28"/>
      <c r="EY79" s="28"/>
      <c r="EZ79" s="28"/>
      <c r="FA79" s="28"/>
      <c r="FB79" s="28"/>
      <c r="FC79" s="28"/>
      <c r="FD79" s="28"/>
      <c r="FE79" s="28"/>
      <c r="FF79" s="28"/>
      <c r="FG79" s="28"/>
      <c r="FH79" s="28"/>
      <c r="FI79" s="28"/>
      <c r="FJ79" s="28"/>
      <c r="FK79" s="28">
        <v>1</v>
      </c>
      <c r="FL79" s="28"/>
      <c r="FM79" s="28"/>
      <c r="FN79" s="28"/>
      <c r="FO79" s="28"/>
      <c r="FP79" s="28"/>
      <c r="FQ79" s="28"/>
      <c r="FR79" s="28">
        <v>1</v>
      </c>
      <c r="FS79" s="28"/>
      <c r="FT79" s="28"/>
      <c r="FU79" s="28"/>
      <c r="FV79" s="28"/>
      <c r="FW79" s="28"/>
      <c r="FX79" s="28"/>
      <c r="FY79" s="28"/>
      <c r="FZ79" s="28"/>
      <c r="GA79" s="28"/>
      <c r="GB79" s="28"/>
      <c r="GC79" s="28"/>
      <c r="GD79" s="28"/>
      <c r="GE79" s="28"/>
      <c r="GF79" s="28"/>
    </row>
    <row r="80" spans="1:188" ht="13" x14ac:dyDescent="0.15">
      <c r="A80" s="27">
        <v>42487</v>
      </c>
      <c r="B80" s="28" t="s">
        <v>366</v>
      </c>
      <c r="C80" s="28">
        <v>19.715052</v>
      </c>
      <c r="D80" s="28">
        <v>-156.04913300000001</v>
      </c>
      <c r="E80" s="28" t="s">
        <v>367</v>
      </c>
      <c r="F80" s="29">
        <v>0.44444444444444442</v>
      </c>
      <c r="G80" s="29">
        <v>0.46805555555555556</v>
      </c>
      <c r="H80" s="28">
        <v>4</v>
      </c>
      <c r="I80" s="28">
        <v>40</v>
      </c>
      <c r="J80" s="28" t="s">
        <v>198</v>
      </c>
      <c r="K80" s="28">
        <v>11</v>
      </c>
      <c r="L80" s="28">
        <v>38</v>
      </c>
      <c r="M80" s="28" t="s">
        <v>368</v>
      </c>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v>1</v>
      </c>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c r="ET80" s="28"/>
      <c r="EU80" s="28"/>
      <c r="EV80" s="28"/>
      <c r="EW80" s="28"/>
      <c r="EX80" s="28"/>
      <c r="EY80" s="28"/>
      <c r="EZ80" s="28"/>
      <c r="FA80" s="28"/>
      <c r="FB80" s="28"/>
      <c r="FC80" s="28"/>
      <c r="FD80" s="28"/>
      <c r="FE80" s="28"/>
      <c r="FF80" s="28"/>
      <c r="FG80" s="28"/>
      <c r="FH80" s="28"/>
      <c r="FI80" s="28"/>
      <c r="FJ80" s="28"/>
      <c r="FK80" s="28"/>
      <c r="FL80" s="28"/>
      <c r="FM80" s="28"/>
      <c r="FN80" s="28">
        <v>1</v>
      </c>
      <c r="FO80" s="28"/>
      <c r="FP80" s="28"/>
      <c r="FQ80" s="28"/>
      <c r="FR80" s="28">
        <v>1</v>
      </c>
      <c r="FS80" s="28"/>
      <c r="FT80" s="28"/>
      <c r="FU80" s="28"/>
      <c r="FV80" s="28"/>
      <c r="FW80" s="28"/>
      <c r="FX80" s="28"/>
      <c r="FY80" s="28"/>
      <c r="FZ80" s="28"/>
      <c r="GA80" s="28"/>
      <c r="GB80" s="28"/>
      <c r="GC80" s="28"/>
      <c r="GD80" s="28"/>
      <c r="GE80" s="28"/>
      <c r="GF80" s="28"/>
    </row>
    <row r="81" spans="1:188" ht="13" x14ac:dyDescent="0.15">
      <c r="A81" s="13">
        <v>42488</v>
      </c>
      <c r="B81" s="3" t="s">
        <v>230</v>
      </c>
      <c r="C81" s="3">
        <v>20.753699999999998</v>
      </c>
      <c r="D81" s="3">
        <v>-156.46090699999999</v>
      </c>
      <c r="E81" s="3" t="s">
        <v>274</v>
      </c>
      <c r="F81" s="14">
        <v>0.41111111111111109</v>
      </c>
      <c r="G81" s="14">
        <v>0.51527777777777772</v>
      </c>
      <c r="H81" s="3">
        <v>4</v>
      </c>
      <c r="I81" s="3">
        <v>14</v>
      </c>
      <c r="J81" s="3" t="s">
        <v>277</v>
      </c>
      <c r="K81" s="3">
        <v>10</v>
      </c>
      <c r="L81" s="3">
        <v>39</v>
      </c>
      <c r="M81" s="3" t="s">
        <v>306</v>
      </c>
      <c r="BJ81" s="3">
        <v>1</v>
      </c>
      <c r="BL81" s="3">
        <v>1</v>
      </c>
      <c r="BP81" s="3">
        <v>1</v>
      </c>
      <c r="EC81" s="3">
        <v>1</v>
      </c>
      <c r="FR81" s="3">
        <v>1</v>
      </c>
    </row>
    <row r="82" spans="1:188" ht="13" x14ac:dyDescent="0.15">
      <c r="A82" s="13">
        <v>42495</v>
      </c>
      <c r="B82" s="3" t="s">
        <v>307</v>
      </c>
      <c r="C82" s="3">
        <v>19.736111000000001</v>
      </c>
      <c r="D82" s="3">
        <v>-155.03083799999999</v>
      </c>
      <c r="E82" s="3" t="s">
        <v>308</v>
      </c>
      <c r="F82" s="14">
        <v>0.36180555555555555</v>
      </c>
      <c r="G82" s="14">
        <v>0.41666666666666669</v>
      </c>
      <c r="H82" s="3">
        <v>8</v>
      </c>
      <c r="I82" s="3">
        <v>11</v>
      </c>
      <c r="J82" s="3" t="s">
        <v>198</v>
      </c>
      <c r="K82" s="3">
        <v>11</v>
      </c>
      <c r="L82" s="3">
        <v>64</v>
      </c>
      <c r="M82" s="3" t="s">
        <v>309</v>
      </c>
      <c r="Q82" s="3">
        <v>1</v>
      </c>
      <c r="S82" s="3">
        <v>1</v>
      </c>
      <c r="AC82" s="3">
        <v>1</v>
      </c>
      <c r="BD82" s="3">
        <v>1</v>
      </c>
      <c r="BJ82" s="3">
        <v>1</v>
      </c>
      <c r="BL82" s="3">
        <v>1</v>
      </c>
      <c r="BU82" s="3">
        <v>1</v>
      </c>
      <c r="CA82" s="3">
        <v>1</v>
      </c>
      <c r="CN82" s="3">
        <v>1</v>
      </c>
      <c r="EC82" s="3">
        <v>1</v>
      </c>
      <c r="EI82" s="3">
        <v>1</v>
      </c>
      <c r="EW82" s="3">
        <v>1</v>
      </c>
      <c r="FK82" s="3">
        <v>1</v>
      </c>
      <c r="FP82" s="3">
        <v>1</v>
      </c>
      <c r="FQ82" s="3">
        <v>1</v>
      </c>
      <c r="FR82" s="3">
        <v>1</v>
      </c>
      <c r="FS82" s="3">
        <v>1</v>
      </c>
    </row>
    <row r="83" spans="1:188" ht="13" x14ac:dyDescent="0.15">
      <c r="A83" s="27">
        <v>42508</v>
      </c>
      <c r="B83" s="28" t="s">
        <v>377</v>
      </c>
      <c r="C83" s="28">
        <v>20.704999999999998</v>
      </c>
      <c r="D83" s="28">
        <v>-156.446945</v>
      </c>
      <c r="E83" s="28" t="s">
        <v>378</v>
      </c>
      <c r="F83" s="29">
        <v>0.37222222222222223</v>
      </c>
      <c r="G83" s="29">
        <v>0.41666666666666669</v>
      </c>
      <c r="H83" s="28">
        <v>9</v>
      </c>
      <c r="I83" s="28">
        <v>13</v>
      </c>
      <c r="J83" s="28" t="s">
        <v>217</v>
      </c>
      <c r="K83" s="28">
        <v>9</v>
      </c>
      <c r="L83" s="28">
        <v>8</v>
      </c>
      <c r="M83" s="28" t="s">
        <v>379</v>
      </c>
      <c r="N83" s="28"/>
      <c r="O83" s="28"/>
      <c r="P83" s="28"/>
      <c r="Q83" s="28">
        <v>1</v>
      </c>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v>1</v>
      </c>
      <c r="BB83" s="28"/>
      <c r="BC83" s="28"/>
      <c r="BD83" s="28"/>
      <c r="BE83" s="28"/>
      <c r="BF83" s="28"/>
      <c r="BG83" s="28"/>
      <c r="BH83" s="28"/>
      <c r="BI83" s="28"/>
      <c r="BJ83" s="28">
        <v>1</v>
      </c>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v>1</v>
      </c>
      <c r="DH83" s="28"/>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c r="ET83" s="28"/>
      <c r="EU83" s="28"/>
      <c r="EV83" s="28"/>
      <c r="EW83" s="28">
        <v>1</v>
      </c>
      <c r="EX83" s="28"/>
      <c r="EY83" s="28"/>
      <c r="EZ83" s="28"/>
      <c r="FA83" s="28"/>
      <c r="FB83" s="28"/>
      <c r="FC83" s="28"/>
      <c r="FD83" s="28"/>
      <c r="FE83" s="28"/>
      <c r="FF83" s="28"/>
      <c r="FG83" s="28"/>
      <c r="FH83" s="28"/>
      <c r="FI83" s="28"/>
      <c r="FJ83" s="28"/>
      <c r="FK83" s="28"/>
      <c r="FL83" s="28"/>
      <c r="FM83" s="28"/>
      <c r="FN83" s="28"/>
      <c r="FO83" s="28"/>
      <c r="FP83" s="28"/>
      <c r="FQ83" s="28"/>
      <c r="FR83" s="28"/>
      <c r="FS83" s="28"/>
      <c r="FT83" s="28">
        <v>1</v>
      </c>
      <c r="FU83" s="28"/>
      <c r="FV83" s="28"/>
      <c r="FW83" s="28"/>
      <c r="FX83" s="28"/>
      <c r="FY83" s="28"/>
      <c r="FZ83" s="28"/>
      <c r="GA83" s="28"/>
      <c r="GB83" s="28"/>
      <c r="GC83" s="28"/>
      <c r="GD83" s="28"/>
      <c r="GE83" s="28"/>
      <c r="GF83" s="28"/>
    </row>
    <row r="84" spans="1:188" ht="13" x14ac:dyDescent="0.15">
      <c r="A84" s="13">
        <v>42510</v>
      </c>
      <c r="B84" s="3" t="s">
        <v>310</v>
      </c>
      <c r="C84" s="3">
        <v>19.457222000000002</v>
      </c>
      <c r="D84" s="3">
        <v>-155.925003</v>
      </c>
      <c r="E84" s="3" t="s">
        <v>197</v>
      </c>
      <c r="F84" s="14">
        <v>0.31944444444444442</v>
      </c>
      <c r="G84" s="14">
        <v>0.38541666666666669</v>
      </c>
      <c r="H84" s="3">
        <v>4</v>
      </c>
      <c r="I84" s="3">
        <v>30</v>
      </c>
      <c r="J84" s="3" t="s">
        <v>198</v>
      </c>
      <c r="K84" s="3">
        <v>14</v>
      </c>
      <c r="L84" s="3">
        <v>41</v>
      </c>
      <c r="M84" s="3" t="s">
        <v>311</v>
      </c>
      <c r="AA84" s="3">
        <v>1</v>
      </c>
      <c r="AL84" s="3">
        <v>1</v>
      </c>
      <c r="BA84" s="3">
        <v>1</v>
      </c>
      <c r="BF84" s="3">
        <v>1</v>
      </c>
      <c r="BL84" s="3">
        <v>1</v>
      </c>
      <c r="CA84" s="3">
        <v>1</v>
      </c>
      <c r="CF84" s="3"/>
      <c r="CG84" s="3">
        <v>1</v>
      </c>
      <c r="DL84" s="3">
        <v>1</v>
      </c>
      <c r="DT84" s="3"/>
      <c r="DU84" s="3">
        <v>1</v>
      </c>
      <c r="EI84" s="3">
        <v>1</v>
      </c>
      <c r="FA84" s="3">
        <v>1</v>
      </c>
      <c r="FB84" s="3">
        <v>1</v>
      </c>
      <c r="FE84" s="3">
        <v>1</v>
      </c>
      <c r="FP84" s="3">
        <v>1</v>
      </c>
      <c r="FQ84" s="3">
        <v>1</v>
      </c>
      <c r="FR84" s="3">
        <v>1</v>
      </c>
    </row>
    <row r="85" spans="1:188" ht="13" x14ac:dyDescent="0.15">
      <c r="A85" s="13">
        <v>42761</v>
      </c>
      <c r="B85" s="3" t="s">
        <v>233</v>
      </c>
      <c r="C85" s="23">
        <v>21.066799</v>
      </c>
      <c r="D85" s="23">
        <v>-156.804993</v>
      </c>
      <c r="E85" s="3" t="s">
        <v>286</v>
      </c>
      <c r="F85" s="14">
        <v>0.41666666666666669</v>
      </c>
      <c r="G85" s="14">
        <v>0.47222222222222221</v>
      </c>
      <c r="H85" s="3">
        <v>4</v>
      </c>
      <c r="I85" s="3">
        <v>20</v>
      </c>
      <c r="J85" s="3" t="s">
        <v>217</v>
      </c>
      <c r="K85" s="3">
        <v>10</v>
      </c>
      <c r="L85" s="3">
        <v>20</v>
      </c>
      <c r="M85" s="3" t="s">
        <v>316</v>
      </c>
      <c r="N85" s="3" t="s">
        <v>317</v>
      </c>
      <c r="Q85" s="3">
        <v>1</v>
      </c>
      <c r="X85" s="3"/>
      <c r="Y85" s="3">
        <v>1</v>
      </c>
      <c r="CN85" s="3">
        <v>1</v>
      </c>
      <c r="DL85" s="3">
        <v>1</v>
      </c>
      <c r="DQ85" s="3"/>
      <c r="DR85" s="3">
        <v>1</v>
      </c>
      <c r="FR85" s="3">
        <v>1</v>
      </c>
      <c r="FY85" s="3">
        <v>1</v>
      </c>
    </row>
    <row r="86" spans="1:188" ht="13" x14ac:dyDescent="0.15">
      <c r="A86" s="13">
        <v>42778</v>
      </c>
      <c r="B86" s="3" t="s">
        <v>201</v>
      </c>
      <c r="C86" s="3">
        <v>21.25544</v>
      </c>
      <c r="D86" s="3">
        <v>-157.810303</v>
      </c>
      <c r="E86" s="3" t="s">
        <v>197</v>
      </c>
      <c r="F86" s="14">
        <v>0.44791666666666669</v>
      </c>
      <c r="G86" s="14">
        <v>0.48958333333333331</v>
      </c>
      <c r="H86" s="3">
        <v>9</v>
      </c>
      <c r="I86" s="3">
        <v>12</v>
      </c>
      <c r="J86" s="3" t="s">
        <v>318</v>
      </c>
      <c r="K86" s="3">
        <v>7</v>
      </c>
      <c r="L86" s="3">
        <v>47</v>
      </c>
      <c r="M86" s="3" t="s">
        <v>319</v>
      </c>
      <c r="Q86" s="3">
        <v>1</v>
      </c>
      <c r="Z86" s="3"/>
      <c r="AA86" s="3">
        <v>1</v>
      </c>
      <c r="AB86" s="3">
        <v>1</v>
      </c>
      <c r="AH86" s="3">
        <v>1</v>
      </c>
      <c r="AY86" s="3">
        <v>1</v>
      </c>
      <c r="AZ86" s="3"/>
      <c r="BA86" s="3">
        <v>1</v>
      </c>
      <c r="BL86" s="3">
        <v>1</v>
      </c>
      <c r="BM86" s="3">
        <v>1</v>
      </c>
      <c r="BP86" s="3">
        <v>1</v>
      </c>
      <c r="BU86" s="3">
        <v>1</v>
      </c>
      <c r="BY86" s="3">
        <v>1</v>
      </c>
      <c r="CF86" s="3"/>
      <c r="CG86" s="3">
        <v>1</v>
      </c>
      <c r="CI86" s="3"/>
      <c r="CJ86" s="3">
        <v>1</v>
      </c>
      <c r="CN86" s="3">
        <v>1</v>
      </c>
      <c r="CR86" s="3">
        <v>1</v>
      </c>
      <c r="DE86" s="3"/>
      <c r="DF86" s="3">
        <v>1</v>
      </c>
      <c r="DI86" s="3">
        <v>1</v>
      </c>
      <c r="DK86" s="3">
        <v>1</v>
      </c>
      <c r="DL86" s="3">
        <v>1</v>
      </c>
      <c r="DM86" s="3">
        <v>1</v>
      </c>
      <c r="DN86" s="3">
        <v>1</v>
      </c>
      <c r="DQ86" s="3"/>
      <c r="DR86" s="3">
        <v>1</v>
      </c>
      <c r="DT86" s="3"/>
      <c r="DU86" s="3">
        <v>1</v>
      </c>
      <c r="DY86" s="3">
        <v>1</v>
      </c>
      <c r="EB86" s="3">
        <v>1</v>
      </c>
      <c r="ED86" s="3"/>
      <c r="EE86" s="3">
        <v>1</v>
      </c>
      <c r="EH86" s="3"/>
      <c r="EI86" s="3">
        <v>1</v>
      </c>
      <c r="EX86" s="3"/>
      <c r="EY86" s="3">
        <v>1</v>
      </c>
      <c r="EZ86" s="3">
        <v>1</v>
      </c>
      <c r="FA86" s="3">
        <v>1</v>
      </c>
      <c r="FB86" s="3">
        <v>1</v>
      </c>
      <c r="FH86" s="3">
        <v>1</v>
      </c>
      <c r="FL86" s="3">
        <v>1</v>
      </c>
      <c r="FQ86" s="3">
        <v>1</v>
      </c>
      <c r="FR86" s="3">
        <v>1</v>
      </c>
      <c r="GD86" s="3"/>
      <c r="GE86" s="3">
        <v>1</v>
      </c>
    </row>
    <row r="87" spans="1:188" ht="13" x14ac:dyDescent="0.15">
      <c r="A87" s="13">
        <v>42788</v>
      </c>
      <c r="B87" s="3" t="s">
        <v>320</v>
      </c>
      <c r="C87" s="3">
        <v>22.005989</v>
      </c>
      <c r="D87" s="3">
        <v>-159.33564799999999</v>
      </c>
      <c r="E87" s="3" t="s">
        <v>321</v>
      </c>
      <c r="F87" s="14">
        <v>0.38194444444444442</v>
      </c>
      <c r="G87" s="14">
        <v>0.48125000000000001</v>
      </c>
      <c r="H87" s="3">
        <v>2</v>
      </c>
      <c r="I87" s="3">
        <v>8</v>
      </c>
      <c r="J87" s="3" t="s">
        <v>318</v>
      </c>
      <c r="K87" s="3">
        <v>7</v>
      </c>
      <c r="L87" s="3">
        <v>12</v>
      </c>
      <c r="M87" s="3" t="s">
        <v>322</v>
      </c>
      <c r="Q87" s="3">
        <v>1</v>
      </c>
      <c r="AL87" s="3">
        <v>1</v>
      </c>
      <c r="AZ87" s="3"/>
      <c r="BA87" s="3">
        <v>1</v>
      </c>
      <c r="BV87" s="3">
        <v>1</v>
      </c>
      <c r="DK87" s="3">
        <v>1</v>
      </c>
      <c r="DT87" s="3"/>
      <c r="DU87" s="3">
        <v>1</v>
      </c>
      <c r="EH87" s="3"/>
      <c r="EI87" s="3">
        <v>1</v>
      </c>
      <c r="EX87" s="3"/>
      <c r="EY87" s="3">
        <v>1</v>
      </c>
      <c r="FD87" s="3">
        <v>1</v>
      </c>
      <c r="FR87" s="3">
        <v>1</v>
      </c>
      <c r="FT87" s="3">
        <v>1</v>
      </c>
      <c r="FZ87" s="3">
        <v>1</v>
      </c>
    </row>
    <row r="88" spans="1:188" ht="13" x14ac:dyDescent="0.15">
      <c r="A88" s="13">
        <v>42791</v>
      </c>
      <c r="B88" s="3" t="s">
        <v>244</v>
      </c>
      <c r="C88" s="3">
        <v>21.310611999999999</v>
      </c>
      <c r="D88" s="3">
        <v>-158.00441000000001</v>
      </c>
      <c r="E88" s="3" t="s">
        <v>197</v>
      </c>
      <c r="F88" s="14">
        <v>0.41319444444444442</v>
      </c>
      <c r="G88" s="14">
        <v>0.47916666666666669</v>
      </c>
      <c r="H88" s="3">
        <v>9</v>
      </c>
      <c r="I88" s="3">
        <v>14</v>
      </c>
      <c r="J88" s="3" t="s">
        <v>318</v>
      </c>
      <c r="K88" s="3">
        <v>8</v>
      </c>
      <c r="L88" s="3">
        <v>54</v>
      </c>
      <c r="M88" s="3" t="s">
        <v>323</v>
      </c>
      <c r="Q88" s="3">
        <v>1</v>
      </c>
      <c r="S88" s="3">
        <v>1</v>
      </c>
      <c r="T88" s="3"/>
      <c r="U88" s="3">
        <v>1</v>
      </c>
      <c r="Z88" s="3"/>
      <c r="AA88" s="3">
        <v>1</v>
      </c>
      <c r="AD88" s="3">
        <v>1</v>
      </c>
      <c r="AH88" s="3">
        <v>1</v>
      </c>
      <c r="AQ88" s="3">
        <v>1</v>
      </c>
      <c r="AR88" s="3">
        <v>1</v>
      </c>
      <c r="AZ88" s="3"/>
      <c r="BA88" s="3">
        <v>1</v>
      </c>
      <c r="BB88" s="3">
        <v>1</v>
      </c>
      <c r="BD88" s="3">
        <v>1</v>
      </c>
      <c r="BJ88" s="3">
        <v>1</v>
      </c>
      <c r="BL88" s="3">
        <v>1</v>
      </c>
      <c r="BM88" s="3">
        <v>1</v>
      </c>
      <c r="BP88" s="3">
        <v>1</v>
      </c>
      <c r="BT88" s="3">
        <v>1</v>
      </c>
      <c r="BU88" s="3">
        <v>1</v>
      </c>
      <c r="BX88" s="3">
        <v>1</v>
      </c>
      <c r="BY88" s="3">
        <v>1</v>
      </c>
      <c r="CF88" s="3"/>
      <c r="CG88" s="3">
        <v>1</v>
      </c>
      <c r="CR88" s="3">
        <v>1</v>
      </c>
      <c r="DE88" s="3"/>
      <c r="DF88" s="3">
        <v>1</v>
      </c>
      <c r="DI88" s="3">
        <v>1</v>
      </c>
      <c r="DL88" s="3">
        <v>1</v>
      </c>
      <c r="DN88" s="3">
        <v>1</v>
      </c>
      <c r="DP88" s="3">
        <v>1</v>
      </c>
      <c r="DT88" s="3"/>
      <c r="DU88" s="3">
        <v>1</v>
      </c>
      <c r="EB88" s="3">
        <v>1</v>
      </c>
      <c r="EH88" s="3"/>
      <c r="EI88" s="3">
        <v>1</v>
      </c>
      <c r="EN88" s="3">
        <v>1</v>
      </c>
      <c r="EX88" s="3">
        <v>1</v>
      </c>
      <c r="FA88" s="3">
        <v>1</v>
      </c>
      <c r="FP88" s="3">
        <v>1</v>
      </c>
      <c r="FR88" s="3">
        <v>1</v>
      </c>
      <c r="FS88" s="3">
        <v>1</v>
      </c>
      <c r="GD88" s="3"/>
      <c r="GE88" s="3">
        <v>1</v>
      </c>
    </row>
    <row r="89" spans="1:188" ht="13" x14ac:dyDescent="0.15">
      <c r="A89" s="13">
        <v>42798</v>
      </c>
      <c r="B89" s="3" t="s">
        <v>230</v>
      </c>
      <c r="C89" s="3">
        <v>20.753699999999998</v>
      </c>
      <c r="D89" s="3">
        <v>-156.46090699999999</v>
      </c>
      <c r="E89" s="3" t="s">
        <v>197</v>
      </c>
      <c r="F89" s="14">
        <v>0.59027777777777779</v>
      </c>
      <c r="G89" s="14">
        <v>0.67708333333333337</v>
      </c>
      <c r="H89" s="3">
        <v>3</v>
      </c>
      <c r="I89" s="3">
        <v>21</v>
      </c>
      <c r="J89" s="3" t="s">
        <v>318</v>
      </c>
      <c r="K89" s="3">
        <v>16</v>
      </c>
      <c r="L89" s="3">
        <v>43</v>
      </c>
      <c r="M89" s="3" t="s">
        <v>324</v>
      </c>
      <c r="Q89" s="3">
        <v>1</v>
      </c>
      <c r="AL89" s="3">
        <v>1</v>
      </c>
      <c r="BL89" s="3">
        <v>1</v>
      </c>
      <c r="CI89" s="3">
        <v>1</v>
      </c>
      <c r="DE89" s="3"/>
      <c r="DF89" s="3">
        <v>1</v>
      </c>
      <c r="DO89" s="3">
        <v>1</v>
      </c>
      <c r="DT89" s="3"/>
      <c r="DU89" s="3">
        <v>1</v>
      </c>
      <c r="EC89" s="3">
        <v>1</v>
      </c>
      <c r="EH89" s="3">
        <v>1</v>
      </c>
      <c r="EW89" s="3">
        <v>1</v>
      </c>
      <c r="FP89" s="3">
        <v>1</v>
      </c>
      <c r="FR89" s="3">
        <v>1</v>
      </c>
      <c r="FS89" s="3">
        <v>1</v>
      </c>
      <c r="GC89" s="3">
        <v>1</v>
      </c>
      <c r="GD89" s="3"/>
      <c r="GE89" s="3">
        <v>1</v>
      </c>
    </row>
    <row r="90" spans="1:188" ht="13" x14ac:dyDescent="0.15">
      <c r="A90" s="24">
        <v>42802</v>
      </c>
      <c r="B90" s="25" t="s">
        <v>244</v>
      </c>
      <c r="C90" s="25">
        <v>21.310611999999999</v>
      </c>
      <c r="D90" s="25">
        <v>-158.00441000000001</v>
      </c>
      <c r="E90" s="25" t="s">
        <v>278</v>
      </c>
      <c r="F90" s="26">
        <v>0.38541666666666669</v>
      </c>
      <c r="G90" s="26">
        <v>0.46875</v>
      </c>
      <c r="H90" s="25">
        <v>6</v>
      </c>
      <c r="I90" s="25">
        <v>10</v>
      </c>
      <c r="J90" s="25" t="s">
        <v>198</v>
      </c>
      <c r="K90" s="25">
        <v>5</v>
      </c>
      <c r="L90" s="25">
        <v>30</v>
      </c>
      <c r="M90" s="25"/>
      <c r="N90" s="25"/>
      <c r="O90" s="25"/>
      <c r="P90" s="25"/>
      <c r="Q90" s="25">
        <v>1</v>
      </c>
      <c r="R90" s="25"/>
      <c r="S90" s="25"/>
      <c r="T90" s="25"/>
      <c r="U90" s="25"/>
      <c r="V90" s="25"/>
      <c r="W90" s="25"/>
      <c r="X90" s="25"/>
      <c r="Y90" s="25"/>
      <c r="Z90" s="25"/>
      <c r="AA90" s="25">
        <v>1</v>
      </c>
      <c r="AB90" s="25"/>
      <c r="AC90" s="25"/>
      <c r="AD90" s="25">
        <v>1</v>
      </c>
      <c r="AE90" s="25"/>
      <c r="AF90" s="25"/>
      <c r="AG90" s="25"/>
      <c r="AH90" s="25">
        <v>1</v>
      </c>
      <c r="AI90" s="25"/>
      <c r="AJ90" s="25"/>
      <c r="AK90" s="25"/>
      <c r="AL90" s="25">
        <v>1</v>
      </c>
      <c r="AM90" s="25"/>
      <c r="AN90" s="25"/>
      <c r="AO90" s="25"/>
      <c r="AP90" s="25"/>
      <c r="AQ90" s="25"/>
      <c r="AR90" s="25"/>
      <c r="AS90" s="25"/>
      <c r="AT90" s="25"/>
      <c r="AU90" s="25"/>
      <c r="AV90" s="25"/>
      <c r="AW90" s="25"/>
      <c r="AX90" s="25"/>
      <c r="AY90" s="25"/>
      <c r="AZ90" s="25"/>
      <c r="BA90" s="25">
        <v>1</v>
      </c>
      <c r="BB90" s="25"/>
      <c r="BC90" s="25"/>
      <c r="BD90" s="25">
        <v>1</v>
      </c>
      <c r="BE90" s="25"/>
      <c r="BF90" s="25"/>
      <c r="BG90" s="25"/>
      <c r="BH90" s="25"/>
      <c r="BI90" s="25"/>
      <c r="BJ90" s="25">
        <v>1</v>
      </c>
      <c r="BK90" s="25"/>
      <c r="BL90" s="25">
        <v>1</v>
      </c>
      <c r="BM90" s="25"/>
      <c r="BN90" s="25"/>
      <c r="BO90" s="25"/>
      <c r="BP90" s="25"/>
      <c r="BQ90" s="25"/>
      <c r="BR90" s="25"/>
      <c r="BS90" s="25"/>
      <c r="BT90" s="25"/>
      <c r="BU90" s="25"/>
      <c r="BV90" s="25"/>
      <c r="BW90" s="25"/>
      <c r="BX90" s="25"/>
      <c r="BY90" s="25">
        <v>1</v>
      </c>
      <c r="BZ90" s="25"/>
      <c r="CA90" s="25"/>
      <c r="CB90" s="25"/>
      <c r="CC90" s="25"/>
      <c r="CD90" s="25"/>
      <c r="CE90" s="25"/>
      <c r="CF90" s="25"/>
      <c r="CG90" s="25"/>
      <c r="CH90" s="25"/>
      <c r="CI90" s="25"/>
      <c r="CJ90" s="25"/>
      <c r="CK90" s="25"/>
      <c r="CL90" s="25"/>
      <c r="CM90" s="25"/>
      <c r="CN90" s="25"/>
      <c r="CO90" s="25"/>
      <c r="CP90" s="25"/>
      <c r="CQ90" s="25"/>
      <c r="CR90" s="25">
        <v>1</v>
      </c>
      <c r="CS90" s="25"/>
      <c r="CT90" s="25"/>
      <c r="CU90" s="25">
        <v>1</v>
      </c>
      <c r="CV90" s="25"/>
      <c r="CW90" s="25"/>
      <c r="CX90" s="25"/>
      <c r="CY90" s="25"/>
      <c r="CZ90" s="25"/>
      <c r="DA90" s="25"/>
      <c r="DB90" s="25"/>
      <c r="DC90" s="25"/>
      <c r="DD90" s="25"/>
      <c r="DE90" s="25"/>
      <c r="DF90" s="25">
        <v>1</v>
      </c>
      <c r="DG90" s="25"/>
      <c r="DH90" s="25"/>
      <c r="DI90" s="25"/>
      <c r="DJ90" s="25"/>
      <c r="DK90" s="25"/>
      <c r="DL90" s="25">
        <v>1</v>
      </c>
      <c r="DM90" s="25"/>
      <c r="DN90" s="25">
        <v>1</v>
      </c>
      <c r="DO90" s="25"/>
      <c r="DP90" s="25"/>
      <c r="DQ90" s="25"/>
      <c r="DR90" s="25">
        <v>1</v>
      </c>
      <c r="DS90" s="25"/>
      <c r="DT90" s="25"/>
      <c r="DU90" s="25"/>
      <c r="DV90" s="25"/>
      <c r="DW90" s="25"/>
      <c r="DX90" s="25"/>
      <c r="DY90" s="25"/>
      <c r="DZ90" s="25"/>
      <c r="EA90" s="25"/>
      <c r="EB90" s="25"/>
      <c r="EC90" s="25"/>
      <c r="ED90" s="25"/>
      <c r="EE90" s="25"/>
      <c r="EF90" s="25"/>
      <c r="EG90" s="25"/>
      <c r="EH90" s="25"/>
      <c r="EI90" s="25">
        <v>1</v>
      </c>
      <c r="EJ90" s="25"/>
      <c r="EK90" s="25"/>
      <c r="EL90" s="25"/>
      <c r="EM90" s="25"/>
      <c r="EN90" s="25"/>
      <c r="EO90" s="25"/>
      <c r="EP90" s="25"/>
      <c r="EQ90" s="25"/>
      <c r="ER90" s="25"/>
      <c r="ES90" s="25"/>
      <c r="ET90" s="25"/>
      <c r="EU90" s="25"/>
      <c r="EV90" s="25"/>
      <c r="EW90" s="25"/>
      <c r="EX90" s="25"/>
      <c r="EY90" s="25"/>
      <c r="EZ90" s="25"/>
      <c r="FA90" s="25">
        <v>1</v>
      </c>
      <c r="FB90" s="25"/>
      <c r="FC90" s="25"/>
      <c r="FD90" s="25"/>
      <c r="FE90" s="25"/>
      <c r="FF90" s="25"/>
      <c r="FG90" s="25"/>
      <c r="FH90" s="25"/>
      <c r="FI90" s="25"/>
      <c r="FJ90" s="25"/>
      <c r="FK90" s="25"/>
      <c r="FL90" s="25"/>
      <c r="FM90" s="25"/>
      <c r="FN90" s="25"/>
      <c r="FO90" s="25"/>
      <c r="FP90" s="25"/>
      <c r="FQ90" s="25"/>
      <c r="FR90" s="25">
        <v>1</v>
      </c>
      <c r="FS90" s="25"/>
      <c r="FT90" s="25"/>
      <c r="FU90" s="25"/>
      <c r="FV90" s="25">
        <v>1</v>
      </c>
      <c r="FW90" s="25"/>
      <c r="FX90" s="25"/>
      <c r="FY90" s="25"/>
      <c r="FZ90" s="25"/>
      <c r="GA90" s="25"/>
      <c r="GB90" s="25"/>
      <c r="GC90" s="25"/>
      <c r="GD90" s="25"/>
      <c r="GE90" s="25"/>
      <c r="GF90" s="25"/>
    </row>
    <row r="91" spans="1:188" ht="13" x14ac:dyDescent="0.15">
      <c r="A91" s="24">
        <v>42803</v>
      </c>
      <c r="B91" s="25" t="s">
        <v>244</v>
      </c>
      <c r="C91" s="25">
        <v>21.310611999999999</v>
      </c>
      <c r="D91" s="25">
        <v>-158.00441000000001</v>
      </c>
      <c r="E91" s="25" t="s">
        <v>326</v>
      </c>
      <c r="F91" s="26">
        <v>0.39583333333333331</v>
      </c>
      <c r="G91" s="26">
        <v>0.47916666666666669</v>
      </c>
      <c r="H91" s="25">
        <v>7</v>
      </c>
      <c r="I91" s="25">
        <v>14</v>
      </c>
      <c r="J91" s="25" t="s">
        <v>318</v>
      </c>
      <c r="K91" s="25">
        <v>5</v>
      </c>
      <c r="L91" s="25">
        <v>26</v>
      </c>
      <c r="M91" s="25" t="s">
        <v>327</v>
      </c>
      <c r="N91" s="25"/>
      <c r="O91" s="25"/>
      <c r="P91" s="25"/>
      <c r="Q91" s="25">
        <v>1</v>
      </c>
      <c r="R91" s="25"/>
      <c r="S91" s="25"/>
      <c r="T91" s="25"/>
      <c r="U91" s="25"/>
      <c r="V91" s="25"/>
      <c r="W91" s="25">
        <v>1</v>
      </c>
      <c r="X91" s="25"/>
      <c r="Y91" s="25"/>
      <c r="Z91" s="25"/>
      <c r="AA91" s="25">
        <v>1</v>
      </c>
      <c r="AB91" s="25">
        <v>1</v>
      </c>
      <c r="AC91" s="25"/>
      <c r="AD91" s="25">
        <v>1</v>
      </c>
      <c r="AE91" s="25"/>
      <c r="AF91" s="25"/>
      <c r="AG91" s="25"/>
      <c r="AH91" s="25">
        <v>1</v>
      </c>
      <c r="AI91" s="25"/>
      <c r="AJ91" s="25"/>
      <c r="AK91" s="25"/>
      <c r="AL91" s="25"/>
      <c r="AM91" s="25"/>
      <c r="AN91" s="25"/>
      <c r="AO91" s="25"/>
      <c r="AP91" s="25"/>
      <c r="AQ91" s="25"/>
      <c r="AR91" s="25"/>
      <c r="AS91" s="25"/>
      <c r="AT91" s="25"/>
      <c r="AU91" s="25"/>
      <c r="AV91" s="25"/>
      <c r="AW91" s="25"/>
      <c r="AX91" s="25"/>
      <c r="AY91" s="25"/>
      <c r="AZ91" s="25"/>
      <c r="BA91" s="25"/>
      <c r="BB91" s="25"/>
      <c r="BC91" s="25"/>
      <c r="BD91" s="25">
        <v>1</v>
      </c>
      <c r="BE91" s="25"/>
      <c r="BF91" s="25"/>
      <c r="BG91" s="25"/>
      <c r="BH91" s="25"/>
      <c r="BI91" s="25"/>
      <c r="BJ91" s="25"/>
      <c r="BK91" s="25"/>
      <c r="BL91" s="25"/>
      <c r="BM91" s="25">
        <v>1</v>
      </c>
      <c r="BN91" s="25"/>
      <c r="BO91" s="25"/>
      <c r="BP91" s="25"/>
      <c r="BQ91" s="25"/>
      <c r="BR91" s="25"/>
      <c r="BS91" s="25"/>
      <c r="BT91" s="25"/>
      <c r="BU91" s="25">
        <v>1</v>
      </c>
      <c r="BV91" s="25"/>
      <c r="BW91" s="25"/>
      <c r="BX91" s="25"/>
      <c r="BY91" s="25">
        <v>1</v>
      </c>
      <c r="BZ91" s="25"/>
      <c r="CA91" s="25"/>
      <c r="CB91" s="25"/>
      <c r="CC91" s="25"/>
      <c r="CD91" s="25"/>
      <c r="CE91" s="25"/>
      <c r="CF91" s="25"/>
      <c r="CG91" s="25">
        <v>1</v>
      </c>
      <c r="CH91" s="25"/>
      <c r="CI91" s="25"/>
      <c r="CJ91" s="25"/>
      <c r="CK91" s="25"/>
      <c r="CL91" s="25"/>
      <c r="CM91" s="25"/>
      <c r="CN91" s="25"/>
      <c r="CO91" s="25"/>
      <c r="CP91" s="25"/>
      <c r="CQ91" s="25"/>
      <c r="CR91" s="25">
        <v>1</v>
      </c>
      <c r="CS91" s="25"/>
      <c r="CT91" s="25"/>
      <c r="CU91" s="25"/>
      <c r="CV91" s="25"/>
      <c r="CW91" s="25"/>
      <c r="CX91" s="25"/>
      <c r="CY91" s="25"/>
      <c r="CZ91" s="25"/>
      <c r="DA91" s="25"/>
      <c r="DB91" s="25"/>
      <c r="DC91" s="25"/>
      <c r="DD91" s="25"/>
      <c r="DE91" s="25"/>
      <c r="DF91" s="25">
        <v>1</v>
      </c>
      <c r="DG91" s="25"/>
      <c r="DH91" s="25"/>
      <c r="DI91" s="25">
        <v>1</v>
      </c>
      <c r="DJ91" s="25"/>
      <c r="DK91" s="25"/>
      <c r="DL91" s="25">
        <v>1</v>
      </c>
      <c r="DM91" s="25"/>
      <c r="DN91" s="25">
        <v>1</v>
      </c>
      <c r="DO91" s="25"/>
      <c r="DP91" s="25"/>
      <c r="DQ91" s="25"/>
      <c r="DR91" s="25"/>
      <c r="DS91" s="25"/>
      <c r="DT91" s="25"/>
      <c r="DU91" s="25">
        <v>1</v>
      </c>
      <c r="DV91" s="25"/>
      <c r="DW91" s="25"/>
      <c r="DX91" s="25"/>
      <c r="DY91" s="25"/>
      <c r="DZ91" s="25"/>
      <c r="EA91" s="25"/>
      <c r="EB91" s="25">
        <v>1</v>
      </c>
      <c r="EC91" s="25"/>
      <c r="ED91" s="25"/>
      <c r="EE91" s="25">
        <v>1</v>
      </c>
      <c r="EF91" s="25"/>
      <c r="EG91" s="25"/>
      <c r="EH91" s="25"/>
      <c r="EI91" s="25">
        <v>1</v>
      </c>
      <c r="EJ91" s="25"/>
      <c r="EK91" s="25"/>
      <c r="EL91" s="25"/>
      <c r="EM91" s="25"/>
      <c r="EN91" s="25"/>
      <c r="EO91" s="25"/>
      <c r="EP91" s="25"/>
      <c r="EQ91" s="25"/>
      <c r="ER91" s="25"/>
      <c r="ES91" s="25"/>
      <c r="ET91" s="25"/>
      <c r="EU91" s="25"/>
      <c r="EV91" s="25">
        <v>1</v>
      </c>
      <c r="EW91" s="25"/>
      <c r="EX91" s="25"/>
      <c r="EY91" s="25"/>
      <c r="EZ91" s="25"/>
      <c r="FA91" s="25"/>
      <c r="FB91" s="25"/>
      <c r="FC91" s="25"/>
      <c r="FD91" s="25"/>
      <c r="FE91" s="25"/>
      <c r="FF91" s="25"/>
      <c r="FG91" s="25"/>
      <c r="FH91" s="25">
        <v>1</v>
      </c>
      <c r="FI91" s="25"/>
      <c r="FJ91" s="25"/>
      <c r="FK91" s="25"/>
      <c r="FL91" s="25"/>
      <c r="FM91" s="25"/>
      <c r="FN91" s="25"/>
      <c r="FO91" s="25"/>
      <c r="FP91" s="25"/>
      <c r="FQ91" s="25">
        <v>1</v>
      </c>
      <c r="FR91" s="25">
        <v>1</v>
      </c>
      <c r="FS91" s="25"/>
      <c r="FT91" s="25"/>
      <c r="FU91" s="25"/>
      <c r="FV91" s="25"/>
      <c r="FW91" s="25"/>
      <c r="FX91" s="25"/>
      <c r="FY91" s="25"/>
      <c r="FZ91" s="25"/>
      <c r="GA91" s="25"/>
      <c r="GB91" s="25">
        <v>1</v>
      </c>
      <c r="GC91" s="25">
        <v>1</v>
      </c>
      <c r="GD91" s="25"/>
      <c r="GE91" s="25"/>
      <c r="GF91" s="25"/>
    </row>
    <row r="92" spans="1:188" ht="13" x14ac:dyDescent="0.15">
      <c r="A92" s="24">
        <v>42804</v>
      </c>
      <c r="B92" s="25" t="s">
        <v>329</v>
      </c>
      <c r="C92" s="25">
        <v>21.140799999999999</v>
      </c>
      <c r="D92" s="25">
        <v>-157.29011499999999</v>
      </c>
      <c r="E92" s="25" t="s">
        <v>330</v>
      </c>
      <c r="F92" s="26">
        <v>0.4375</v>
      </c>
      <c r="G92" s="26">
        <v>0.46736111111111112</v>
      </c>
      <c r="H92" s="25">
        <v>6</v>
      </c>
      <c r="I92" s="25">
        <v>10</v>
      </c>
      <c r="J92" s="25" t="s">
        <v>318</v>
      </c>
      <c r="K92" s="25">
        <v>5</v>
      </c>
      <c r="L92" s="25">
        <v>27</v>
      </c>
      <c r="M92" s="25" t="s">
        <v>331</v>
      </c>
      <c r="N92" s="25"/>
      <c r="O92" s="25"/>
      <c r="P92" s="25"/>
      <c r="Q92" s="25"/>
      <c r="R92" s="25"/>
      <c r="S92" s="25"/>
      <c r="T92" s="25"/>
      <c r="U92" s="25"/>
      <c r="V92" s="25"/>
      <c r="W92" s="25"/>
      <c r="X92" s="25"/>
      <c r="Y92" s="25"/>
      <c r="Z92" s="25"/>
      <c r="AA92" s="25"/>
      <c r="AB92" s="25">
        <v>1</v>
      </c>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v>1</v>
      </c>
      <c r="BM92" s="25"/>
      <c r="BN92" s="25"/>
      <c r="BO92" s="25"/>
      <c r="BP92" s="25"/>
      <c r="BQ92" s="25"/>
      <c r="BR92" s="25"/>
      <c r="BS92" s="25"/>
      <c r="BT92" s="25"/>
      <c r="BU92" s="25"/>
      <c r="BV92" s="25"/>
      <c r="BW92" s="25"/>
      <c r="BX92" s="25"/>
      <c r="BY92" s="25"/>
      <c r="BZ92" s="25"/>
      <c r="CA92" s="25"/>
      <c r="CB92" s="25"/>
      <c r="CC92" s="25"/>
      <c r="CD92" s="25"/>
      <c r="CE92" s="25"/>
      <c r="CF92" s="25"/>
      <c r="CG92" s="25">
        <v>1</v>
      </c>
      <c r="CH92" s="25"/>
      <c r="CI92" s="25"/>
      <c r="CJ92" s="25"/>
      <c r="CK92" s="25"/>
      <c r="CL92" s="25"/>
      <c r="CM92" s="25"/>
      <c r="CN92" s="25"/>
      <c r="CO92" s="25"/>
      <c r="CP92" s="25"/>
      <c r="CQ92" s="25"/>
      <c r="CR92" s="25">
        <v>1</v>
      </c>
      <c r="CS92" s="25"/>
      <c r="CT92" s="25"/>
      <c r="CU92" s="25"/>
      <c r="CV92" s="25"/>
      <c r="CW92" s="25"/>
      <c r="CX92" s="25"/>
      <c r="CY92" s="25"/>
      <c r="CZ92" s="25"/>
      <c r="DA92" s="25"/>
      <c r="DB92" s="25"/>
      <c r="DC92" s="25"/>
      <c r="DD92" s="25"/>
      <c r="DE92" s="25"/>
      <c r="DF92" s="25"/>
      <c r="DG92" s="25"/>
      <c r="DH92" s="25"/>
      <c r="DI92" s="25"/>
      <c r="DJ92" s="25"/>
      <c r="DK92" s="25"/>
      <c r="DL92" s="25"/>
      <c r="DM92" s="25"/>
      <c r="DN92" s="25">
        <v>1</v>
      </c>
      <c r="DO92" s="25"/>
      <c r="DP92" s="25"/>
      <c r="DQ92" s="25"/>
      <c r="DR92" s="25"/>
      <c r="DS92" s="25"/>
      <c r="DT92" s="25"/>
      <c r="DU92" s="25"/>
      <c r="DV92" s="25"/>
      <c r="DW92" s="25"/>
      <c r="DX92" s="25"/>
      <c r="DY92" s="25"/>
      <c r="DZ92" s="25"/>
      <c r="EA92" s="25"/>
      <c r="EB92" s="25"/>
      <c r="EC92" s="25"/>
      <c r="ED92" s="25"/>
      <c r="EE92" s="25"/>
      <c r="EF92" s="25"/>
      <c r="EG92" s="25"/>
      <c r="EH92" s="25"/>
      <c r="EI92" s="25">
        <v>1</v>
      </c>
      <c r="EJ92" s="25"/>
      <c r="EK92" s="25"/>
      <c r="EL92" s="25"/>
      <c r="EM92" s="25"/>
      <c r="EN92" s="25"/>
      <c r="EO92" s="25"/>
      <c r="EP92" s="25"/>
      <c r="EQ92" s="25"/>
      <c r="ER92" s="25"/>
      <c r="ES92" s="25"/>
      <c r="ET92" s="25"/>
      <c r="EU92" s="25"/>
      <c r="EV92" s="25"/>
      <c r="EW92" s="25"/>
      <c r="EX92" s="25"/>
      <c r="EY92" s="25"/>
      <c r="EZ92" s="25"/>
      <c r="FA92" s="25">
        <v>1</v>
      </c>
      <c r="FB92" s="25"/>
      <c r="FC92" s="25"/>
      <c r="FD92" s="25"/>
      <c r="FE92" s="25"/>
      <c r="FF92" s="25"/>
      <c r="FG92" s="25"/>
      <c r="FH92" s="25"/>
      <c r="FI92" s="25"/>
      <c r="FJ92" s="25"/>
      <c r="FK92" s="25"/>
      <c r="FL92" s="25"/>
      <c r="FM92" s="25"/>
      <c r="FN92" s="25"/>
      <c r="FO92" s="25"/>
      <c r="FP92" s="25"/>
      <c r="FQ92" s="25"/>
      <c r="FR92" s="25">
        <v>1</v>
      </c>
      <c r="FS92" s="25"/>
      <c r="FT92" s="25">
        <v>1</v>
      </c>
      <c r="FU92" s="25"/>
      <c r="FV92" s="25"/>
      <c r="FW92" s="25"/>
      <c r="FX92" s="25"/>
      <c r="FY92" s="25"/>
      <c r="FZ92" s="25"/>
      <c r="GA92" s="25"/>
      <c r="GB92" s="25"/>
      <c r="GC92" s="25"/>
      <c r="GD92" s="25"/>
      <c r="GE92" s="25"/>
      <c r="GF92" s="25"/>
    </row>
    <row r="93" spans="1:188" ht="13" x14ac:dyDescent="0.15">
      <c r="A93" s="13">
        <v>42804</v>
      </c>
      <c r="B93" s="3" t="s">
        <v>201</v>
      </c>
      <c r="C93" s="3">
        <v>21.25544</v>
      </c>
      <c r="D93" s="3">
        <v>-157.810303</v>
      </c>
      <c r="E93" s="3" t="s">
        <v>325</v>
      </c>
      <c r="F93" s="14">
        <v>0.41666666666666669</v>
      </c>
      <c r="G93" s="14">
        <v>0.45833333333333331</v>
      </c>
      <c r="H93" s="3">
        <v>6</v>
      </c>
      <c r="I93" s="3">
        <v>5</v>
      </c>
      <c r="J93" s="3" t="s">
        <v>318</v>
      </c>
      <c r="K93" s="3">
        <v>5</v>
      </c>
      <c r="L93" s="3">
        <v>24</v>
      </c>
      <c r="M93" s="3" t="s">
        <v>332</v>
      </c>
      <c r="N93" s="3" t="s">
        <v>288</v>
      </c>
      <c r="BX93" s="3">
        <v>1</v>
      </c>
      <c r="BY93" s="3">
        <v>1</v>
      </c>
      <c r="CR93" s="3">
        <v>1</v>
      </c>
      <c r="DA93" s="3"/>
      <c r="DB93" s="3">
        <v>1</v>
      </c>
      <c r="DI93" s="3">
        <v>1</v>
      </c>
      <c r="DK93" s="3">
        <v>1</v>
      </c>
      <c r="DL93" s="3">
        <v>1</v>
      </c>
      <c r="DQ93" s="3"/>
      <c r="DR93" s="3">
        <v>1</v>
      </c>
      <c r="EI93" s="3">
        <v>1</v>
      </c>
      <c r="FA93" s="3">
        <v>1</v>
      </c>
      <c r="FH93" s="3">
        <v>1</v>
      </c>
      <c r="FQ93" s="3">
        <v>1</v>
      </c>
      <c r="FR93" s="3">
        <v>1</v>
      </c>
    </row>
    <row r="94" spans="1:188" ht="13" x14ac:dyDescent="0.15">
      <c r="A94" s="24">
        <v>42804</v>
      </c>
      <c r="B94" s="25" t="s">
        <v>219</v>
      </c>
      <c r="C94" s="25">
        <v>21.295798999999999</v>
      </c>
      <c r="D94" s="25">
        <v>-158.10369900000001</v>
      </c>
      <c r="E94" s="25" t="s">
        <v>333</v>
      </c>
      <c r="F94" s="26">
        <v>0.38541666666666669</v>
      </c>
      <c r="G94" s="26">
        <v>0.44791666666666669</v>
      </c>
      <c r="H94" s="25">
        <v>7</v>
      </c>
      <c r="I94" s="25">
        <v>10</v>
      </c>
      <c r="J94" s="25" t="s">
        <v>318</v>
      </c>
      <c r="K94" s="25">
        <v>5</v>
      </c>
      <c r="L94" s="25">
        <v>31</v>
      </c>
      <c r="M94" s="25" t="s">
        <v>334</v>
      </c>
      <c r="N94" s="25"/>
      <c r="O94" s="25"/>
      <c r="P94" s="25"/>
      <c r="Q94" s="25">
        <v>1</v>
      </c>
      <c r="R94" s="25">
        <v>1</v>
      </c>
      <c r="S94" s="25"/>
      <c r="T94" s="25"/>
      <c r="U94" s="25"/>
      <c r="V94" s="25"/>
      <c r="W94" s="25"/>
      <c r="X94" s="25"/>
      <c r="Y94" s="25"/>
      <c r="Z94" s="25"/>
      <c r="AA94" s="25">
        <v>1</v>
      </c>
      <c r="AB94" s="25">
        <v>1</v>
      </c>
      <c r="AC94" s="25">
        <v>1</v>
      </c>
      <c r="AD94" s="25">
        <v>1</v>
      </c>
      <c r="AE94" s="25"/>
      <c r="AF94" s="25"/>
      <c r="AG94" s="25"/>
      <c r="AH94" s="25">
        <v>1</v>
      </c>
      <c r="AI94" s="25"/>
      <c r="AJ94" s="25"/>
      <c r="AK94" s="25"/>
      <c r="AL94" s="25"/>
      <c r="AM94" s="25"/>
      <c r="AN94" s="25"/>
      <c r="AO94" s="25"/>
      <c r="AP94" s="25"/>
      <c r="AQ94" s="25"/>
      <c r="AR94" s="25"/>
      <c r="AS94" s="25">
        <v>1</v>
      </c>
      <c r="AT94" s="25"/>
      <c r="AU94" s="25"/>
      <c r="AV94" s="25"/>
      <c r="AW94" s="25"/>
      <c r="AX94" s="25"/>
      <c r="AY94" s="25"/>
      <c r="AZ94" s="25"/>
      <c r="BA94" s="25"/>
      <c r="BB94" s="25">
        <v>1</v>
      </c>
      <c r="BC94" s="25">
        <v>1</v>
      </c>
      <c r="BD94" s="25">
        <v>1</v>
      </c>
      <c r="BE94" s="25"/>
      <c r="BF94" s="25"/>
      <c r="BG94" s="25">
        <v>1</v>
      </c>
      <c r="BH94" s="25"/>
      <c r="BI94" s="25"/>
      <c r="BJ94" s="25"/>
      <c r="BK94" s="25"/>
      <c r="BL94" s="25">
        <v>1</v>
      </c>
      <c r="BM94" s="25">
        <v>1</v>
      </c>
      <c r="BN94" s="25"/>
      <c r="BO94" s="25"/>
      <c r="BP94" s="25">
        <v>1</v>
      </c>
      <c r="BQ94" s="25"/>
      <c r="BR94" s="25"/>
      <c r="BS94" s="25"/>
      <c r="BT94" s="25"/>
      <c r="BU94" s="25">
        <v>1</v>
      </c>
      <c r="BV94" s="25"/>
      <c r="BW94" s="25"/>
      <c r="BX94" s="25"/>
      <c r="BY94" s="25">
        <v>1</v>
      </c>
      <c r="BZ94" s="25"/>
      <c r="CA94" s="25"/>
      <c r="CB94" s="25">
        <v>1</v>
      </c>
      <c r="CC94" s="25"/>
      <c r="CD94" s="25"/>
      <c r="CE94" s="25"/>
      <c r="CF94" s="25"/>
      <c r="CG94" s="25"/>
      <c r="CH94" s="25"/>
      <c r="CI94" s="25"/>
      <c r="CJ94" s="25"/>
      <c r="CK94" s="25"/>
      <c r="CL94" s="25"/>
      <c r="CM94" s="25"/>
      <c r="CN94" s="25"/>
      <c r="CO94" s="25"/>
      <c r="CP94" s="25"/>
      <c r="CQ94" s="25"/>
      <c r="CR94" s="25">
        <v>1</v>
      </c>
      <c r="CS94" s="25"/>
      <c r="CT94" s="25"/>
      <c r="CU94" s="25"/>
      <c r="CV94" s="25"/>
      <c r="CW94" s="25"/>
      <c r="CX94" s="25"/>
      <c r="CY94" s="25"/>
      <c r="CZ94" s="25"/>
      <c r="DA94" s="25"/>
      <c r="DB94" s="25"/>
      <c r="DC94" s="25">
        <v>1</v>
      </c>
      <c r="DD94" s="25"/>
      <c r="DE94" s="25"/>
      <c r="DF94" s="25">
        <v>1</v>
      </c>
      <c r="DG94" s="25"/>
      <c r="DH94" s="25"/>
      <c r="DI94" s="25"/>
      <c r="DJ94" s="25"/>
      <c r="DK94" s="25"/>
      <c r="DL94" s="25">
        <v>1</v>
      </c>
      <c r="DM94" s="25"/>
      <c r="DN94" s="25"/>
      <c r="DO94" s="25"/>
      <c r="DP94" s="25"/>
      <c r="DQ94" s="25"/>
      <c r="DR94" s="25">
        <v>1</v>
      </c>
      <c r="DS94" s="25"/>
      <c r="DT94" s="25"/>
      <c r="DU94" s="25"/>
      <c r="DV94" s="25"/>
      <c r="DW94" s="25"/>
      <c r="DX94" s="25"/>
      <c r="DY94" s="25">
        <v>1</v>
      </c>
      <c r="DZ94" s="25"/>
      <c r="EA94" s="25"/>
      <c r="EB94" s="25">
        <v>1</v>
      </c>
      <c r="EC94" s="25"/>
      <c r="ED94" s="25"/>
      <c r="EE94" s="25"/>
      <c r="EF94" s="25"/>
      <c r="EG94" s="25"/>
      <c r="EH94" s="25"/>
      <c r="EI94" s="25">
        <v>1</v>
      </c>
      <c r="EJ94" s="25">
        <v>1</v>
      </c>
      <c r="EK94" s="25"/>
      <c r="EL94" s="25"/>
      <c r="EM94" s="25"/>
      <c r="EN94" s="25"/>
      <c r="EO94" s="25"/>
      <c r="EP94" s="25"/>
      <c r="EQ94" s="25"/>
      <c r="ER94" s="25"/>
      <c r="ES94" s="25"/>
      <c r="ET94" s="25"/>
      <c r="EU94" s="25"/>
      <c r="EV94" s="25"/>
      <c r="EW94" s="25"/>
      <c r="EX94" s="25"/>
      <c r="EY94" s="25"/>
      <c r="EZ94" s="25"/>
      <c r="FA94" s="25">
        <v>1</v>
      </c>
      <c r="FB94" s="25"/>
      <c r="FC94" s="25"/>
      <c r="FD94" s="25"/>
      <c r="FE94" s="25">
        <v>1</v>
      </c>
      <c r="FF94" s="25"/>
      <c r="FG94" s="25"/>
      <c r="FH94" s="25">
        <v>1</v>
      </c>
      <c r="FI94" s="25"/>
      <c r="FJ94" s="25"/>
      <c r="FK94" s="25"/>
      <c r="FL94" s="25"/>
      <c r="FM94" s="25"/>
      <c r="FN94" s="25"/>
      <c r="FO94" s="25"/>
      <c r="FP94" s="25"/>
      <c r="FQ94" s="25">
        <v>1</v>
      </c>
      <c r="FR94" s="25">
        <v>1</v>
      </c>
      <c r="FS94" s="25"/>
      <c r="FT94" s="25"/>
      <c r="FU94" s="25"/>
      <c r="FV94" s="25"/>
      <c r="FW94" s="25"/>
      <c r="FX94" s="25"/>
      <c r="FY94" s="25"/>
      <c r="FZ94" s="25"/>
      <c r="GA94" s="25"/>
      <c r="GB94" s="25"/>
      <c r="GC94" s="25"/>
      <c r="GD94" s="25"/>
      <c r="GE94" s="25"/>
      <c r="GF94" s="25"/>
    </row>
    <row r="95" spans="1:188" ht="13" x14ac:dyDescent="0.15">
      <c r="A95" s="13">
        <v>42806</v>
      </c>
      <c r="B95" s="3" t="s">
        <v>293</v>
      </c>
      <c r="C95" s="3">
        <v>19.738602</v>
      </c>
      <c r="D95" s="3">
        <v>-155.03887900000001</v>
      </c>
      <c r="E95" s="3" t="s">
        <v>197</v>
      </c>
      <c r="F95" s="14">
        <v>0.39930555555555558</v>
      </c>
      <c r="G95" s="14">
        <v>0.43333333333333335</v>
      </c>
      <c r="H95" s="3">
        <v>6</v>
      </c>
      <c r="I95" s="3">
        <v>12</v>
      </c>
      <c r="J95" s="3" t="s">
        <v>198</v>
      </c>
      <c r="K95" s="3">
        <v>7</v>
      </c>
      <c r="L95" s="3">
        <v>32</v>
      </c>
      <c r="M95" s="3" t="s">
        <v>336</v>
      </c>
      <c r="Q95" s="3">
        <v>1</v>
      </c>
      <c r="Z95" s="3"/>
      <c r="AA95" s="3">
        <v>1</v>
      </c>
      <c r="AF95" s="3">
        <v>1</v>
      </c>
      <c r="AL95" s="3">
        <v>1</v>
      </c>
      <c r="BJ95" s="3">
        <v>1</v>
      </c>
      <c r="BL95" s="3">
        <v>1</v>
      </c>
      <c r="BQ95" s="3">
        <v>1</v>
      </c>
      <c r="BV95" s="3">
        <v>1</v>
      </c>
      <c r="CB95" s="3">
        <v>1</v>
      </c>
      <c r="CF95" s="3"/>
      <c r="CG95" s="3">
        <v>1</v>
      </c>
      <c r="CN95" s="3">
        <v>1</v>
      </c>
      <c r="DE95" s="3"/>
      <c r="DF95" s="3">
        <v>1</v>
      </c>
      <c r="DH95" s="3">
        <v>1</v>
      </c>
      <c r="EI95" s="3">
        <v>1</v>
      </c>
      <c r="EO95" s="3">
        <v>1</v>
      </c>
      <c r="EQ95" s="3">
        <v>1</v>
      </c>
      <c r="FL95" s="3">
        <v>1</v>
      </c>
      <c r="FR95" s="3">
        <v>1</v>
      </c>
      <c r="FS95" s="3">
        <v>1</v>
      </c>
    </row>
    <row r="96" spans="1:188" ht="13" x14ac:dyDescent="0.15">
      <c r="A96" s="13">
        <v>42810</v>
      </c>
      <c r="B96" s="3" t="s">
        <v>337</v>
      </c>
      <c r="C96" s="3">
        <v>19.957187999999999</v>
      </c>
      <c r="D96" s="3">
        <v>-155.859497</v>
      </c>
      <c r="E96" s="3" t="s">
        <v>313</v>
      </c>
      <c r="F96" s="14">
        <v>0.48055555555555557</v>
      </c>
      <c r="G96" s="14">
        <v>0.55208333333333337</v>
      </c>
      <c r="H96" s="3">
        <v>3</v>
      </c>
      <c r="I96" s="3">
        <v>10</v>
      </c>
      <c r="J96" s="3" t="s">
        <v>318</v>
      </c>
      <c r="K96" s="3">
        <v>10</v>
      </c>
      <c r="L96" s="3">
        <v>30</v>
      </c>
      <c r="Z96" s="3"/>
      <c r="AA96" s="3">
        <v>1</v>
      </c>
      <c r="AK96" s="3">
        <v>1</v>
      </c>
      <c r="AL96" s="3">
        <v>1</v>
      </c>
      <c r="AM96" s="3">
        <v>1</v>
      </c>
      <c r="BG96" s="3">
        <v>1</v>
      </c>
      <c r="BL96" s="3">
        <v>1</v>
      </c>
      <c r="BX96" s="3">
        <v>1</v>
      </c>
      <c r="CB96" s="3">
        <v>1</v>
      </c>
      <c r="CC96" s="3">
        <v>1</v>
      </c>
      <c r="CJ96" s="3">
        <v>1</v>
      </c>
      <c r="CT96" s="3">
        <v>1</v>
      </c>
      <c r="DG96" s="3">
        <v>1</v>
      </c>
      <c r="DQ96" s="3"/>
      <c r="DR96" s="3">
        <v>1</v>
      </c>
      <c r="EA96" s="3">
        <v>1</v>
      </c>
      <c r="EI96" s="3">
        <v>1</v>
      </c>
      <c r="EV96" s="3">
        <v>1</v>
      </c>
      <c r="FA96" s="3">
        <v>1</v>
      </c>
      <c r="FQ96" s="3">
        <v>1</v>
      </c>
      <c r="FR96" s="3">
        <v>1</v>
      </c>
    </row>
    <row r="97" spans="1:188" ht="13" x14ac:dyDescent="0.15">
      <c r="A97" s="27">
        <v>42822</v>
      </c>
      <c r="B97" s="28" t="s">
        <v>216</v>
      </c>
      <c r="C97" s="28">
        <v>21.3002</v>
      </c>
      <c r="D97" s="28">
        <v>-157.882599</v>
      </c>
      <c r="E97" s="28" t="s">
        <v>413</v>
      </c>
      <c r="F97" s="29">
        <v>0.40277777777777779</v>
      </c>
      <c r="G97" s="29">
        <v>0.45833333333333331</v>
      </c>
      <c r="H97" s="28">
        <v>6</v>
      </c>
      <c r="I97" s="28">
        <v>14.7</v>
      </c>
      <c r="J97" s="28" t="s">
        <v>198</v>
      </c>
      <c r="K97" s="28">
        <v>5</v>
      </c>
      <c r="L97" s="28">
        <v>19</v>
      </c>
      <c r="M97" s="28" t="s">
        <v>414</v>
      </c>
      <c r="N97" s="28"/>
      <c r="O97" s="28"/>
      <c r="P97" s="28"/>
      <c r="Q97" s="28"/>
      <c r="R97" s="28"/>
      <c r="S97" s="28"/>
      <c r="T97" s="28"/>
      <c r="U97" s="28"/>
      <c r="V97" s="28"/>
      <c r="W97" s="28"/>
      <c r="X97" s="28"/>
      <c r="Y97" s="28"/>
      <c r="Z97" s="28"/>
      <c r="AA97" s="28">
        <v>1</v>
      </c>
      <c r="AB97" s="28"/>
      <c r="AC97" s="28"/>
      <c r="AD97" s="28"/>
      <c r="AE97" s="28"/>
      <c r="AF97" s="28"/>
      <c r="AG97" s="28"/>
      <c r="AH97" s="28">
        <v>1</v>
      </c>
      <c r="AI97" s="28"/>
      <c r="AJ97" s="28"/>
      <c r="AK97" s="28">
        <v>1</v>
      </c>
      <c r="AL97" s="28"/>
      <c r="AM97" s="28"/>
      <c r="AN97" s="28"/>
      <c r="AO97" s="28"/>
      <c r="AP97" s="28"/>
      <c r="AQ97" s="28"/>
      <c r="AR97" s="28"/>
      <c r="AS97" s="28"/>
      <c r="AT97" s="28"/>
      <c r="AU97" s="28"/>
      <c r="AV97" s="28"/>
      <c r="AW97" s="28"/>
      <c r="AX97" s="28"/>
      <c r="AY97" s="28"/>
      <c r="AZ97" s="28"/>
      <c r="BA97" s="28"/>
      <c r="BB97" s="28"/>
      <c r="BC97" s="28"/>
      <c r="BD97" s="28">
        <v>1</v>
      </c>
      <c r="BE97" s="28"/>
      <c r="BF97" s="28"/>
      <c r="BG97" s="28">
        <v>1</v>
      </c>
      <c r="BH97" s="28"/>
      <c r="BI97" s="28"/>
      <c r="BJ97" s="28"/>
      <c r="BK97" s="28"/>
      <c r="BL97" s="28">
        <v>1</v>
      </c>
      <c r="BM97" s="28"/>
      <c r="BN97" s="28"/>
      <c r="BO97" s="28"/>
      <c r="BP97" s="28"/>
      <c r="BQ97" s="28"/>
      <c r="BR97" s="28"/>
      <c r="BS97" s="28"/>
      <c r="BT97" s="28"/>
      <c r="BU97" s="28"/>
      <c r="BV97" s="28">
        <v>1</v>
      </c>
      <c r="BW97" s="28"/>
      <c r="BX97" s="28"/>
      <c r="BY97" s="28"/>
      <c r="BZ97" s="28"/>
      <c r="CA97" s="28"/>
      <c r="CB97" s="28"/>
      <c r="CC97" s="28"/>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c r="DH97" s="28"/>
      <c r="DI97" s="28"/>
      <c r="DJ97" s="28"/>
      <c r="DK97" s="28"/>
      <c r="DL97" s="28"/>
      <c r="DM97" s="28"/>
      <c r="DN97" s="28"/>
      <c r="DO97" s="28"/>
      <c r="DP97" s="28"/>
      <c r="DQ97" s="28"/>
      <c r="DR97" s="28"/>
      <c r="DS97" s="28"/>
      <c r="DT97" s="28"/>
      <c r="DU97" s="28"/>
      <c r="DV97" s="28"/>
      <c r="DW97" s="28"/>
      <c r="DX97" s="28"/>
      <c r="DY97" s="28"/>
      <c r="DZ97" s="28"/>
      <c r="EA97" s="28"/>
      <c r="EB97" s="28">
        <v>1</v>
      </c>
      <c r="EC97" s="28"/>
      <c r="ED97" s="28"/>
      <c r="EE97" s="28"/>
      <c r="EF97" s="28"/>
      <c r="EG97" s="28"/>
      <c r="EH97" s="28"/>
      <c r="EI97" s="28"/>
      <c r="EJ97" s="28"/>
      <c r="EK97" s="28"/>
      <c r="EL97" s="28"/>
      <c r="EM97" s="28"/>
      <c r="EN97" s="28"/>
      <c r="EO97" s="28"/>
      <c r="EP97" s="28"/>
      <c r="EQ97" s="28"/>
      <c r="ER97" s="28"/>
      <c r="ES97" s="28"/>
      <c r="ET97" s="28"/>
      <c r="EU97" s="28"/>
      <c r="EV97" s="28"/>
      <c r="EW97" s="28"/>
      <c r="EX97" s="28"/>
      <c r="EY97" s="28"/>
      <c r="EZ97" s="28"/>
      <c r="FA97" s="28"/>
      <c r="FB97" s="28"/>
      <c r="FC97" s="28"/>
      <c r="FD97" s="28"/>
      <c r="FE97" s="28"/>
      <c r="FF97" s="28"/>
      <c r="FG97" s="28"/>
      <c r="FH97" s="28"/>
      <c r="FI97" s="28"/>
      <c r="FJ97" s="28"/>
      <c r="FK97" s="28"/>
      <c r="FL97" s="28"/>
      <c r="FM97" s="28"/>
      <c r="FN97" s="28"/>
      <c r="FO97" s="28"/>
      <c r="FP97" s="28"/>
      <c r="FQ97" s="28"/>
      <c r="FR97" s="28">
        <v>1</v>
      </c>
      <c r="FS97" s="28"/>
      <c r="FT97" s="28"/>
      <c r="FU97" s="28"/>
      <c r="FV97" s="28"/>
      <c r="FW97" s="28"/>
      <c r="FX97" s="28"/>
      <c r="FY97" s="28"/>
      <c r="FZ97" s="28"/>
      <c r="GA97" s="28"/>
      <c r="GB97" s="28"/>
      <c r="GC97" s="28"/>
      <c r="GD97" s="28"/>
      <c r="GE97" s="28"/>
      <c r="GF97" s="28"/>
    </row>
    <row r="98" spans="1:188" ht="13" x14ac:dyDescent="0.15">
      <c r="A98" s="13">
        <v>42823</v>
      </c>
      <c r="B98" s="3" t="s">
        <v>244</v>
      </c>
      <c r="C98" s="3">
        <v>21.310611999999999</v>
      </c>
      <c r="D98" s="3">
        <v>-158.00441000000001</v>
      </c>
      <c r="E98" s="3" t="s">
        <v>278</v>
      </c>
      <c r="F98" s="14">
        <v>0.38541666666666669</v>
      </c>
      <c r="G98" s="14">
        <v>0.46875</v>
      </c>
      <c r="H98" s="3">
        <v>6</v>
      </c>
      <c r="I98" s="3">
        <v>10</v>
      </c>
      <c r="J98" s="3" t="s">
        <v>198</v>
      </c>
      <c r="K98" s="3">
        <v>5</v>
      </c>
      <c r="L98" s="3">
        <v>26</v>
      </c>
      <c r="M98" s="3" t="s">
        <v>338</v>
      </c>
      <c r="Q98" s="3">
        <v>1</v>
      </c>
      <c r="AH98" s="3">
        <v>1</v>
      </c>
      <c r="BL98" s="3">
        <v>1</v>
      </c>
      <c r="BU98" s="3">
        <v>1</v>
      </c>
      <c r="BY98" s="3">
        <v>1</v>
      </c>
      <c r="DE98" s="3"/>
      <c r="DF98" s="3">
        <v>1</v>
      </c>
      <c r="DL98" s="3">
        <v>1</v>
      </c>
      <c r="DQ98" s="3"/>
      <c r="DR98" s="3">
        <v>1</v>
      </c>
      <c r="EI98" s="3">
        <v>1</v>
      </c>
      <c r="FA98" s="3">
        <v>1</v>
      </c>
      <c r="FR98" s="3">
        <v>1</v>
      </c>
    </row>
    <row r="99" spans="1:188" ht="13" x14ac:dyDescent="0.15">
      <c r="A99" s="27">
        <v>42825</v>
      </c>
      <c r="B99" s="28" t="s">
        <v>246</v>
      </c>
      <c r="C99" s="28">
        <v>21.2882</v>
      </c>
      <c r="D99" s="28">
        <v>-157.66799900000001</v>
      </c>
      <c r="E99" s="28" t="s">
        <v>278</v>
      </c>
      <c r="F99" s="29">
        <v>0.41736111111111113</v>
      </c>
      <c r="G99" s="29">
        <v>0.45069444444444445</v>
      </c>
      <c r="H99" s="28">
        <v>6</v>
      </c>
      <c r="I99" s="28">
        <v>12</v>
      </c>
      <c r="J99" s="28" t="s">
        <v>398</v>
      </c>
      <c r="K99" s="28">
        <v>5</v>
      </c>
      <c r="L99" s="28">
        <v>9</v>
      </c>
      <c r="M99" s="28" t="s">
        <v>420</v>
      </c>
      <c r="N99" s="28"/>
      <c r="O99" s="28"/>
      <c r="P99" s="28"/>
      <c r="Q99" s="28">
        <v>1</v>
      </c>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v>1</v>
      </c>
      <c r="BM99" s="28"/>
      <c r="BN99" s="28"/>
      <c r="BO99" s="28"/>
      <c r="BP99" s="28"/>
      <c r="BQ99" s="28"/>
      <c r="BR99" s="28"/>
      <c r="BS99" s="28"/>
      <c r="BT99" s="28"/>
      <c r="BU99" s="28"/>
      <c r="BV99" s="28"/>
      <c r="BW99" s="28"/>
      <c r="BX99" s="28"/>
      <c r="BY99" s="28">
        <v>1</v>
      </c>
      <c r="BZ99" s="28"/>
      <c r="CA99" s="28"/>
      <c r="CB99" s="28"/>
      <c r="CC99" s="28"/>
      <c r="CD99" s="28"/>
      <c r="CE99" s="28"/>
      <c r="CF99" s="28"/>
      <c r="CG99" s="28"/>
      <c r="CH99" s="28"/>
      <c r="CI99" s="28"/>
      <c r="CJ99" s="28"/>
      <c r="CK99" s="28"/>
      <c r="CL99" s="28"/>
      <c r="CM99" s="28"/>
      <c r="CN99" s="28"/>
      <c r="CO99" s="28"/>
      <c r="CP99" s="28"/>
      <c r="CQ99" s="28"/>
      <c r="CR99" s="28"/>
      <c r="CS99" s="28"/>
      <c r="CT99" s="28">
        <v>1</v>
      </c>
      <c r="CU99" s="28"/>
      <c r="CV99" s="28"/>
      <c r="CW99" s="28"/>
      <c r="CX99" s="28"/>
      <c r="CY99" s="28"/>
      <c r="CZ99" s="28"/>
      <c r="DA99" s="28"/>
      <c r="DB99" s="28"/>
      <c r="DC99" s="28"/>
      <c r="DD99" s="28"/>
      <c r="DE99" s="28"/>
      <c r="DF99" s="28"/>
      <c r="DG99" s="28">
        <v>1</v>
      </c>
      <c r="DH99" s="28"/>
      <c r="DI99" s="28"/>
      <c r="DJ99" s="28"/>
      <c r="DK99" s="28"/>
      <c r="DL99" s="28"/>
      <c r="DM99" s="28"/>
      <c r="DN99" s="28"/>
      <c r="DO99" s="28"/>
      <c r="DP99" s="28"/>
      <c r="DQ99" s="28"/>
      <c r="DR99" s="28"/>
      <c r="DS99" s="28"/>
      <c r="DT99" s="28"/>
      <c r="DU99" s="28">
        <v>1</v>
      </c>
      <c r="DV99" s="28"/>
      <c r="DW99" s="28"/>
      <c r="DX99" s="28"/>
      <c r="DY99" s="28"/>
      <c r="DZ99" s="28"/>
      <c r="EA99" s="28"/>
      <c r="EB99" s="28"/>
      <c r="EC99" s="28"/>
      <c r="ED99" s="28"/>
      <c r="EE99" s="28"/>
      <c r="EF99" s="28"/>
      <c r="EG99" s="28"/>
      <c r="EH99" s="28"/>
      <c r="EI99" s="28">
        <v>1</v>
      </c>
      <c r="EJ99" s="28"/>
      <c r="EK99" s="28"/>
      <c r="EL99" s="28"/>
      <c r="EM99" s="28"/>
      <c r="EN99" s="28"/>
      <c r="EO99" s="28"/>
      <c r="EP99" s="28"/>
      <c r="EQ99" s="28"/>
      <c r="ER99" s="28"/>
      <c r="ES99" s="28"/>
      <c r="ET99" s="28"/>
      <c r="EU99" s="28"/>
      <c r="EV99" s="28"/>
      <c r="EW99" s="28"/>
      <c r="EX99" s="28"/>
      <c r="EY99" s="28"/>
      <c r="EZ99" s="28"/>
      <c r="FA99" s="28"/>
      <c r="FB99" s="28"/>
      <c r="FC99" s="28"/>
      <c r="FD99" s="28">
        <v>1</v>
      </c>
      <c r="FE99" s="28"/>
      <c r="FF99" s="28"/>
      <c r="FG99" s="28"/>
      <c r="FH99" s="28"/>
      <c r="FI99" s="28"/>
      <c r="FJ99" s="28"/>
      <c r="FK99" s="28"/>
      <c r="FL99" s="28"/>
      <c r="FM99" s="28"/>
      <c r="FN99" s="28"/>
      <c r="FO99" s="28"/>
      <c r="FP99" s="28"/>
      <c r="FQ99" s="28">
        <v>1</v>
      </c>
      <c r="FR99" s="28">
        <v>1</v>
      </c>
      <c r="FS99" s="28"/>
      <c r="FT99" s="28"/>
      <c r="FU99" s="28"/>
      <c r="FV99" s="28"/>
      <c r="FW99" s="28"/>
      <c r="FX99" s="28"/>
      <c r="FY99" s="28"/>
      <c r="FZ99" s="28"/>
      <c r="GA99" s="28"/>
      <c r="GB99" s="28"/>
      <c r="GC99" s="28"/>
      <c r="GD99" s="28"/>
      <c r="GE99" s="28"/>
      <c r="GF99" s="28"/>
    </row>
    <row r="100" spans="1:188" ht="13" x14ac:dyDescent="0.15">
      <c r="A100" s="13">
        <v>42826</v>
      </c>
      <c r="B100" s="3" t="s">
        <v>303</v>
      </c>
      <c r="C100" s="3">
        <v>20.994240000000001</v>
      </c>
      <c r="D100" s="3">
        <v>-156.66825900000001</v>
      </c>
      <c r="E100" s="3" t="s">
        <v>197</v>
      </c>
      <c r="F100" s="14">
        <v>0.47083333333333333</v>
      </c>
      <c r="G100" s="14">
        <v>0.50416666666666665</v>
      </c>
      <c r="H100" s="3">
        <v>3</v>
      </c>
      <c r="I100" s="3">
        <v>25</v>
      </c>
      <c r="J100" s="3" t="s">
        <v>198</v>
      </c>
      <c r="K100" s="3">
        <v>11</v>
      </c>
      <c r="L100" s="3">
        <v>20</v>
      </c>
      <c r="M100" s="3" t="s">
        <v>339</v>
      </c>
      <c r="Z100" s="3"/>
      <c r="AA100" s="3">
        <v>1</v>
      </c>
      <c r="AL100" s="3">
        <v>1</v>
      </c>
      <c r="BJ100" s="3">
        <v>1</v>
      </c>
      <c r="BL100" s="3">
        <v>1</v>
      </c>
      <c r="BP100" s="3">
        <v>1</v>
      </c>
      <c r="CB100" s="3">
        <v>1</v>
      </c>
      <c r="CC100" s="3">
        <v>1</v>
      </c>
      <c r="CJ100" s="3">
        <v>1</v>
      </c>
      <c r="DG100" s="3">
        <v>1</v>
      </c>
      <c r="DO100" s="3">
        <v>1</v>
      </c>
      <c r="EC100" s="3">
        <v>1</v>
      </c>
      <c r="ES100" s="3"/>
      <c r="ET100" s="3"/>
      <c r="EU100" s="3">
        <v>1</v>
      </c>
      <c r="FB100" s="3">
        <v>1</v>
      </c>
      <c r="FR100" s="3">
        <v>1</v>
      </c>
      <c r="FY100" s="3">
        <v>1</v>
      </c>
    </row>
    <row r="101" spans="1:188" ht="13" x14ac:dyDescent="0.15">
      <c r="A101" s="13">
        <v>42827</v>
      </c>
      <c r="B101" s="3" t="s">
        <v>340</v>
      </c>
      <c r="C101" s="3">
        <v>19.643276</v>
      </c>
      <c r="D101" s="3">
        <v>-156.01019299999999</v>
      </c>
      <c r="E101" s="3" t="s">
        <v>197</v>
      </c>
      <c r="F101" s="14">
        <v>0.48680555555555555</v>
      </c>
      <c r="G101" s="14">
        <v>0.52500000000000002</v>
      </c>
      <c r="H101" s="3">
        <v>3</v>
      </c>
      <c r="I101" s="3">
        <v>40</v>
      </c>
      <c r="J101" s="3" t="s">
        <v>198</v>
      </c>
      <c r="K101" s="3">
        <v>10</v>
      </c>
      <c r="L101" s="3">
        <v>28</v>
      </c>
      <c r="M101" s="3" t="s">
        <v>341</v>
      </c>
      <c r="S101" s="3">
        <v>1</v>
      </c>
      <c r="AC101" s="3">
        <v>1</v>
      </c>
      <c r="AL101" s="3">
        <v>1</v>
      </c>
      <c r="BL101" s="3">
        <v>1</v>
      </c>
      <c r="BY101" s="3">
        <v>1</v>
      </c>
      <c r="CB101" s="3">
        <v>1</v>
      </c>
      <c r="CM101" s="3">
        <v>1</v>
      </c>
      <c r="EI101" s="3">
        <v>1</v>
      </c>
      <c r="FC101" s="3"/>
      <c r="FE101" s="3">
        <v>1</v>
      </c>
      <c r="FL101" s="3">
        <v>1</v>
      </c>
      <c r="FQ101" s="3">
        <v>1</v>
      </c>
      <c r="FR101" s="3">
        <v>1</v>
      </c>
    </row>
    <row r="102" spans="1:188" ht="13" x14ac:dyDescent="0.15">
      <c r="A102" s="13">
        <v>42831</v>
      </c>
      <c r="B102" s="3" t="s">
        <v>201</v>
      </c>
      <c r="C102" s="3">
        <v>21.25544</v>
      </c>
      <c r="D102" s="3">
        <v>-157.810303</v>
      </c>
      <c r="E102" s="3" t="s">
        <v>197</v>
      </c>
      <c r="F102" s="14">
        <v>0</v>
      </c>
      <c r="G102" s="14">
        <v>4.1666666666666664E-2</v>
      </c>
      <c r="H102" s="3">
        <v>6</v>
      </c>
      <c r="I102" s="3">
        <v>11</v>
      </c>
      <c r="J102" s="3" t="s">
        <v>198</v>
      </c>
      <c r="K102" s="3">
        <v>12</v>
      </c>
      <c r="L102" s="3">
        <v>55</v>
      </c>
      <c r="M102" s="3" t="s">
        <v>342</v>
      </c>
      <c r="Q102" s="3">
        <v>1</v>
      </c>
      <c r="Z102" s="3"/>
      <c r="AA102" s="3">
        <v>1</v>
      </c>
      <c r="AC102" s="3">
        <v>1</v>
      </c>
      <c r="AE102" s="3">
        <v>1</v>
      </c>
      <c r="BG102" s="3">
        <v>1</v>
      </c>
      <c r="BL102" s="3">
        <v>1</v>
      </c>
      <c r="BV102" s="3">
        <v>1</v>
      </c>
      <c r="BY102" s="3">
        <v>1</v>
      </c>
      <c r="CA102" s="3">
        <v>1</v>
      </c>
      <c r="CR102" s="3">
        <v>1</v>
      </c>
      <c r="DL102" s="3">
        <v>1</v>
      </c>
      <c r="DS102" s="3">
        <v>1</v>
      </c>
      <c r="EC102" s="3">
        <v>1</v>
      </c>
      <c r="EI102" s="3">
        <v>1</v>
      </c>
      <c r="FA102" s="3">
        <v>1</v>
      </c>
      <c r="FB102" s="3">
        <v>1</v>
      </c>
      <c r="FR102" s="3">
        <v>1</v>
      </c>
      <c r="FT102" s="3">
        <v>1</v>
      </c>
      <c r="GD102" s="3">
        <v>1</v>
      </c>
      <c r="GE102" s="3">
        <v>1</v>
      </c>
    </row>
    <row r="103" spans="1:188" ht="13" x14ac:dyDescent="0.15">
      <c r="A103" s="27">
        <v>42832</v>
      </c>
      <c r="B103" s="28" t="s">
        <v>250</v>
      </c>
      <c r="C103" s="28">
        <v>21.410399999999999</v>
      </c>
      <c r="D103" s="28">
        <v>-158.17770400000001</v>
      </c>
      <c r="E103" s="28" t="s">
        <v>428</v>
      </c>
      <c r="F103" s="29">
        <v>0.375</v>
      </c>
      <c r="G103" s="29">
        <v>0.47916666666666669</v>
      </c>
      <c r="H103" s="28">
        <v>4</v>
      </c>
      <c r="I103" s="28">
        <v>7</v>
      </c>
      <c r="J103" s="28" t="s">
        <v>198</v>
      </c>
      <c r="K103" s="28">
        <v>5</v>
      </c>
      <c r="L103" s="28">
        <v>15</v>
      </c>
      <c r="M103" s="28" t="s">
        <v>429</v>
      </c>
      <c r="N103" s="28"/>
      <c r="O103" s="28"/>
      <c r="P103" s="28"/>
      <c r="Q103" s="28">
        <v>1</v>
      </c>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v>1</v>
      </c>
      <c r="BM103" s="28"/>
      <c r="BN103" s="28"/>
      <c r="BO103" s="28"/>
      <c r="BP103" s="28"/>
      <c r="BQ103" s="28"/>
      <c r="BR103" s="28"/>
      <c r="BS103" s="28"/>
      <c r="BT103" s="28"/>
      <c r="BU103" s="28"/>
      <c r="BV103" s="28"/>
      <c r="BW103" s="28"/>
      <c r="BX103" s="28"/>
      <c r="BY103" s="28">
        <v>1</v>
      </c>
      <c r="BZ103" s="28"/>
      <c r="CA103" s="28"/>
      <c r="CB103" s="28"/>
      <c r="CC103" s="28"/>
      <c r="CD103" s="28"/>
      <c r="CE103" s="28"/>
      <c r="CF103" s="28"/>
      <c r="CG103" s="28"/>
      <c r="CH103" s="28"/>
      <c r="CI103" s="28"/>
      <c r="CJ103" s="28"/>
      <c r="CK103" s="28"/>
      <c r="CL103" s="28"/>
      <c r="CM103" s="28"/>
      <c r="CN103" s="28">
        <v>1</v>
      </c>
      <c r="CO103" s="28"/>
      <c r="CP103" s="28"/>
      <c r="CQ103" s="28"/>
      <c r="CR103" s="28"/>
      <c r="CS103" s="28"/>
      <c r="CT103" s="28"/>
      <c r="CU103" s="28"/>
      <c r="CV103" s="28"/>
      <c r="CW103" s="28"/>
      <c r="CX103" s="28"/>
      <c r="CY103" s="28"/>
      <c r="CZ103" s="28"/>
      <c r="DA103" s="28"/>
      <c r="DB103" s="28"/>
      <c r="DC103" s="28"/>
      <c r="DD103" s="28"/>
      <c r="DE103" s="28"/>
      <c r="DF103" s="28">
        <v>1</v>
      </c>
      <c r="DG103" s="28"/>
      <c r="DH103" s="28"/>
      <c r="DI103" s="28"/>
      <c r="DJ103" s="28"/>
      <c r="DK103" s="28"/>
      <c r="DL103" s="28">
        <v>1</v>
      </c>
      <c r="DM103" s="28"/>
      <c r="DN103" s="28"/>
      <c r="DO103" s="28">
        <v>1</v>
      </c>
      <c r="DP103" s="28"/>
      <c r="DQ103" s="28"/>
      <c r="DR103" s="28"/>
      <c r="DS103" s="28"/>
      <c r="DT103" s="28"/>
      <c r="DU103" s="28"/>
      <c r="DV103" s="28"/>
      <c r="DW103" s="28"/>
      <c r="DX103" s="28"/>
      <c r="DY103" s="28"/>
      <c r="DZ103" s="28"/>
      <c r="EA103" s="28"/>
      <c r="EB103" s="28"/>
      <c r="EC103" s="28"/>
      <c r="ED103" s="28"/>
      <c r="EE103" s="28"/>
      <c r="EF103" s="28"/>
      <c r="EG103" s="28"/>
      <c r="EH103" s="28"/>
      <c r="EI103" s="28">
        <v>1</v>
      </c>
      <c r="EJ103" s="28"/>
      <c r="EK103" s="28"/>
      <c r="EL103" s="28"/>
      <c r="EM103" s="28"/>
      <c r="EN103" s="28"/>
      <c r="EO103" s="28"/>
      <c r="EP103" s="28"/>
      <c r="EQ103" s="28"/>
      <c r="ER103" s="28"/>
      <c r="ES103" s="28"/>
      <c r="ET103" s="28"/>
      <c r="EU103" s="28"/>
      <c r="EV103" s="28"/>
      <c r="EW103" s="28"/>
      <c r="EX103" s="28"/>
      <c r="EY103" s="28"/>
      <c r="EZ103" s="28"/>
      <c r="FA103" s="28">
        <v>1</v>
      </c>
      <c r="FB103" s="28"/>
      <c r="FC103" s="28"/>
      <c r="FD103" s="28">
        <v>1</v>
      </c>
      <c r="FE103" s="28"/>
      <c r="FF103" s="28"/>
      <c r="FG103" s="28"/>
      <c r="FH103" s="28">
        <v>1</v>
      </c>
      <c r="FI103" s="28"/>
      <c r="FJ103" s="28"/>
      <c r="FK103" s="28"/>
      <c r="FL103" s="28"/>
      <c r="FM103" s="28"/>
      <c r="FN103" s="28"/>
      <c r="FO103" s="28"/>
      <c r="FP103" s="28"/>
      <c r="FQ103" s="28"/>
      <c r="FR103" s="28">
        <v>1</v>
      </c>
      <c r="FS103" s="28"/>
      <c r="FT103" s="28"/>
      <c r="FU103" s="28"/>
      <c r="FV103" s="28"/>
      <c r="FW103" s="28"/>
      <c r="FX103" s="28"/>
      <c r="FY103" s="28"/>
      <c r="FZ103" s="28">
        <v>1</v>
      </c>
      <c r="GA103" s="28"/>
      <c r="GB103" s="28"/>
      <c r="GC103" s="28"/>
      <c r="GD103" s="28"/>
      <c r="GE103" s="28"/>
      <c r="GF103" s="28"/>
    </row>
    <row r="104" spans="1:188" ht="13" x14ac:dyDescent="0.15">
      <c r="A104" s="13">
        <v>42834</v>
      </c>
      <c r="B104" s="3" t="s">
        <v>301</v>
      </c>
      <c r="C104" s="3">
        <v>22.065598999999999</v>
      </c>
      <c r="D104" s="3">
        <v>-159.31770299999999</v>
      </c>
      <c r="E104" s="3" t="s">
        <v>344</v>
      </c>
      <c r="F104" s="14">
        <v>0.36875000000000002</v>
      </c>
      <c r="G104" s="14">
        <v>0.41041666666666665</v>
      </c>
      <c r="H104" s="3">
        <v>4</v>
      </c>
      <c r="I104" s="3">
        <v>15</v>
      </c>
      <c r="J104" s="3" t="s">
        <v>198</v>
      </c>
      <c r="K104" s="3">
        <v>8</v>
      </c>
      <c r="L104" s="3">
        <v>25</v>
      </c>
      <c r="M104" s="3" t="s">
        <v>345</v>
      </c>
      <c r="Q104" s="3">
        <v>1</v>
      </c>
      <c r="Z104" s="3"/>
      <c r="AA104" s="3">
        <v>1</v>
      </c>
      <c r="AC104" s="3">
        <v>1</v>
      </c>
      <c r="AZ104" s="3"/>
      <c r="BA104" s="3">
        <v>1</v>
      </c>
      <c r="BM104" s="3">
        <v>1</v>
      </c>
      <c r="BU104" s="3">
        <v>1</v>
      </c>
      <c r="DL104" s="3">
        <v>1</v>
      </c>
      <c r="DM104" s="3">
        <v>1</v>
      </c>
      <c r="DQ104" s="3"/>
      <c r="DR104" s="3">
        <v>1</v>
      </c>
      <c r="EI104" s="3">
        <v>1</v>
      </c>
      <c r="FA104" s="3">
        <v>1</v>
      </c>
      <c r="FH104" s="3">
        <v>1</v>
      </c>
      <c r="FQ104" s="3">
        <v>1</v>
      </c>
      <c r="FR104" s="3">
        <v>1</v>
      </c>
      <c r="GA104" s="3">
        <v>1</v>
      </c>
    </row>
    <row r="105" spans="1:188" ht="13" x14ac:dyDescent="0.15">
      <c r="A105" s="13">
        <v>42835</v>
      </c>
      <c r="B105" s="3" t="s">
        <v>216</v>
      </c>
      <c r="C105" s="3">
        <v>21.3002</v>
      </c>
      <c r="D105" s="3">
        <v>-157.882599</v>
      </c>
      <c r="E105" s="3" t="s">
        <v>272</v>
      </c>
      <c r="F105" s="14">
        <v>0.3888888888888889</v>
      </c>
      <c r="G105" s="14">
        <v>0.4236111111111111</v>
      </c>
      <c r="H105" s="3">
        <v>7</v>
      </c>
      <c r="I105" s="3">
        <v>20</v>
      </c>
      <c r="J105" s="3" t="s">
        <v>198</v>
      </c>
      <c r="K105" s="3">
        <v>5</v>
      </c>
      <c r="L105" s="3">
        <v>33</v>
      </c>
      <c r="M105" s="3" t="s">
        <v>346</v>
      </c>
      <c r="V105" s="3"/>
      <c r="W105" s="3">
        <v>1</v>
      </c>
      <c r="Z105" s="3"/>
      <c r="AA105" s="3">
        <v>1</v>
      </c>
      <c r="AB105" s="3">
        <v>1</v>
      </c>
      <c r="AH105" s="3">
        <v>1</v>
      </c>
      <c r="BL105" s="3">
        <v>1</v>
      </c>
      <c r="BU105" s="3">
        <v>1</v>
      </c>
      <c r="BY105" s="3">
        <v>1</v>
      </c>
      <c r="CB105" s="3">
        <v>1</v>
      </c>
      <c r="DE105" s="3"/>
      <c r="DF105" s="3">
        <v>1</v>
      </c>
      <c r="DG105" s="3">
        <v>1</v>
      </c>
      <c r="DN105" s="3">
        <v>1</v>
      </c>
      <c r="EB105" s="3">
        <v>1</v>
      </c>
      <c r="EF105" s="3">
        <v>1</v>
      </c>
      <c r="EI105" s="3">
        <v>1</v>
      </c>
      <c r="FH105" s="3">
        <v>1</v>
      </c>
      <c r="FR105" s="3">
        <v>1</v>
      </c>
    </row>
    <row r="106" spans="1:188" ht="13" x14ac:dyDescent="0.15">
      <c r="A106" s="13">
        <v>42836</v>
      </c>
      <c r="B106" s="3" t="s">
        <v>301</v>
      </c>
      <c r="C106" s="3">
        <v>22.065598999999999</v>
      </c>
      <c r="D106" s="3">
        <v>-159.31770299999999</v>
      </c>
      <c r="E106" s="3" t="s">
        <v>347</v>
      </c>
      <c r="F106" s="14">
        <v>0.39583333333333331</v>
      </c>
      <c r="G106" s="14">
        <v>0.44374999999999998</v>
      </c>
      <c r="H106" s="3">
        <v>6</v>
      </c>
      <c r="I106" s="3">
        <v>15</v>
      </c>
      <c r="J106" s="3" t="s">
        <v>198</v>
      </c>
      <c r="K106" s="3">
        <v>7</v>
      </c>
      <c r="L106" s="3">
        <v>33</v>
      </c>
      <c r="M106" s="3" t="s">
        <v>348</v>
      </c>
      <c r="V106" s="3"/>
      <c r="W106" s="3">
        <v>1</v>
      </c>
      <c r="Z106" s="3"/>
      <c r="AA106" s="3">
        <v>1</v>
      </c>
      <c r="AM106" s="3">
        <v>1</v>
      </c>
      <c r="AT106" s="3">
        <v>1</v>
      </c>
      <c r="AV106" s="3"/>
      <c r="AW106" s="3">
        <v>1</v>
      </c>
      <c r="AY106" s="3">
        <v>1</v>
      </c>
      <c r="AZ106" s="3"/>
      <c r="BA106" s="3">
        <v>1</v>
      </c>
      <c r="BL106" s="3">
        <v>1</v>
      </c>
      <c r="BM106" s="3">
        <v>1</v>
      </c>
      <c r="BT106" s="3">
        <v>1</v>
      </c>
      <c r="BU106" s="3">
        <v>1</v>
      </c>
      <c r="BY106" s="3">
        <v>1</v>
      </c>
      <c r="CR106" s="3">
        <v>1</v>
      </c>
      <c r="CU106" s="3">
        <v>1</v>
      </c>
      <c r="DI106" s="3">
        <v>1</v>
      </c>
      <c r="DK106" s="3">
        <v>1</v>
      </c>
      <c r="DL106" s="3">
        <v>1</v>
      </c>
      <c r="DQ106" s="3"/>
      <c r="DR106" s="3">
        <v>1</v>
      </c>
      <c r="DT106" s="3"/>
      <c r="DU106" s="3">
        <v>1</v>
      </c>
      <c r="DY106" s="3">
        <v>1</v>
      </c>
      <c r="EI106" s="3">
        <v>1</v>
      </c>
      <c r="ES106" s="3"/>
      <c r="ET106" s="3"/>
      <c r="EU106" s="3">
        <v>1</v>
      </c>
      <c r="FA106" s="3">
        <v>1</v>
      </c>
      <c r="FC106" s="3"/>
      <c r="FE106" s="3">
        <v>1</v>
      </c>
      <c r="FH106" s="3">
        <v>1</v>
      </c>
      <c r="FR106" s="3">
        <v>1</v>
      </c>
      <c r="GA106" s="3">
        <v>1</v>
      </c>
    </row>
    <row r="107" spans="1:188" ht="13" x14ac:dyDescent="0.15">
      <c r="A107" s="13">
        <v>42836</v>
      </c>
      <c r="B107" s="3" t="s">
        <v>266</v>
      </c>
      <c r="C107" s="3">
        <v>22.060683999999998</v>
      </c>
      <c r="D107" s="3">
        <v>-159.318512</v>
      </c>
      <c r="E107" s="3" t="s">
        <v>297</v>
      </c>
      <c r="F107" s="14">
        <v>0.40416666666666667</v>
      </c>
      <c r="G107" s="14">
        <v>0.44097222222222221</v>
      </c>
      <c r="H107" s="3">
        <v>6</v>
      </c>
      <c r="I107" s="3">
        <v>14</v>
      </c>
      <c r="J107" s="3" t="s">
        <v>198</v>
      </c>
      <c r="K107" s="3">
        <v>8</v>
      </c>
      <c r="L107" s="3">
        <v>37</v>
      </c>
      <c r="M107" s="3" t="s">
        <v>349</v>
      </c>
      <c r="S107" s="3">
        <v>1</v>
      </c>
      <c r="Z107" s="3">
        <v>1</v>
      </c>
      <c r="AU107" s="3">
        <v>1</v>
      </c>
      <c r="AZ107" s="3"/>
      <c r="BA107" s="3">
        <v>1</v>
      </c>
      <c r="BM107" s="3">
        <v>1</v>
      </c>
      <c r="BU107" s="3">
        <v>1</v>
      </c>
      <c r="CV107" s="3"/>
      <c r="CW107" s="3"/>
      <c r="CX107" s="3"/>
      <c r="CY107" s="3">
        <v>1</v>
      </c>
      <c r="DL107" s="3">
        <v>1</v>
      </c>
      <c r="DQ107" s="3"/>
      <c r="DR107" s="3">
        <v>1</v>
      </c>
      <c r="DT107" s="3"/>
      <c r="DU107" s="3">
        <v>1</v>
      </c>
      <c r="EI107" s="3">
        <v>1</v>
      </c>
      <c r="FA107" s="3">
        <v>1</v>
      </c>
      <c r="FB107" s="3">
        <v>1</v>
      </c>
      <c r="FC107" s="3"/>
      <c r="FE107" s="3">
        <v>1</v>
      </c>
      <c r="FH107" s="3">
        <v>1</v>
      </c>
      <c r="FQ107" s="3">
        <v>1</v>
      </c>
      <c r="FR107" s="3">
        <v>1</v>
      </c>
      <c r="FT107" s="3">
        <v>1</v>
      </c>
    </row>
    <row r="108" spans="1:188" ht="13" x14ac:dyDescent="0.15">
      <c r="A108" s="13">
        <v>42837</v>
      </c>
      <c r="B108" s="3" t="s">
        <v>266</v>
      </c>
      <c r="C108" s="3">
        <v>22.060683999999998</v>
      </c>
      <c r="D108" s="3">
        <v>-159.318512</v>
      </c>
      <c r="E108" s="3" t="s">
        <v>350</v>
      </c>
      <c r="F108" s="14">
        <v>0.3611111111111111</v>
      </c>
      <c r="G108" s="14">
        <v>0.44097222222222221</v>
      </c>
      <c r="H108" s="3">
        <v>6</v>
      </c>
      <c r="I108" s="3">
        <v>13</v>
      </c>
      <c r="J108" s="3" t="s">
        <v>198</v>
      </c>
      <c r="K108" s="3">
        <v>5</v>
      </c>
      <c r="L108" s="3">
        <v>28</v>
      </c>
      <c r="M108" s="3" t="s">
        <v>351</v>
      </c>
      <c r="O108" s="3">
        <v>1</v>
      </c>
      <c r="AM108" s="3">
        <v>1</v>
      </c>
      <c r="AY108" s="3">
        <v>1</v>
      </c>
      <c r="BM108" s="3">
        <v>1</v>
      </c>
      <c r="BU108" s="3">
        <v>1</v>
      </c>
      <c r="DC108" s="3">
        <v>1</v>
      </c>
      <c r="DL108" s="3">
        <v>1</v>
      </c>
      <c r="DT108" s="3"/>
      <c r="DU108" s="3">
        <v>1</v>
      </c>
      <c r="EI108" s="3">
        <v>1</v>
      </c>
      <c r="FQ108" s="3">
        <v>1</v>
      </c>
      <c r="FR108" s="3">
        <v>1</v>
      </c>
    </row>
    <row r="109" spans="1:188" ht="13" x14ac:dyDescent="0.15">
      <c r="A109" s="13">
        <v>42837</v>
      </c>
      <c r="B109" s="3" t="s">
        <v>355</v>
      </c>
      <c r="C109" s="3">
        <v>21.284300000000002</v>
      </c>
      <c r="D109" s="3">
        <v>-157.67529300000001</v>
      </c>
      <c r="E109" s="3" t="s">
        <v>356</v>
      </c>
      <c r="F109" s="14">
        <v>0.39791666666666664</v>
      </c>
      <c r="G109" s="14">
        <v>0.44097222222222221</v>
      </c>
      <c r="H109" s="3">
        <v>7</v>
      </c>
      <c r="I109" s="3">
        <v>25</v>
      </c>
      <c r="J109" s="3" t="s">
        <v>198</v>
      </c>
      <c r="K109" s="3">
        <v>4</v>
      </c>
      <c r="L109" s="3">
        <v>23</v>
      </c>
      <c r="M109" s="3" t="s">
        <v>357</v>
      </c>
      <c r="AA109" s="3">
        <v>1</v>
      </c>
      <c r="AB109" s="3">
        <v>1</v>
      </c>
      <c r="AC109" s="3">
        <v>1</v>
      </c>
      <c r="AF109" s="3">
        <v>1</v>
      </c>
      <c r="BJ109" s="3">
        <v>1</v>
      </c>
      <c r="BL109" s="3">
        <v>1</v>
      </c>
      <c r="BY109" s="3">
        <v>1</v>
      </c>
      <c r="CF109" s="3"/>
      <c r="CG109" s="3">
        <v>1</v>
      </c>
      <c r="EI109" s="3">
        <v>1</v>
      </c>
      <c r="EJ109" s="3">
        <v>1</v>
      </c>
      <c r="FA109" s="3">
        <v>1</v>
      </c>
      <c r="FC109" s="3"/>
      <c r="FE109" s="3">
        <v>1</v>
      </c>
      <c r="FQ109" s="3">
        <v>1</v>
      </c>
      <c r="FR109" s="3">
        <v>1</v>
      </c>
      <c r="FT109" s="3">
        <v>1</v>
      </c>
    </row>
    <row r="110" spans="1:188" ht="13" x14ac:dyDescent="0.15">
      <c r="A110" s="13">
        <v>42838</v>
      </c>
      <c r="B110" s="3" t="s">
        <v>259</v>
      </c>
      <c r="C110" s="3">
        <v>19.737894000000001</v>
      </c>
      <c r="D110" s="3">
        <v>-155.03405799999999</v>
      </c>
      <c r="E110" s="3" t="s">
        <v>358</v>
      </c>
      <c r="F110" s="14">
        <v>0.40277777777777779</v>
      </c>
      <c r="G110" s="14">
        <v>0.47847222222222224</v>
      </c>
      <c r="H110" s="3">
        <v>4</v>
      </c>
      <c r="I110" s="3">
        <v>60</v>
      </c>
      <c r="J110" s="3" t="s">
        <v>360</v>
      </c>
      <c r="K110" s="3">
        <v>10</v>
      </c>
      <c r="L110" s="3">
        <v>27</v>
      </c>
      <c r="M110" s="3" t="s">
        <v>361</v>
      </c>
      <c r="AB110" s="3">
        <v>1</v>
      </c>
      <c r="AE110" s="3">
        <v>1</v>
      </c>
      <c r="AH110" s="3">
        <v>1</v>
      </c>
      <c r="BJ110" s="3">
        <v>1</v>
      </c>
      <c r="BL110" s="3">
        <v>1</v>
      </c>
      <c r="BM110" s="3">
        <v>1</v>
      </c>
      <c r="BP110" s="3">
        <v>1</v>
      </c>
      <c r="CF110" s="3"/>
      <c r="CG110" s="3">
        <v>1</v>
      </c>
      <c r="CN110" s="3">
        <v>1</v>
      </c>
      <c r="EC110" s="3">
        <v>1</v>
      </c>
      <c r="FA110" s="3">
        <v>1</v>
      </c>
      <c r="FC110" s="3"/>
      <c r="FE110" s="3">
        <v>1</v>
      </c>
      <c r="FR110" s="3">
        <v>1</v>
      </c>
      <c r="FT110" s="3">
        <v>1</v>
      </c>
      <c r="FU110" s="3"/>
      <c r="FV110" s="3">
        <v>1</v>
      </c>
    </row>
    <row r="111" spans="1:188" ht="13" x14ac:dyDescent="0.15">
      <c r="A111" s="13">
        <v>42838</v>
      </c>
      <c r="B111" s="3" t="s">
        <v>352</v>
      </c>
      <c r="C111" s="3">
        <v>21.7057</v>
      </c>
      <c r="D111" s="3">
        <v>-157.99569700000001</v>
      </c>
      <c r="E111" s="3" t="s">
        <v>353</v>
      </c>
      <c r="F111" s="14">
        <v>0.4375</v>
      </c>
      <c r="G111" s="14">
        <v>0.47916666666666669</v>
      </c>
      <c r="H111" s="3">
        <v>9</v>
      </c>
      <c r="I111" s="3">
        <v>16</v>
      </c>
      <c r="J111" s="3" t="s">
        <v>198</v>
      </c>
      <c r="K111" s="3">
        <v>10</v>
      </c>
      <c r="L111" s="3">
        <v>40</v>
      </c>
      <c r="M111" s="3" t="s">
        <v>363</v>
      </c>
      <c r="N111" s="3" t="s">
        <v>364</v>
      </c>
      <c r="AH111" s="3">
        <v>1</v>
      </c>
      <c r="AM111" s="3">
        <v>1</v>
      </c>
      <c r="AT111" s="3">
        <v>1</v>
      </c>
      <c r="BL111" s="3">
        <v>1</v>
      </c>
      <c r="BM111" s="3">
        <v>1</v>
      </c>
      <c r="BU111" s="3">
        <v>1</v>
      </c>
      <c r="CB111" s="3">
        <v>1</v>
      </c>
      <c r="CC111" s="3">
        <v>1</v>
      </c>
      <c r="CR111" s="3">
        <v>1</v>
      </c>
      <c r="DL111" s="3">
        <v>1</v>
      </c>
      <c r="DT111" s="3"/>
      <c r="DU111" s="3">
        <v>1</v>
      </c>
      <c r="DY111" s="3">
        <v>1</v>
      </c>
      <c r="EI111" s="3">
        <v>1</v>
      </c>
      <c r="FA111" s="3">
        <v>1</v>
      </c>
      <c r="FG111" s="3">
        <v>1</v>
      </c>
      <c r="FQ111" s="3">
        <v>1</v>
      </c>
      <c r="FR111" s="3">
        <v>1</v>
      </c>
      <c r="GB111" s="3">
        <v>1</v>
      </c>
    </row>
    <row r="112" spans="1:188" ht="13" x14ac:dyDescent="0.15">
      <c r="A112" s="27">
        <v>42838</v>
      </c>
      <c r="B112" s="28" t="s">
        <v>226</v>
      </c>
      <c r="C112" s="28">
        <v>21.706499000000001</v>
      </c>
      <c r="D112" s="28">
        <v>-157.99850499999999</v>
      </c>
      <c r="E112" s="28" t="s">
        <v>353</v>
      </c>
      <c r="F112" s="29">
        <v>0.4375</v>
      </c>
      <c r="G112" s="29">
        <v>0.45833333333333331</v>
      </c>
      <c r="H112" s="28">
        <v>5</v>
      </c>
      <c r="I112" s="28">
        <v>10</v>
      </c>
      <c r="J112" s="28" t="s">
        <v>198</v>
      </c>
      <c r="K112" s="28">
        <v>3</v>
      </c>
      <c r="L112" s="28">
        <v>7</v>
      </c>
      <c r="M112" s="28" t="s">
        <v>439</v>
      </c>
      <c r="N112" s="28"/>
      <c r="O112" s="28"/>
      <c r="P112" s="28"/>
      <c r="Q112" s="28">
        <v>1</v>
      </c>
      <c r="R112" s="28"/>
      <c r="S112" s="28"/>
      <c r="T112" s="28"/>
      <c r="U112" s="28"/>
      <c r="V112" s="28"/>
      <c r="W112" s="28"/>
      <c r="X112" s="28"/>
      <c r="Y112" s="28"/>
      <c r="Z112" s="28"/>
      <c r="AA112" s="28">
        <v>1</v>
      </c>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v>1</v>
      </c>
      <c r="BB112" s="28"/>
      <c r="BC112" s="28"/>
      <c r="BD112" s="28"/>
      <c r="BE112" s="28"/>
      <c r="BF112" s="28"/>
      <c r="BG112" s="28"/>
      <c r="BH112" s="28"/>
      <c r="BI112" s="28"/>
      <c r="BJ112" s="28">
        <v>1</v>
      </c>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c r="CR112" s="28">
        <v>1</v>
      </c>
      <c r="CS112" s="28"/>
      <c r="CT112" s="28"/>
      <c r="CU112" s="28"/>
      <c r="CV112" s="28"/>
      <c r="CW112" s="28"/>
      <c r="CX112" s="28"/>
      <c r="CY112" s="28"/>
      <c r="CZ112" s="28"/>
      <c r="DA112" s="28"/>
      <c r="DB112" s="28"/>
      <c r="DC112" s="28"/>
      <c r="DD112" s="28"/>
      <c r="DE112" s="28"/>
      <c r="DF112" s="28"/>
      <c r="DG112" s="28"/>
      <c r="DH112" s="28"/>
      <c r="DI112" s="28"/>
      <c r="DJ112" s="28"/>
      <c r="DK112" s="28"/>
      <c r="DL112" s="28"/>
      <c r="DM112" s="28"/>
      <c r="DN112" s="28"/>
      <c r="DO112" s="28"/>
      <c r="DP112" s="28"/>
      <c r="DQ112" s="28"/>
      <c r="DR112" s="28"/>
      <c r="DS112" s="28"/>
      <c r="DT112" s="28"/>
      <c r="DU112" s="28">
        <v>1</v>
      </c>
      <c r="DV112" s="28"/>
      <c r="DW112" s="28"/>
      <c r="DX112" s="28"/>
      <c r="DY112" s="28"/>
      <c r="DZ112" s="28"/>
      <c r="EA112" s="28"/>
      <c r="EB112" s="28"/>
      <c r="EC112" s="28">
        <v>1</v>
      </c>
      <c r="ED112" s="28"/>
      <c r="EE112" s="28"/>
      <c r="EF112" s="28"/>
      <c r="EG112" s="28"/>
      <c r="EH112" s="28"/>
      <c r="EI112" s="28">
        <v>1</v>
      </c>
      <c r="EJ112" s="28">
        <v>1</v>
      </c>
      <c r="EK112" s="28"/>
      <c r="EL112" s="28"/>
      <c r="EM112" s="28"/>
      <c r="EN112" s="28"/>
      <c r="EO112" s="28"/>
      <c r="EP112" s="28"/>
      <c r="EQ112" s="28"/>
      <c r="ER112" s="28"/>
      <c r="ES112" s="28"/>
      <c r="ET112" s="28"/>
      <c r="EU112" s="28">
        <v>1</v>
      </c>
      <c r="EV112" s="28">
        <v>1</v>
      </c>
      <c r="EW112" s="28"/>
      <c r="EX112" s="28"/>
      <c r="EY112" s="28"/>
      <c r="EZ112" s="28"/>
      <c r="FA112" s="28">
        <v>1</v>
      </c>
      <c r="FB112" s="28"/>
      <c r="FC112" s="28"/>
      <c r="FD112" s="28"/>
      <c r="FE112" s="28"/>
      <c r="FF112" s="28"/>
      <c r="FG112" s="28"/>
      <c r="FH112" s="28"/>
      <c r="FI112" s="28"/>
      <c r="FJ112" s="28"/>
      <c r="FK112" s="28"/>
      <c r="FL112" s="28"/>
      <c r="FM112" s="28"/>
      <c r="FN112" s="28"/>
      <c r="FO112" s="28"/>
      <c r="FP112" s="28"/>
      <c r="FQ112" s="28"/>
      <c r="FR112" s="28">
        <v>1</v>
      </c>
      <c r="FS112" s="28"/>
      <c r="FT112" s="28"/>
      <c r="FU112" s="28"/>
      <c r="FV112" s="28"/>
      <c r="FW112" s="28"/>
      <c r="FX112" s="28"/>
      <c r="FY112" s="28"/>
      <c r="FZ112" s="28"/>
      <c r="GA112" s="28"/>
      <c r="GB112" s="28"/>
      <c r="GC112" s="28"/>
      <c r="GD112" s="28"/>
      <c r="GE112" s="28"/>
      <c r="GF112" s="28"/>
    </row>
    <row r="113" spans="1:188" ht="13" x14ac:dyDescent="0.15">
      <c r="A113" s="13">
        <v>42844</v>
      </c>
      <c r="B113" s="3" t="s">
        <v>244</v>
      </c>
      <c r="C113" s="3">
        <v>21.310611999999999</v>
      </c>
      <c r="D113" s="3">
        <v>-158.00441000000001</v>
      </c>
      <c r="E113" s="3" t="s">
        <v>278</v>
      </c>
      <c r="F113" s="14">
        <v>0.38541666666666669</v>
      </c>
      <c r="G113" s="14">
        <v>0.46875</v>
      </c>
      <c r="H113" s="3">
        <v>6</v>
      </c>
      <c r="I113" s="3">
        <v>6</v>
      </c>
      <c r="J113" s="3" t="s">
        <v>198</v>
      </c>
      <c r="K113" s="3">
        <v>5</v>
      </c>
      <c r="L113" s="3">
        <v>24</v>
      </c>
      <c r="M113" s="3" t="s">
        <v>365</v>
      </c>
      <c r="N113" s="3" t="s">
        <v>295</v>
      </c>
      <c r="Q113" s="3">
        <v>1</v>
      </c>
      <c r="AD113" s="3">
        <v>1</v>
      </c>
      <c r="AH113" s="3">
        <v>1</v>
      </c>
      <c r="AV113" s="3">
        <v>1</v>
      </c>
      <c r="AZ113" s="3"/>
      <c r="BA113" s="3">
        <v>1</v>
      </c>
      <c r="BL113" s="3">
        <v>1</v>
      </c>
      <c r="BU113" s="3">
        <v>1</v>
      </c>
      <c r="BY113" s="3">
        <v>1</v>
      </c>
      <c r="DE113" s="3"/>
      <c r="DF113" s="3">
        <v>1</v>
      </c>
      <c r="DL113" s="3">
        <v>1</v>
      </c>
      <c r="DQ113" s="3"/>
      <c r="DR113" s="3">
        <v>1</v>
      </c>
      <c r="EB113" s="3">
        <v>1</v>
      </c>
      <c r="EI113" s="3">
        <v>1</v>
      </c>
      <c r="EW113" s="3">
        <v>1</v>
      </c>
      <c r="FC113" s="3"/>
      <c r="FE113" s="3">
        <v>1</v>
      </c>
      <c r="FH113" s="3">
        <v>1</v>
      </c>
      <c r="FR113" s="3">
        <v>1</v>
      </c>
      <c r="FU113" s="3"/>
      <c r="FV113" s="3">
        <v>1</v>
      </c>
    </row>
    <row r="114" spans="1:188" ht="13" x14ac:dyDescent="0.15">
      <c r="A114" s="13">
        <v>42844</v>
      </c>
      <c r="B114" s="3" t="s">
        <v>369</v>
      </c>
      <c r="C114" s="3">
        <v>21.888725000000001</v>
      </c>
      <c r="D114" s="3">
        <v>-159.41641200000001</v>
      </c>
      <c r="E114" s="3" t="s">
        <v>321</v>
      </c>
      <c r="F114" s="14">
        <v>0.35416666666666669</v>
      </c>
      <c r="G114" s="14">
        <v>0.5</v>
      </c>
      <c r="H114" s="3">
        <v>5</v>
      </c>
      <c r="I114" s="3">
        <v>18</v>
      </c>
      <c r="J114" s="3" t="s">
        <v>217</v>
      </c>
      <c r="K114" s="3">
        <v>5</v>
      </c>
      <c r="L114" s="3">
        <v>19</v>
      </c>
      <c r="M114" s="3" t="s">
        <v>370</v>
      </c>
      <c r="AA114" s="3">
        <v>1</v>
      </c>
      <c r="AH114" s="3">
        <v>1</v>
      </c>
      <c r="AM114" s="3">
        <v>1</v>
      </c>
      <c r="BG114" s="3">
        <v>1</v>
      </c>
      <c r="BN114" s="3"/>
      <c r="BO114" s="3">
        <v>1</v>
      </c>
      <c r="BU114" s="3">
        <v>1</v>
      </c>
      <c r="BY114" s="3">
        <v>1</v>
      </c>
      <c r="CR114" s="3">
        <v>1</v>
      </c>
      <c r="DQ114" s="3"/>
      <c r="DR114" s="3">
        <v>1</v>
      </c>
      <c r="DT114" s="3"/>
      <c r="DU114" s="3">
        <v>1</v>
      </c>
      <c r="EI114" s="3">
        <v>1</v>
      </c>
      <c r="FH114" s="3">
        <v>1</v>
      </c>
      <c r="FR114" s="3">
        <v>1</v>
      </c>
    </row>
    <row r="115" spans="1:188" ht="13" x14ac:dyDescent="0.15">
      <c r="A115" s="13">
        <v>42850</v>
      </c>
      <c r="B115" s="3" t="s">
        <v>244</v>
      </c>
      <c r="C115" s="3">
        <v>21.310611999999999</v>
      </c>
      <c r="D115" s="3">
        <v>-158.00441000000001</v>
      </c>
      <c r="E115" s="3" t="s">
        <v>326</v>
      </c>
      <c r="F115" s="14">
        <v>0.39583333333333331</v>
      </c>
      <c r="G115" s="14">
        <v>0.45833333333333331</v>
      </c>
      <c r="H115" s="3">
        <v>7</v>
      </c>
      <c r="I115" s="3">
        <v>10</v>
      </c>
      <c r="J115" s="3" t="s">
        <v>318</v>
      </c>
      <c r="K115" s="3">
        <v>5</v>
      </c>
      <c r="L115" s="3">
        <v>34</v>
      </c>
      <c r="M115" s="3" t="s">
        <v>371</v>
      </c>
      <c r="Q115" s="3">
        <v>1</v>
      </c>
      <c r="AA115" s="3">
        <v>1</v>
      </c>
      <c r="AB115" s="3">
        <v>1</v>
      </c>
      <c r="AD115" s="3">
        <v>1</v>
      </c>
      <c r="AH115" s="3">
        <v>1</v>
      </c>
      <c r="AL115" s="3">
        <v>1</v>
      </c>
      <c r="AM115" s="3">
        <v>1</v>
      </c>
      <c r="AS115" s="3">
        <v>1</v>
      </c>
      <c r="AZ115" s="3"/>
      <c r="BA115" s="3">
        <v>1</v>
      </c>
      <c r="BL115" s="3">
        <v>1</v>
      </c>
      <c r="BU115" s="3">
        <v>1</v>
      </c>
      <c r="BY115" s="3">
        <v>1</v>
      </c>
      <c r="CO115" s="3"/>
      <c r="CP115" s="3"/>
      <c r="CQ115" s="3">
        <v>1</v>
      </c>
      <c r="CV115" s="3"/>
      <c r="CW115" s="3"/>
      <c r="CX115" s="3">
        <v>1</v>
      </c>
      <c r="DE115" s="3"/>
      <c r="DF115" s="3">
        <v>1</v>
      </c>
      <c r="DL115" s="3">
        <v>1</v>
      </c>
      <c r="DN115" s="3">
        <v>1</v>
      </c>
      <c r="DT115" s="3"/>
      <c r="DU115" s="3">
        <v>1</v>
      </c>
      <c r="EI115" s="3">
        <v>1</v>
      </c>
      <c r="EJ115" s="3">
        <v>1</v>
      </c>
      <c r="EN115" s="3">
        <v>1</v>
      </c>
      <c r="FA115" s="3">
        <v>1</v>
      </c>
      <c r="FR115" s="3">
        <v>1</v>
      </c>
      <c r="FU115" s="3"/>
      <c r="FV115" s="3">
        <v>1</v>
      </c>
    </row>
    <row r="116" spans="1:188" ht="13" x14ac:dyDescent="0.15">
      <c r="A116" s="13">
        <v>42850</v>
      </c>
      <c r="B116" s="3" t="s">
        <v>250</v>
      </c>
      <c r="C116" s="3">
        <v>21.410399999999999</v>
      </c>
      <c r="D116" s="3">
        <v>-158.17770400000001</v>
      </c>
      <c r="E116" s="3" t="s">
        <v>372</v>
      </c>
      <c r="F116" s="14">
        <v>0.3888888888888889</v>
      </c>
      <c r="G116" s="14">
        <v>0.47916666666666669</v>
      </c>
      <c r="H116" s="3">
        <v>6</v>
      </c>
      <c r="I116" s="3">
        <v>20</v>
      </c>
      <c r="J116" s="3" t="s">
        <v>198</v>
      </c>
      <c r="K116" s="3">
        <v>5</v>
      </c>
      <c r="L116" s="3">
        <v>23</v>
      </c>
      <c r="M116" s="3" t="s">
        <v>373</v>
      </c>
      <c r="Q116" s="3">
        <v>1</v>
      </c>
      <c r="AB116" s="3">
        <v>1</v>
      </c>
      <c r="BR116" s="3">
        <v>1</v>
      </c>
      <c r="BY116" s="3">
        <v>1</v>
      </c>
      <c r="CB116" s="3">
        <v>1</v>
      </c>
      <c r="CJ116" s="3">
        <v>1</v>
      </c>
      <c r="CM116" s="3">
        <v>1</v>
      </c>
      <c r="CN116" s="3">
        <v>1</v>
      </c>
      <c r="DE116" s="3"/>
      <c r="DF116" s="3">
        <v>1</v>
      </c>
      <c r="DI116" s="3">
        <v>1</v>
      </c>
      <c r="DK116" s="3">
        <v>1</v>
      </c>
      <c r="DL116" s="3">
        <v>1</v>
      </c>
      <c r="DQ116" s="3"/>
      <c r="DR116" s="3">
        <v>1</v>
      </c>
      <c r="EJ116" s="3">
        <v>1</v>
      </c>
      <c r="EW116" s="3">
        <v>1</v>
      </c>
      <c r="EX116" s="3">
        <v>1</v>
      </c>
      <c r="FQ116" s="3">
        <v>1</v>
      </c>
      <c r="FR116" s="3">
        <v>1</v>
      </c>
      <c r="GB116" s="3">
        <v>1</v>
      </c>
      <c r="GE116" s="3">
        <v>1</v>
      </c>
    </row>
    <row r="117" spans="1:188" ht="13" x14ac:dyDescent="0.15">
      <c r="A117" s="13">
        <v>42850</v>
      </c>
      <c r="B117" s="3" t="s">
        <v>374</v>
      </c>
      <c r="C117" s="3">
        <v>20.738001000000001</v>
      </c>
      <c r="D117" s="3">
        <v>-156.895004</v>
      </c>
      <c r="E117" s="3" t="s">
        <v>375</v>
      </c>
      <c r="F117" s="14">
        <v>0.40625</v>
      </c>
      <c r="G117" s="14">
        <v>0.46875</v>
      </c>
      <c r="H117" s="3">
        <v>5</v>
      </c>
      <c r="I117" s="3">
        <v>20</v>
      </c>
      <c r="J117" s="3" t="s">
        <v>318</v>
      </c>
      <c r="K117" s="3">
        <v>5</v>
      </c>
      <c r="L117" s="3">
        <v>20</v>
      </c>
      <c r="M117" s="3" t="s">
        <v>376</v>
      </c>
      <c r="Q117" s="3">
        <v>1</v>
      </c>
      <c r="R117" s="3">
        <v>1</v>
      </c>
      <c r="AA117" s="3">
        <v>1</v>
      </c>
      <c r="AC117" s="3">
        <v>1</v>
      </c>
      <c r="AG117" s="3">
        <v>1</v>
      </c>
      <c r="AL117" s="3">
        <v>1</v>
      </c>
      <c r="AY117" s="3">
        <v>1</v>
      </c>
      <c r="BD117" s="3">
        <v>1</v>
      </c>
      <c r="BL117" s="3">
        <v>1</v>
      </c>
      <c r="BU117" s="3">
        <v>1</v>
      </c>
      <c r="BV117" s="3">
        <v>1</v>
      </c>
      <c r="BX117" s="3">
        <v>1</v>
      </c>
      <c r="BY117" s="3">
        <v>1</v>
      </c>
      <c r="CB117" s="3">
        <v>1</v>
      </c>
      <c r="CO117" s="3">
        <v>1</v>
      </c>
      <c r="CY117" s="3">
        <v>1</v>
      </c>
      <c r="DA117" s="3">
        <v>1</v>
      </c>
      <c r="DE117" s="3"/>
      <c r="DF117" s="3">
        <v>1</v>
      </c>
      <c r="DI117" s="3">
        <v>1</v>
      </c>
      <c r="DO117" s="3">
        <v>1</v>
      </c>
      <c r="DV117" s="3">
        <v>1</v>
      </c>
      <c r="EC117" s="3">
        <v>1</v>
      </c>
      <c r="EI117" s="3">
        <v>1</v>
      </c>
      <c r="EY117" s="3">
        <v>1</v>
      </c>
      <c r="FA117" s="3">
        <v>1</v>
      </c>
      <c r="FC117" s="3"/>
      <c r="FE117" s="3">
        <v>1</v>
      </c>
      <c r="FQ117" s="3">
        <v>1</v>
      </c>
      <c r="FR117" s="3">
        <v>1</v>
      </c>
    </row>
    <row r="118" spans="1:188" ht="13" x14ac:dyDescent="0.15">
      <c r="A118" s="13">
        <v>42851</v>
      </c>
      <c r="B118" s="3" t="s">
        <v>369</v>
      </c>
      <c r="C118" s="3">
        <v>21.888725000000001</v>
      </c>
      <c r="D118" s="3">
        <v>-159.41641200000001</v>
      </c>
      <c r="E118" s="3" t="s">
        <v>321</v>
      </c>
      <c r="F118" s="14">
        <v>0.375</v>
      </c>
      <c r="G118" s="14">
        <v>0.5625</v>
      </c>
      <c r="H118" s="3">
        <v>5</v>
      </c>
      <c r="I118" s="3">
        <v>10</v>
      </c>
      <c r="J118" s="3" t="s">
        <v>217</v>
      </c>
      <c r="K118" s="3">
        <v>5</v>
      </c>
      <c r="L118" s="3">
        <v>23</v>
      </c>
      <c r="M118" s="3" t="s">
        <v>380</v>
      </c>
      <c r="AA118" s="3">
        <v>1</v>
      </c>
      <c r="AB118" s="3">
        <v>1</v>
      </c>
      <c r="AG118" s="3">
        <v>1</v>
      </c>
      <c r="AH118" s="3">
        <v>1</v>
      </c>
      <c r="AZ118" s="3"/>
      <c r="BA118" s="3">
        <v>1</v>
      </c>
      <c r="BG118" s="3">
        <v>1</v>
      </c>
      <c r="BL118" s="3">
        <v>1</v>
      </c>
      <c r="BN118" s="3"/>
      <c r="BO118" s="3">
        <v>1</v>
      </c>
      <c r="BU118" s="3">
        <v>1</v>
      </c>
      <c r="BY118" s="3">
        <v>1</v>
      </c>
      <c r="CR118" s="3">
        <v>1</v>
      </c>
      <c r="DE118" s="3"/>
      <c r="DF118" s="3">
        <v>1</v>
      </c>
      <c r="DL118" s="3">
        <v>1</v>
      </c>
      <c r="DQ118" s="3"/>
      <c r="DR118" s="3">
        <v>1</v>
      </c>
      <c r="DT118" s="3"/>
      <c r="DU118" s="3">
        <v>1</v>
      </c>
      <c r="EI118" s="3">
        <v>1</v>
      </c>
      <c r="FA118" s="3">
        <v>1</v>
      </c>
      <c r="FH118" s="3">
        <v>1</v>
      </c>
      <c r="FR118" s="3">
        <v>1</v>
      </c>
    </row>
    <row r="119" spans="1:188" ht="13" x14ac:dyDescent="0.15">
      <c r="A119" s="13">
        <v>42851</v>
      </c>
      <c r="B119" s="3" t="s">
        <v>340</v>
      </c>
      <c r="C119" s="3">
        <v>19.643276</v>
      </c>
      <c r="D119" s="3">
        <v>-156.01019299999999</v>
      </c>
      <c r="E119" s="3" t="s">
        <v>381</v>
      </c>
      <c r="F119" s="14">
        <v>0.38541666666666669</v>
      </c>
      <c r="G119" s="14">
        <v>0.45833333333333331</v>
      </c>
      <c r="H119" s="3">
        <v>7</v>
      </c>
      <c r="I119" s="3">
        <v>21</v>
      </c>
      <c r="J119" s="3" t="s">
        <v>198</v>
      </c>
      <c r="K119" s="3">
        <v>11</v>
      </c>
      <c r="L119" s="3">
        <v>75</v>
      </c>
      <c r="M119" s="3" t="s">
        <v>382</v>
      </c>
      <c r="S119" s="3">
        <v>1</v>
      </c>
      <c r="AF119" s="3">
        <v>1</v>
      </c>
      <c r="AL119" s="3">
        <v>1</v>
      </c>
      <c r="BL119" s="3">
        <v>1</v>
      </c>
      <c r="BQ119" s="3">
        <v>1</v>
      </c>
      <c r="CB119" s="3">
        <v>1</v>
      </c>
      <c r="EI119" s="3">
        <v>1</v>
      </c>
      <c r="EY119" s="3">
        <v>1</v>
      </c>
      <c r="FC119" s="3"/>
      <c r="FE119" s="3">
        <v>1</v>
      </c>
      <c r="FL119" s="3">
        <v>1</v>
      </c>
      <c r="FQ119" s="3">
        <v>1</v>
      </c>
      <c r="FR119" s="3">
        <v>1</v>
      </c>
      <c r="GB119" s="3">
        <v>1</v>
      </c>
    </row>
    <row r="120" spans="1:188" ht="13" x14ac:dyDescent="0.15">
      <c r="A120" s="13">
        <v>42851</v>
      </c>
      <c r="B120" s="3" t="s">
        <v>293</v>
      </c>
      <c r="C120" s="3">
        <v>19.738602</v>
      </c>
      <c r="D120" s="3">
        <v>-155.03887900000001</v>
      </c>
      <c r="E120" s="3" t="s">
        <v>383</v>
      </c>
      <c r="F120" s="14">
        <v>0.39930555555555558</v>
      </c>
      <c r="G120" s="14">
        <v>0.4548611111111111</v>
      </c>
      <c r="H120" s="3">
        <v>5</v>
      </c>
      <c r="I120" s="3">
        <v>22</v>
      </c>
      <c r="J120" s="3" t="s">
        <v>198</v>
      </c>
      <c r="K120" s="3">
        <v>6</v>
      </c>
      <c r="L120" s="3">
        <v>28</v>
      </c>
      <c r="M120" s="3" t="s">
        <v>384</v>
      </c>
      <c r="BJ120" s="3">
        <v>1</v>
      </c>
      <c r="BL120" s="3">
        <v>1</v>
      </c>
      <c r="CB120" s="3">
        <v>1</v>
      </c>
      <c r="CN120" s="3">
        <v>1</v>
      </c>
      <c r="EI120" s="3">
        <v>1</v>
      </c>
      <c r="EO120" s="3">
        <v>1</v>
      </c>
      <c r="FR120" s="3">
        <v>1</v>
      </c>
      <c r="FS120" s="3">
        <v>1</v>
      </c>
    </row>
    <row r="121" spans="1:188" ht="13" x14ac:dyDescent="0.15">
      <c r="A121" s="13">
        <v>42851</v>
      </c>
      <c r="B121" s="3" t="s">
        <v>216</v>
      </c>
      <c r="C121" s="3">
        <v>21.3002</v>
      </c>
      <c r="D121" s="3">
        <v>-157.882599</v>
      </c>
      <c r="E121" s="3" t="s">
        <v>385</v>
      </c>
      <c r="F121" s="14">
        <v>0.40277777777777779</v>
      </c>
      <c r="G121" s="14">
        <v>0.44791666666666669</v>
      </c>
      <c r="H121" s="3">
        <v>7</v>
      </c>
      <c r="I121" s="3">
        <v>16</v>
      </c>
      <c r="J121" s="3" t="s">
        <v>217</v>
      </c>
      <c r="K121" s="3">
        <v>5</v>
      </c>
      <c r="L121" s="3">
        <v>28</v>
      </c>
      <c r="M121" s="3" t="s">
        <v>386</v>
      </c>
      <c r="N121" s="3" t="s">
        <v>387</v>
      </c>
      <c r="AA121" s="3">
        <v>1</v>
      </c>
      <c r="AL121" s="3">
        <v>1</v>
      </c>
      <c r="BL121" s="3">
        <v>1</v>
      </c>
      <c r="BV121" s="3">
        <v>1</v>
      </c>
      <c r="CB121" s="3">
        <v>1</v>
      </c>
      <c r="CC121" s="3">
        <v>1</v>
      </c>
      <c r="DH121" s="3">
        <v>1</v>
      </c>
      <c r="DN121" s="3">
        <v>1</v>
      </c>
      <c r="DQ121" s="3"/>
      <c r="DR121" s="3">
        <v>1</v>
      </c>
      <c r="EB121" s="3">
        <v>1</v>
      </c>
      <c r="EI121" s="3">
        <v>1</v>
      </c>
      <c r="FH121" s="3">
        <v>1</v>
      </c>
      <c r="FR121" s="3">
        <v>1</v>
      </c>
    </row>
    <row r="122" spans="1:188" ht="13" x14ac:dyDescent="0.15">
      <c r="A122" s="13">
        <v>42852</v>
      </c>
      <c r="B122" s="3" t="s">
        <v>293</v>
      </c>
      <c r="C122" s="3">
        <v>19.738602</v>
      </c>
      <c r="D122" s="3">
        <v>-155.03887900000001</v>
      </c>
      <c r="F122" s="14">
        <v>0.3611111111111111</v>
      </c>
      <c r="G122" s="14">
        <v>0.45833333333333331</v>
      </c>
      <c r="H122" s="3">
        <v>3</v>
      </c>
      <c r="I122" s="3">
        <v>10</v>
      </c>
      <c r="J122" s="3" t="s">
        <v>198</v>
      </c>
      <c r="K122" s="3">
        <v>5</v>
      </c>
      <c r="L122" s="3">
        <v>8</v>
      </c>
      <c r="M122" s="3" t="s">
        <v>388</v>
      </c>
      <c r="N122" s="3" t="s">
        <v>295</v>
      </c>
      <c r="BJ122" s="3">
        <v>1</v>
      </c>
      <c r="BL122" s="3">
        <v>1</v>
      </c>
      <c r="CB122" s="3">
        <v>1</v>
      </c>
      <c r="CN122" s="3">
        <v>1</v>
      </c>
      <c r="DL122" s="3">
        <v>1</v>
      </c>
      <c r="DQ122" s="3">
        <v>1</v>
      </c>
      <c r="ES122" s="3"/>
      <c r="ET122" s="3"/>
      <c r="EU122" s="3">
        <v>1</v>
      </c>
      <c r="FA122" s="3">
        <v>1</v>
      </c>
      <c r="FR122" s="3">
        <v>1</v>
      </c>
      <c r="FU122" s="3"/>
      <c r="FV122" s="3">
        <v>1</v>
      </c>
    </row>
    <row r="123" spans="1:188" ht="13" x14ac:dyDescent="0.15">
      <c r="A123" s="13">
        <v>42852</v>
      </c>
      <c r="B123" s="3" t="s">
        <v>201</v>
      </c>
      <c r="C123" s="3">
        <v>21.25544</v>
      </c>
      <c r="D123" s="3">
        <v>-157.810303</v>
      </c>
      <c r="E123" s="3" t="s">
        <v>389</v>
      </c>
      <c r="F123" s="14">
        <v>0.37847222222222221</v>
      </c>
      <c r="G123" s="14">
        <v>0.4236111111111111</v>
      </c>
      <c r="H123" s="3">
        <v>7</v>
      </c>
      <c r="I123" s="3">
        <v>12</v>
      </c>
      <c r="J123" s="3" t="s">
        <v>198</v>
      </c>
      <c r="K123" s="3">
        <v>6</v>
      </c>
      <c r="L123" s="3">
        <v>31</v>
      </c>
      <c r="M123" s="3" t="s">
        <v>390</v>
      </c>
      <c r="AE123" s="3">
        <v>1</v>
      </c>
      <c r="AY123" s="3">
        <v>1</v>
      </c>
      <c r="BU123" s="3">
        <v>1</v>
      </c>
      <c r="BY123" s="3">
        <v>1</v>
      </c>
      <c r="DE123" s="3"/>
      <c r="DF123" s="3">
        <v>1</v>
      </c>
      <c r="DR123" s="3">
        <v>1</v>
      </c>
      <c r="EI123" s="3">
        <v>1</v>
      </c>
      <c r="FA123" s="3">
        <v>1</v>
      </c>
      <c r="FD123" s="3">
        <v>1</v>
      </c>
      <c r="FQ123" s="3">
        <v>1</v>
      </c>
      <c r="FR123" s="3">
        <v>1</v>
      </c>
    </row>
    <row r="124" spans="1:188" ht="13" x14ac:dyDescent="0.15">
      <c r="A124" s="27">
        <v>42852</v>
      </c>
      <c r="B124" s="28" t="s">
        <v>201</v>
      </c>
      <c r="C124" s="28">
        <v>21.25544</v>
      </c>
      <c r="D124" s="28">
        <v>-157.810303</v>
      </c>
      <c r="E124" s="28" t="s">
        <v>453</v>
      </c>
      <c r="F124" s="29">
        <v>0.4236111111111111</v>
      </c>
      <c r="G124" s="29">
        <v>0.47222222222222221</v>
      </c>
      <c r="H124" s="28">
        <v>6</v>
      </c>
      <c r="I124" s="28">
        <v>15</v>
      </c>
      <c r="J124" s="28" t="s">
        <v>227</v>
      </c>
      <c r="K124" s="28">
        <v>5</v>
      </c>
      <c r="L124" s="28">
        <v>10</v>
      </c>
      <c r="M124" s="28" t="s">
        <v>454</v>
      </c>
      <c r="N124" s="28"/>
      <c r="O124" s="28"/>
      <c r="P124" s="28"/>
      <c r="Q124" s="28"/>
      <c r="R124" s="28"/>
      <c r="S124" s="28"/>
      <c r="T124" s="28"/>
      <c r="U124" s="28"/>
      <c r="V124" s="28"/>
      <c r="W124" s="28"/>
      <c r="X124" s="28"/>
      <c r="Y124" s="28"/>
      <c r="Z124" s="28"/>
      <c r="AA124" s="28"/>
      <c r="AB124" s="28"/>
      <c r="AC124" s="28"/>
      <c r="AD124" s="28"/>
      <c r="AE124" s="28"/>
      <c r="AF124" s="28"/>
      <c r="AG124" s="28"/>
      <c r="AH124" s="28">
        <v>1</v>
      </c>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v>1</v>
      </c>
      <c r="BV124" s="28"/>
      <c r="BW124" s="28"/>
      <c r="BX124" s="28"/>
      <c r="BY124" s="28">
        <v>1</v>
      </c>
      <c r="BZ124" s="28"/>
      <c r="CA124" s="28"/>
      <c r="CB124" s="28"/>
      <c r="CC124" s="28"/>
      <c r="CD124" s="28"/>
      <c r="CE124" s="28"/>
      <c r="CF124" s="28"/>
      <c r="CG124" s="28"/>
      <c r="CH124" s="28"/>
      <c r="CI124" s="28"/>
      <c r="CJ124" s="28"/>
      <c r="CK124" s="28"/>
      <c r="CL124" s="28"/>
      <c r="CM124" s="28"/>
      <c r="CN124" s="28"/>
      <c r="CO124" s="28"/>
      <c r="CP124" s="28"/>
      <c r="CQ124" s="28"/>
      <c r="CR124" s="28"/>
      <c r="CS124" s="28"/>
      <c r="CT124" s="28"/>
      <c r="CU124" s="28"/>
      <c r="CV124" s="28"/>
      <c r="CW124" s="28"/>
      <c r="CX124" s="28"/>
      <c r="CY124" s="28"/>
      <c r="CZ124" s="28"/>
      <c r="DA124" s="28"/>
      <c r="DB124" s="28"/>
      <c r="DC124" s="28"/>
      <c r="DD124" s="28"/>
      <c r="DE124" s="28"/>
      <c r="DF124" s="28"/>
      <c r="DG124" s="28"/>
      <c r="DH124" s="28"/>
      <c r="DI124" s="28"/>
      <c r="DJ124" s="28"/>
      <c r="DK124" s="28"/>
      <c r="DL124" s="28">
        <v>1</v>
      </c>
      <c r="DM124" s="28"/>
      <c r="DN124" s="28"/>
      <c r="DO124" s="28"/>
      <c r="DP124" s="28"/>
      <c r="DQ124" s="28"/>
      <c r="DR124" s="28"/>
      <c r="DS124" s="28"/>
      <c r="DT124" s="28"/>
      <c r="DU124" s="28"/>
      <c r="DV124" s="28"/>
      <c r="DW124" s="28"/>
      <c r="DX124" s="28"/>
      <c r="DY124" s="28"/>
      <c r="DZ124" s="28"/>
      <c r="EA124" s="28"/>
      <c r="EB124" s="28"/>
      <c r="EC124" s="28"/>
      <c r="ED124" s="28"/>
      <c r="EE124" s="28"/>
      <c r="EF124" s="28"/>
      <c r="EG124" s="28"/>
      <c r="EH124" s="28"/>
      <c r="EI124" s="28">
        <v>1</v>
      </c>
      <c r="EJ124" s="28"/>
      <c r="EK124" s="28"/>
      <c r="EL124" s="28"/>
      <c r="EM124" s="28"/>
      <c r="EN124" s="28"/>
      <c r="EO124" s="28"/>
      <c r="EP124" s="28"/>
      <c r="EQ124" s="28"/>
      <c r="ER124" s="28"/>
      <c r="ES124" s="28"/>
      <c r="ET124" s="28"/>
      <c r="EU124" s="28"/>
      <c r="EV124" s="28"/>
      <c r="EW124" s="28"/>
      <c r="EX124" s="28"/>
      <c r="EY124" s="28"/>
      <c r="EZ124" s="28"/>
      <c r="FA124" s="28"/>
      <c r="FB124" s="28"/>
      <c r="FC124" s="28"/>
      <c r="FD124" s="28"/>
      <c r="FE124" s="28"/>
      <c r="FF124" s="28"/>
      <c r="FG124" s="28"/>
      <c r="FH124" s="28"/>
      <c r="FI124" s="28"/>
      <c r="FJ124" s="28"/>
      <c r="FK124" s="28"/>
      <c r="FL124" s="28"/>
      <c r="FM124" s="28"/>
      <c r="FN124" s="28"/>
      <c r="FO124" s="28"/>
      <c r="FP124" s="28"/>
      <c r="FQ124" s="28">
        <v>1</v>
      </c>
      <c r="FR124" s="28">
        <v>1</v>
      </c>
      <c r="FS124" s="28"/>
      <c r="FT124" s="28"/>
      <c r="FU124" s="28"/>
      <c r="FV124" s="28"/>
      <c r="FW124" s="28"/>
      <c r="FX124" s="28"/>
      <c r="FY124" s="28"/>
      <c r="FZ124" s="28"/>
      <c r="GA124" s="28"/>
      <c r="GB124" s="28"/>
      <c r="GC124" s="28"/>
      <c r="GD124" s="28"/>
      <c r="GE124" s="28"/>
      <c r="GF124" s="28"/>
    </row>
    <row r="125" spans="1:188" ht="13" x14ac:dyDescent="0.15">
      <c r="A125" s="13">
        <v>42853</v>
      </c>
      <c r="B125" s="3" t="s">
        <v>374</v>
      </c>
      <c r="C125" s="3">
        <v>20.738001000000001</v>
      </c>
      <c r="D125" s="3">
        <v>-156.895004</v>
      </c>
      <c r="E125" s="3" t="s">
        <v>391</v>
      </c>
      <c r="F125" s="14">
        <v>0.47083333333333333</v>
      </c>
      <c r="G125" s="14">
        <v>0.49861111111111112</v>
      </c>
      <c r="H125" s="3">
        <v>2</v>
      </c>
      <c r="I125" s="3">
        <v>25</v>
      </c>
      <c r="J125" s="3" t="s">
        <v>198</v>
      </c>
      <c r="K125" s="3">
        <v>13</v>
      </c>
      <c r="L125" s="3">
        <v>11</v>
      </c>
      <c r="M125" s="3" t="s">
        <v>392</v>
      </c>
      <c r="BL125" s="3">
        <v>1</v>
      </c>
      <c r="CF125" s="3"/>
      <c r="CG125" s="3">
        <v>1</v>
      </c>
      <c r="CT125" s="3">
        <v>1</v>
      </c>
      <c r="EI125" s="3">
        <v>1</v>
      </c>
      <c r="FL125" s="3">
        <v>1</v>
      </c>
      <c r="FR125" s="3">
        <v>1</v>
      </c>
      <c r="FT125" s="3">
        <v>1</v>
      </c>
    </row>
    <row r="126" spans="1:188" ht="13" x14ac:dyDescent="0.15">
      <c r="A126" s="27">
        <v>42853</v>
      </c>
      <c r="B126" s="28" t="s">
        <v>266</v>
      </c>
      <c r="C126" s="28">
        <v>22.060683999999998</v>
      </c>
      <c r="D126" s="28">
        <v>-159.318512</v>
      </c>
      <c r="E126" s="28" t="s">
        <v>367</v>
      </c>
      <c r="F126" s="29">
        <v>0.44791666666666669</v>
      </c>
      <c r="G126" s="29">
        <v>0.50486111111111109</v>
      </c>
      <c r="H126" s="28">
        <v>4</v>
      </c>
      <c r="I126" s="28">
        <v>20</v>
      </c>
      <c r="J126" s="28" t="s">
        <v>198</v>
      </c>
      <c r="K126" s="28">
        <v>10</v>
      </c>
      <c r="L126" s="28">
        <v>31</v>
      </c>
      <c r="M126" s="28" t="s">
        <v>455</v>
      </c>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v>1</v>
      </c>
      <c r="BN126" s="28"/>
      <c r="BO126" s="28"/>
      <c r="BP126" s="28"/>
      <c r="BQ126" s="28"/>
      <c r="BR126" s="28"/>
      <c r="BS126" s="28"/>
      <c r="BT126" s="28"/>
      <c r="BU126" s="28">
        <v>1</v>
      </c>
      <c r="BV126" s="28"/>
      <c r="BW126" s="28"/>
      <c r="BX126" s="28"/>
      <c r="BY126" s="28"/>
      <c r="BZ126" s="28"/>
      <c r="CA126" s="28"/>
      <c r="CB126" s="28"/>
      <c r="CC126" s="28"/>
      <c r="CD126" s="28"/>
      <c r="CE126" s="28"/>
      <c r="CF126" s="28"/>
      <c r="CG126" s="28"/>
      <c r="CH126" s="28"/>
      <c r="CI126" s="28"/>
      <c r="CJ126" s="28"/>
      <c r="CK126" s="28"/>
      <c r="CL126" s="28"/>
      <c r="CM126" s="28"/>
      <c r="CN126" s="28"/>
      <c r="CO126" s="28"/>
      <c r="CP126" s="28"/>
      <c r="CQ126" s="28"/>
      <c r="CR126" s="28"/>
      <c r="CS126" s="28"/>
      <c r="CT126" s="28"/>
      <c r="CU126" s="28">
        <v>1</v>
      </c>
      <c r="CV126" s="28"/>
      <c r="CW126" s="28"/>
      <c r="CX126" s="28"/>
      <c r="CY126" s="28"/>
      <c r="CZ126" s="28"/>
      <c r="DA126" s="28"/>
      <c r="DB126" s="28"/>
      <c r="DC126" s="28"/>
      <c r="DD126" s="28"/>
      <c r="DE126" s="28"/>
      <c r="DF126" s="28"/>
      <c r="DG126" s="28"/>
      <c r="DH126" s="28"/>
      <c r="DI126" s="28"/>
      <c r="DJ126" s="28"/>
      <c r="DK126" s="28"/>
      <c r="DL126" s="28">
        <v>1</v>
      </c>
      <c r="DM126" s="28"/>
      <c r="DN126" s="28"/>
      <c r="DO126" s="28"/>
      <c r="DP126" s="28"/>
      <c r="DQ126" s="28"/>
      <c r="DR126" s="28"/>
      <c r="DS126" s="28"/>
      <c r="DT126" s="28"/>
      <c r="DU126" s="28">
        <v>1</v>
      </c>
      <c r="DV126" s="28"/>
      <c r="DW126" s="28"/>
      <c r="DX126" s="28"/>
      <c r="DY126" s="28"/>
      <c r="DZ126" s="28"/>
      <c r="EA126" s="28"/>
      <c r="EB126" s="28"/>
      <c r="EC126" s="28"/>
      <c r="ED126" s="28"/>
      <c r="EE126" s="28"/>
      <c r="EF126" s="28"/>
      <c r="EG126" s="28"/>
      <c r="EH126" s="28"/>
      <c r="EI126" s="28">
        <v>1</v>
      </c>
      <c r="EJ126" s="28"/>
      <c r="EK126" s="28"/>
      <c r="EL126" s="28"/>
      <c r="EM126" s="28"/>
      <c r="EN126" s="28"/>
      <c r="EO126" s="28"/>
      <c r="EP126" s="28"/>
      <c r="EQ126" s="28"/>
      <c r="ER126" s="28"/>
      <c r="ES126" s="28"/>
      <c r="ET126" s="28"/>
      <c r="EU126" s="28"/>
      <c r="EV126" s="28"/>
      <c r="EW126" s="28"/>
      <c r="EX126" s="28"/>
      <c r="EY126" s="28"/>
      <c r="EZ126" s="28"/>
      <c r="FA126" s="28">
        <v>1</v>
      </c>
      <c r="FB126" s="28"/>
      <c r="FC126" s="28"/>
      <c r="FD126" s="28"/>
      <c r="FE126" s="28"/>
      <c r="FF126" s="28"/>
      <c r="FG126" s="28"/>
      <c r="FH126" s="28"/>
      <c r="FI126" s="28"/>
      <c r="FJ126" s="28"/>
      <c r="FK126" s="28"/>
      <c r="FL126" s="28"/>
      <c r="FM126" s="28"/>
      <c r="FN126" s="28"/>
      <c r="FO126" s="28"/>
      <c r="FP126" s="28"/>
      <c r="FQ126" s="28"/>
      <c r="FR126" s="28">
        <v>1</v>
      </c>
      <c r="FS126" s="28"/>
      <c r="FT126" s="28"/>
      <c r="FU126" s="28"/>
      <c r="FV126" s="28"/>
      <c r="FW126" s="28"/>
      <c r="FX126" s="28"/>
      <c r="FY126" s="28"/>
      <c r="FZ126" s="28"/>
      <c r="GA126" s="28"/>
      <c r="GB126" s="28"/>
      <c r="GC126" s="28"/>
      <c r="GD126" s="28"/>
      <c r="GE126" s="28"/>
      <c r="GF126" s="28"/>
    </row>
    <row r="127" spans="1:188" ht="13" x14ac:dyDescent="0.15">
      <c r="A127" s="27">
        <v>42853</v>
      </c>
      <c r="B127" s="28" t="s">
        <v>293</v>
      </c>
      <c r="C127" s="28">
        <v>19.738602</v>
      </c>
      <c r="D127" s="28">
        <v>-155.03887900000001</v>
      </c>
      <c r="E127" s="28" t="s">
        <v>459</v>
      </c>
      <c r="F127" s="29">
        <v>0.3888888888888889</v>
      </c>
      <c r="G127" s="29">
        <v>0.44791666666666669</v>
      </c>
      <c r="H127" s="28">
        <v>4</v>
      </c>
      <c r="I127" s="28">
        <v>8</v>
      </c>
      <c r="J127" s="28" t="s">
        <v>460</v>
      </c>
      <c r="K127" s="28">
        <v>8</v>
      </c>
      <c r="L127" s="28">
        <v>29</v>
      </c>
      <c r="M127" s="28" t="s">
        <v>461</v>
      </c>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v>1</v>
      </c>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v>1</v>
      </c>
      <c r="BK127" s="28"/>
      <c r="BL127" s="28">
        <v>1</v>
      </c>
      <c r="BM127" s="28"/>
      <c r="BN127" s="28"/>
      <c r="BO127" s="28"/>
      <c r="BP127" s="28"/>
      <c r="BQ127" s="28"/>
      <c r="BR127" s="28"/>
      <c r="BS127" s="28"/>
      <c r="BT127" s="28"/>
      <c r="BU127" s="28"/>
      <c r="BV127" s="28"/>
      <c r="BW127" s="28"/>
      <c r="BX127" s="28"/>
      <c r="BY127" s="28"/>
      <c r="BZ127" s="28"/>
      <c r="CA127" s="28"/>
      <c r="CB127" s="28">
        <v>1</v>
      </c>
      <c r="CC127" s="28">
        <v>1</v>
      </c>
      <c r="CD127" s="28"/>
      <c r="CE127" s="28"/>
      <c r="CF127" s="28"/>
      <c r="CG127" s="28"/>
      <c r="CH127" s="28"/>
      <c r="CI127" s="28"/>
      <c r="CJ127" s="28"/>
      <c r="CK127" s="28"/>
      <c r="CL127" s="28"/>
      <c r="CM127" s="28"/>
      <c r="CN127" s="28">
        <v>1</v>
      </c>
      <c r="CO127" s="28"/>
      <c r="CP127" s="28"/>
      <c r="CQ127" s="28"/>
      <c r="CR127" s="28"/>
      <c r="CS127" s="28"/>
      <c r="CT127" s="28"/>
      <c r="CU127" s="28"/>
      <c r="CV127" s="28"/>
      <c r="CW127" s="28"/>
      <c r="CX127" s="28"/>
      <c r="CY127" s="28"/>
      <c r="CZ127" s="28"/>
      <c r="DA127" s="28"/>
      <c r="DB127" s="28"/>
      <c r="DC127" s="28"/>
      <c r="DD127" s="28"/>
      <c r="DE127" s="28"/>
      <c r="DF127" s="28"/>
      <c r="DG127" s="28">
        <v>1</v>
      </c>
      <c r="DH127" s="28"/>
      <c r="DI127" s="28"/>
      <c r="DJ127" s="28"/>
      <c r="DK127" s="28"/>
      <c r="DL127" s="28"/>
      <c r="DM127" s="28"/>
      <c r="DN127" s="28"/>
      <c r="DO127" s="28"/>
      <c r="DP127" s="28"/>
      <c r="DQ127" s="28"/>
      <c r="DR127" s="28"/>
      <c r="DS127" s="28"/>
      <c r="DT127" s="28"/>
      <c r="DU127" s="28"/>
      <c r="DV127" s="28"/>
      <c r="DW127" s="28"/>
      <c r="DX127" s="28"/>
      <c r="DY127" s="28"/>
      <c r="DZ127" s="28"/>
      <c r="EA127" s="28"/>
      <c r="EB127" s="28"/>
      <c r="EC127" s="28"/>
      <c r="ED127" s="28"/>
      <c r="EE127" s="28"/>
      <c r="EF127" s="28"/>
      <c r="EG127" s="28"/>
      <c r="EH127" s="28"/>
      <c r="EI127" s="28"/>
      <c r="EJ127" s="28"/>
      <c r="EK127" s="28"/>
      <c r="EL127" s="28"/>
      <c r="EM127" s="28"/>
      <c r="EN127" s="28"/>
      <c r="EO127" s="28"/>
      <c r="EP127" s="28"/>
      <c r="EQ127" s="28"/>
      <c r="ER127" s="28"/>
      <c r="ES127" s="28"/>
      <c r="ET127" s="28"/>
      <c r="EU127" s="28"/>
      <c r="EV127" s="28"/>
      <c r="EW127" s="28"/>
      <c r="EX127" s="28"/>
      <c r="EY127" s="28"/>
      <c r="EZ127" s="28"/>
      <c r="FA127" s="28"/>
      <c r="FB127" s="28"/>
      <c r="FC127" s="28"/>
      <c r="FD127" s="28"/>
      <c r="FE127" s="28"/>
      <c r="FF127" s="28"/>
      <c r="FG127" s="28"/>
      <c r="FH127" s="28"/>
      <c r="FI127" s="28"/>
      <c r="FJ127" s="28"/>
      <c r="FK127" s="28"/>
      <c r="FL127" s="28">
        <v>1</v>
      </c>
      <c r="FM127" s="28"/>
      <c r="FN127" s="28"/>
      <c r="FO127" s="28"/>
      <c r="FP127" s="28"/>
      <c r="FQ127" s="28"/>
      <c r="FR127" s="28">
        <v>1</v>
      </c>
      <c r="FS127" s="28"/>
      <c r="FT127" s="28"/>
      <c r="FU127" s="28"/>
      <c r="FV127" s="28"/>
      <c r="FW127" s="28"/>
      <c r="FX127" s="28"/>
      <c r="FY127" s="28"/>
      <c r="FZ127" s="28"/>
      <c r="GA127" s="28"/>
      <c r="GB127" s="28"/>
      <c r="GC127" s="28"/>
      <c r="GD127" s="28"/>
      <c r="GE127" s="28"/>
      <c r="GF127" s="28"/>
    </row>
    <row r="128" spans="1:188" ht="13" x14ac:dyDescent="0.15">
      <c r="A128" s="13">
        <v>42860</v>
      </c>
      <c r="B128" s="3" t="s">
        <v>244</v>
      </c>
      <c r="C128" s="3">
        <v>21.310611999999999</v>
      </c>
      <c r="D128" s="3">
        <v>-158.00441000000001</v>
      </c>
      <c r="E128" s="3" t="s">
        <v>278</v>
      </c>
      <c r="F128" s="14">
        <v>0.38541666666666669</v>
      </c>
      <c r="G128" s="14">
        <v>0.45833333333333331</v>
      </c>
      <c r="H128" s="3">
        <v>6</v>
      </c>
      <c r="I128" s="3">
        <v>12</v>
      </c>
      <c r="J128" s="3" t="s">
        <v>198</v>
      </c>
      <c r="K128" s="3">
        <v>5</v>
      </c>
      <c r="L128" s="3">
        <v>25</v>
      </c>
      <c r="M128" s="3" t="s">
        <v>393</v>
      </c>
      <c r="Q128" s="3">
        <v>1</v>
      </c>
      <c r="AA128" s="3">
        <v>1</v>
      </c>
      <c r="AB128" s="3">
        <v>1</v>
      </c>
      <c r="AD128" s="3">
        <v>1</v>
      </c>
      <c r="AH128" s="3">
        <v>1</v>
      </c>
      <c r="AZ128" s="3"/>
      <c r="BA128" s="3">
        <v>1</v>
      </c>
      <c r="BD128" s="3">
        <v>1</v>
      </c>
      <c r="BE128" s="3">
        <v>1</v>
      </c>
      <c r="BL128" s="3">
        <v>1</v>
      </c>
      <c r="BR128" s="3">
        <v>1</v>
      </c>
      <c r="BU128" s="3">
        <v>1</v>
      </c>
      <c r="BY128" s="3">
        <v>1</v>
      </c>
      <c r="CR128" s="3">
        <v>1</v>
      </c>
      <c r="DE128" s="3"/>
      <c r="DF128" s="3">
        <v>1</v>
      </c>
      <c r="DL128" s="3">
        <v>1</v>
      </c>
      <c r="DN128" s="3">
        <v>1</v>
      </c>
      <c r="DT128" s="3"/>
      <c r="DU128" s="3">
        <v>1</v>
      </c>
      <c r="EI128" s="3">
        <v>1</v>
      </c>
      <c r="FH128" s="3">
        <v>1</v>
      </c>
      <c r="FM128" s="3">
        <v>1</v>
      </c>
      <c r="FR128" s="3">
        <v>1</v>
      </c>
    </row>
    <row r="129" spans="1:188" ht="13" x14ac:dyDescent="0.15">
      <c r="A129" s="13">
        <v>42860</v>
      </c>
      <c r="B129" s="3" t="s">
        <v>394</v>
      </c>
      <c r="C129" s="3">
        <v>19.637501</v>
      </c>
      <c r="D129" s="3">
        <v>-155.99389600000001</v>
      </c>
      <c r="E129" s="3" t="s">
        <v>367</v>
      </c>
      <c r="F129" s="14">
        <v>0.51041666666666663</v>
      </c>
      <c r="G129" s="14">
        <v>0.51041666666666663</v>
      </c>
      <c r="H129" s="3">
        <v>5</v>
      </c>
      <c r="I129" s="3">
        <v>25</v>
      </c>
      <c r="J129" s="3" t="s">
        <v>198</v>
      </c>
      <c r="K129" s="3">
        <v>10</v>
      </c>
      <c r="L129" s="3">
        <v>44</v>
      </c>
      <c r="M129" s="3" t="s">
        <v>395</v>
      </c>
      <c r="N129" s="3" t="s">
        <v>396</v>
      </c>
      <c r="R129" s="3">
        <v>1</v>
      </c>
      <c r="AL129" s="3">
        <v>1</v>
      </c>
      <c r="AW129" s="3">
        <v>1</v>
      </c>
      <c r="AZ129" s="3"/>
      <c r="BA129" s="3">
        <v>1</v>
      </c>
      <c r="BL129" s="3">
        <v>1</v>
      </c>
      <c r="BQ129" s="3">
        <v>1</v>
      </c>
      <c r="CB129" s="3">
        <v>1</v>
      </c>
      <c r="CC129" s="3">
        <v>1</v>
      </c>
      <c r="CR129" s="3">
        <v>1</v>
      </c>
      <c r="EI129" s="3">
        <v>1</v>
      </c>
      <c r="EW129" s="3">
        <v>1</v>
      </c>
      <c r="EY129" s="3">
        <v>1</v>
      </c>
      <c r="FA129" s="3">
        <v>1</v>
      </c>
      <c r="FR129" s="3">
        <v>1</v>
      </c>
      <c r="FU129" s="3"/>
      <c r="FV129" s="3">
        <v>1</v>
      </c>
      <c r="FZ129" s="3">
        <v>1</v>
      </c>
      <c r="GC129" s="3">
        <v>1</v>
      </c>
    </row>
    <row r="130" spans="1:188" ht="13" x14ac:dyDescent="0.15">
      <c r="A130" s="13">
        <v>42865</v>
      </c>
      <c r="B130" s="3" t="s">
        <v>230</v>
      </c>
      <c r="C130" s="3">
        <v>20.753699999999998</v>
      </c>
      <c r="D130" s="3">
        <v>-156.46090699999999</v>
      </c>
      <c r="E130" s="3" t="s">
        <v>397</v>
      </c>
      <c r="F130" s="14">
        <v>0.39583333333333331</v>
      </c>
      <c r="G130" s="14">
        <v>0.46527777777777779</v>
      </c>
      <c r="H130" s="3">
        <v>4</v>
      </c>
      <c r="I130" s="3">
        <v>15</v>
      </c>
      <c r="J130" s="3" t="s">
        <v>398</v>
      </c>
      <c r="K130" s="3">
        <v>7</v>
      </c>
      <c r="L130" s="3">
        <v>24</v>
      </c>
      <c r="M130" s="3" t="s">
        <v>399</v>
      </c>
      <c r="Q130" s="3">
        <v>1</v>
      </c>
      <c r="BL130" s="3">
        <v>1</v>
      </c>
      <c r="CT130" s="3">
        <v>1</v>
      </c>
      <c r="DE130" s="3">
        <v>1</v>
      </c>
      <c r="DF130" s="3">
        <v>1</v>
      </c>
      <c r="DN130" s="3">
        <v>1</v>
      </c>
      <c r="ES130" s="3"/>
      <c r="ET130" s="3"/>
      <c r="EU130" s="3">
        <v>1</v>
      </c>
      <c r="FR130" s="3">
        <v>1</v>
      </c>
      <c r="FU130" s="3"/>
      <c r="FV130" s="3">
        <v>1</v>
      </c>
    </row>
    <row r="131" spans="1:188" ht="13" x14ac:dyDescent="0.15">
      <c r="A131" s="19">
        <v>42865</v>
      </c>
      <c r="B131" s="20" t="s">
        <v>467</v>
      </c>
      <c r="C131" s="20"/>
      <c r="D131" s="20"/>
      <c r="E131" s="20" t="s">
        <v>468</v>
      </c>
      <c r="F131" s="21">
        <v>0.36319444444444443</v>
      </c>
      <c r="G131" s="21">
        <v>0.37083333333333335</v>
      </c>
      <c r="H131" s="20">
        <v>3</v>
      </c>
      <c r="I131" s="20">
        <v>29</v>
      </c>
      <c r="J131" s="20" t="s">
        <v>198</v>
      </c>
      <c r="K131" s="20">
        <v>10</v>
      </c>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c r="EE131" s="20"/>
      <c r="EF131" s="20"/>
      <c r="EG131" s="20"/>
      <c r="EH131" s="20"/>
      <c r="EI131" s="20"/>
      <c r="EJ131" s="20"/>
      <c r="EK131" s="20"/>
      <c r="EL131" s="20"/>
      <c r="EM131" s="20"/>
      <c r="EN131" s="20"/>
      <c r="EO131" s="20"/>
      <c r="EP131" s="20"/>
      <c r="EQ131" s="20"/>
      <c r="ER131" s="20"/>
      <c r="ES131" s="20"/>
      <c r="ET131" s="20"/>
      <c r="EU131" s="20"/>
      <c r="EV131" s="20"/>
      <c r="EW131" s="20"/>
      <c r="EX131" s="20"/>
      <c r="EY131" s="20"/>
      <c r="EZ131" s="20"/>
      <c r="FA131" s="20"/>
      <c r="FB131" s="20"/>
      <c r="FC131" s="20"/>
      <c r="FD131" s="20"/>
      <c r="FE131" s="20"/>
      <c r="FF131" s="20"/>
      <c r="FG131" s="20"/>
      <c r="FH131" s="20"/>
      <c r="FI131" s="20"/>
      <c r="FJ131" s="20"/>
      <c r="FK131" s="20"/>
      <c r="FL131" s="20"/>
      <c r="FM131" s="20"/>
      <c r="FN131" s="20"/>
      <c r="FO131" s="20"/>
      <c r="FP131" s="20"/>
      <c r="FQ131" s="20"/>
      <c r="FR131" s="20"/>
      <c r="FS131" s="20"/>
      <c r="FT131" s="20"/>
      <c r="FU131" s="20"/>
      <c r="FV131" s="20"/>
      <c r="FW131" s="20"/>
      <c r="FX131" s="20"/>
      <c r="FY131" s="20"/>
      <c r="FZ131" s="20"/>
      <c r="GA131" s="20"/>
      <c r="GB131" s="20"/>
      <c r="GC131" s="20"/>
      <c r="GD131" s="20"/>
      <c r="GE131" s="20"/>
      <c r="GF131" s="20"/>
    </row>
    <row r="132" spans="1:188" ht="13" x14ac:dyDescent="0.15">
      <c r="A132" s="13">
        <v>42866</v>
      </c>
      <c r="B132" s="3" t="s">
        <v>400</v>
      </c>
      <c r="C132" s="3">
        <v>21.900562000000001</v>
      </c>
      <c r="D132" s="3">
        <v>-159.60981799999999</v>
      </c>
      <c r="E132" s="3" t="s">
        <v>401</v>
      </c>
      <c r="F132" s="14">
        <v>0.36805555555555558</v>
      </c>
      <c r="G132" s="14">
        <v>0.41319444444444442</v>
      </c>
      <c r="H132" s="3">
        <v>6</v>
      </c>
      <c r="I132" s="3">
        <v>15</v>
      </c>
      <c r="J132" s="3" t="s">
        <v>198</v>
      </c>
      <c r="K132" s="3">
        <v>5</v>
      </c>
      <c r="L132" s="3">
        <v>25</v>
      </c>
      <c r="M132" s="3" t="s">
        <v>402</v>
      </c>
      <c r="AA132" s="3">
        <v>1</v>
      </c>
      <c r="AB132" s="3">
        <v>1</v>
      </c>
      <c r="BL132" s="3">
        <v>1</v>
      </c>
      <c r="BU132" s="3">
        <v>1</v>
      </c>
      <c r="BV132" s="3">
        <v>1</v>
      </c>
      <c r="CJ132" s="3">
        <v>1</v>
      </c>
      <c r="DD132" s="3">
        <v>1</v>
      </c>
      <c r="DI132" s="3">
        <v>1</v>
      </c>
      <c r="DM132" s="3">
        <v>1</v>
      </c>
      <c r="DR132" s="3">
        <v>1</v>
      </c>
      <c r="EI132" s="3">
        <v>1</v>
      </c>
      <c r="FA132" s="3">
        <v>1</v>
      </c>
      <c r="FB132" s="3">
        <v>1</v>
      </c>
      <c r="FR132" s="3">
        <v>1</v>
      </c>
      <c r="FT132" s="3">
        <v>1</v>
      </c>
    </row>
    <row r="133" spans="1:188" ht="13" x14ac:dyDescent="0.15">
      <c r="A133" s="13">
        <v>42866</v>
      </c>
      <c r="B133" s="3" t="s">
        <v>244</v>
      </c>
      <c r="C133" s="3">
        <v>21.310611999999999</v>
      </c>
      <c r="D133" s="3">
        <v>-158.00441000000001</v>
      </c>
      <c r="E133" s="3" t="s">
        <v>278</v>
      </c>
      <c r="F133" s="14">
        <v>0.38541666666666669</v>
      </c>
      <c r="G133" s="14">
        <v>0.45833333333333331</v>
      </c>
      <c r="H133" s="3">
        <v>6</v>
      </c>
      <c r="I133" s="3">
        <v>11</v>
      </c>
      <c r="J133" s="3" t="s">
        <v>198</v>
      </c>
      <c r="K133" s="3">
        <v>5</v>
      </c>
      <c r="L133" s="3">
        <v>24</v>
      </c>
      <c r="M133" s="3" t="s">
        <v>403</v>
      </c>
      <c r="Q133" s="3">
        <v>1</v>
      </c>
      <c r="AA133" s="3">
        <v>1</v>
      </c>
      <c r="AD133" s="3">
        <v>1</v>
      </c>
      <c r="AH133" s="3">
        <v>1</v>
      </c>
      <c r="AM133" s="3">
        <v>1</v>
      </c>
      <c r="AZ133" s="3"/>
      <c r="BA133" s="3">
        <v>1</v>
      </c>
      <c r="BD133" s="3">
        <v>1</v>
      </c>
      <c r="BL133" s="3">
        <v>1</v>
      </c>
      <c r="BN133" s="3"/>
      <c r="BO133" s="3">
        <v>1</v>
      </c>
      <c r="BP133" s="3">
        <v>1</v>
      </c>
      <c r="BU133" s="3">
        <v>1</v>
      </c>
      <c r="BY133" s="3">
        <v>1</v>
      </c>
      <c r="CJ133" s="3">
        <v>1</v>
      </c>
      <c r="CN133" s="3">
        <v>1</v>
      </c>
      <c r="DF133" s="3">
        <v>1</v>
      </c>
      <c r="DL133" s="3">
        <v>1</v>
      </c>
      <c r="DN133" s="3">
        <v>1</v>
      </c>
      <c r="DT133" s="3"/>
      <c r="DU133" s="3">
        <v>1</v>
      </c>
      <c r="EB133" s="3">
        <v>1</v>
      </c>
      <c r="EI133" s="3">
        <v>1</v>
      </c>
      <c r="EW133" s="3">
        <v>1</v>
      </c>
      <c r="FA133" s="3">
        <v>1</v>
      </c>
      <c r="FG133" s="3">
        <v>1</v>
      </c>
      <c r="FH133" s="3">
        <v>1</v>
      </c>
      <c r="FR133" s="3">
        <v>1</v>
      </c>
      <c r="FU133" s="3"/>
      <c r="FV133" s="3">
        <v>1</v>
      </c>
      <c r="GF133" s="3">
        <v>1</v>
      </c>
    </row>
    <row r="134" spans="1:188" ht="13" x14ac:dyDescent="0.15">
      <c r="A134" s="27">
        <v>42866</v>
      </c>
      <c r="B134" s="28" t="s">
        <v>219</v>
      </c>
      <c r="C134" s="28">
        <v>21.295798999999999</v>
      </c>
      <c r="D134" s="28">
        <v>-158.10369900000001</v>
      </c>
      <c r="E134" s="28" t="s">
        <v>479</v>
      </c>
      <c r="F134" s="29">
        <v>0.4</v>
      </c>
      <c r="G134" s="29">
        <v>0.45833333333333331</v>
      </c>
      <c r="H134" s="28">
        <v>7</v>
      </c>
      <c r="I134" s="28">
        <v>10</v>
      </c>
      <c r="J134" s="28" t="s">
        <v>415</v>
      </c>
      <c r="K134" s="28">
        <v>1</v>
      </c>
      <c r="L134" s="28">
        <v>6</v>
      </c>
      <c r="M134" s="28" t="s">
        <v>480</v>
      </c>
      <c r="N134" s="28"/>
      <c r="O134" s="28"/>
      <c r="P134" s="28"/>
      <c r="Q134" s="28">
        <v>1</v>
      </c>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v>1</v>
      </c>
      <c r="BE134" s="28"/>
      <c r="BF134" s="28"/>
      <c r="BG134" s="28"/>
      <c r="BH134" s="28"/>
      <c r="BI134" s="28"/>
      <c r="BJ134" s="28"/>
      <c r="BK134" s="28"/>
      <c r="BL134" s="28"/>
      <c r="BM134" s="28"/>
      <c r="BN134" s="28"/>
      <c r="BO134" s="28"/>
      <c r="BP134" s="28"/>
      <c r="BQ134" s="28"/>
      <c r="BR134" s="28"/>
      <c r="BS134" s="28"/>
      <c r="BT134" s="28"/>
      <c r="BU134" s="28">
        <v>1</v>
      </c>
      <c r="BV134" s="28"/>
      <c r="BW134" s="28"/>
      <c r="BX134" s="28"/>
      <c r="BY134" s="28">
        <v>1</v>
      </c>
      <c r="BZ134" s="28"/>
      <c r="CA134" s="28"/>
      <c r="CB134" s="28"/>
      <c r="CC134" s="28"/>
      <c r="CD134" s="28"/>
      <c r="CE134" s="28"/>
      <c r="CF134" s="28"/>
      <c r="CG134" s="28"/>
      <c r="CH134" s="28"/>
      <c r="CI134" s="28"/>
      <c r="CJ134" s="28"/>
      <c r="CK134" s="28"/>
      <c r="CL134" s="28"/>
      <c r="CM134" s="28"/>
      <c r="CN134" s="28"/>
      <c r="CO134" s="28"/>
      <c r="CP134" s="28"/>
      <c r="CQ134" s="28"/>
      <c r="CR134" s="28">
        <v>1</v>
      </c>
      <c r="CS134" s="28"/>
      <c r="CT134" s="28"/>
      <c r="CU134" s="28"/>
      <c r="CV134" s="28"/>
      <c r="CW134" s="28"/>
      <c r="CX134" s="28"/>
      <c r="CY134" s="28"/>
      <c r="CZ134" s="28"/>
      <c r="DA134" s="28"/>
      <c r="DB134" s="28"/>
      <c r="DC134" s="28"/>
      <c r="DD134" s="28"/>
      <c r="DE134" s="28"/>
      <c r="DF134" s="28"/>
      <c r="DG134" s="28"/>
      <c r="DH134" s="28"/>
      <c r="DI134" s="28"/>
      <c r="DJ134" s="28"/>
      <c r="DK134" s="28"/>
      <c r="DL134" s="28">
        <v>1</v>
      </c>
      <c r="DM134" s="28"/>
      <c r="DN134" s="28"/>
      <c r="DO134" s="28"/>
      <c r="DP134" s="28"/>
      <c r="DQ134" s="28"/>
      <c r="DR134" s="28">
        <v>1</v>
      </c>
      <c r="DS134" s="28"/>
      <c r="DT134" s="28"/>
      <c r="DU134" s="28"/>
      <c r="DV134" s="28"/>
      <c r="DW134" s="28"/>
      <c r="DX134" s="28"/>
      <c r="DY134" s="28"/>
      <c r="DZ134" s="28"/>
      <c r="EA134" s="28"/>
      <c r="EB134" s="28"/>
      <c r="EC134" s="28"/>
      <c r="ED134" s="28"/>
      <c r="EE134" s="28"/>
      <c r="EF134" s="28"/>
      <c r="EG134" s="28"/>
      <c r="EH134" s="28"/>
      <c r="EI134" s="28">
        <v>1</v>
      </c>
      <c r="EJ134" s="28"/>
      <c r="EK134" s="28"/>
      <c r="EL134" s="28"/>
      <c r="EM134" s="28"/>
      <c r="EN134" s="28"/>
      <c r="EO134" s="28"/>
      <c r="EP134" s="28"/>
      <c r="EQ134" s="28"/>
      <c r="ER134" s="28"/>
      <c r="ES134" s="28"/>
      <c r="ET134" s="28"/>
      <c r="EU134" s="28"/>
      <c r="EV134" s="28"/>
      <c r="EW134" s="28"/>
      <c r="EX134" s="28"/>
      <c r="EY134" s="28"/>
      <c r="EZ134" s="28"/>
      <c r="FA134" s="28">
        <v>1</v>
      </c>
      <c r="FB134" s="28"/>
      <c r="FC134" s="28"/>
      <c r="FD134" s="28"/>
      <c r="FE134" s="28">
        <v>1</v>
      </c>
      <c r="FF134" s="28"/>
      <c r="FG134" s="28"/>
      <c r="FH134" s="28"/>
      <c r="FI134" s="28"/>
      <c r="FJ134" s="28"/>
      <c r="FK134" s="28"/>
      <c r="FL134" s="28"/>
      <c r="FM134" s="28"/>
      <c r="FN134" s="28"/>
      <c r="FO134" s="28"/>
      <c r="FP134" s="28"/>
      <c r="FQ134" s="28"/>
      <c r="FR134" s="28">
        <v>1</v>
      </c>
      <c r="FS134" s="28"/>
      <c r="FT134" s="28"/>
      <c r="FU134" s="28"/>
      <c r="FV134" s="28"/>
      <c r="FW134" s="28"/>
      <c r="FX134" s="28"/>
      <c r="FY134" s="28"/>
      <c r="FZ134" s="28"/>
      <c r="GA134" s="28"/>
      <c r="GB134" s="28"/>
      <c r="GC134" s="28"/>
      <c r="GD134" s="28"/>
      <c r="GE134" s="28"/>
      <c r="GF134" s="28"/>
    </row>
    <row r="135" spans="1:188" ht="13" x14ac:dyDescent="0.15">
      <c r="A135" s="27">
        <v>42866</v>
      </c>
      <c r="B135" s="28" t="s">
        <v>377</v>
      </c>
      <c r="C135" s="28">
        <v>20.704999999999998</v>
      </c>
      <c r="D135" s="28">
        <v>-156.446945</v>
      </c>
      <c r="E135" s="28" t="s">
        <v>378</v>
      </c>
      <c r="F135" s="29">
        <v>0.36458333333333331</v>
      </c>
      <c r="G135" s="29">
        <v>0.44791666666666669</v>
      </c>
      <c r="H135" s="28">
        <v>11</v>
      </c>
      <c r="I135" s="28">
        <v>20</v>
      </c>
      <c r="J135" s="28" t="s">
        <v>227</v>
      </c>
      <c r="K135" s="28">
        <v>7</v>
      </c>
      <c r="L135" s="28">
        <v>7</v>
      </c>
      <c r="M135" s="28" t="s">
        <v>485</v>
      </c>
      <c r="N135" s="28"/>
      <c r="O135" s="28"/>
      <c r="P135" s="28"/>
      <c r="Q135" s="28">
        <v>1</v>
      </c>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v>1</v>
      </c>
      <c r="BB135" s="28"/>
      <c r="BC135" s="28"/>
      <c r="BD135" s="28"/>
      <c r="BE135" s="28"/>
      <c r="BF135" s="28"/>
      <c r="BG135" s="28"/>
      <c r="BH135" s="28"/>
      <c r="BI135" s="28"/>
      <c r="BJ135" s="28"/>
      <c r="BK135" s="28"/>
      <c r="BL135" s="28"/>
      <c r="BM135" s="28"/>
      <c r="BN135" s="28"/>
      <c r="BO135" s="28"/>
      <c r="BP135" s="28"/>
      <c r="BQ135" s="28"/>
      <c r="BR135" s="28"/>
      <c r="BS135" s="28"/>
      <c r="BT135" s="28"/>
      <c r="BU135" s="28"/>
      <c r="BV135" s="28"/>
      <c r="BW135" s="28"/>
      <c r="BX135" s="28"/>
      <c r="BY135" s="28"/>
      <c r="BZ135" s="28"/>
      <c r="CA135" s="28"/>
      <c r="CB135" s="28"/>
      <c r="CC135" s="28"/>
      <c r="CD135" s="28"/>
      <c r="CE135" s="28"/>
      <c r="CF135" s="28"/>
      <c r="CG135" s="28"/>
      <c r="CH135" s="28"/>
      <c r="CI135" s="28"/>
      <c r="CJ135" s="28">
        <v>1</v>
      </c>
      <c r="CK135" s="28"/>
      <c r="CL135" s="28"/>
      <c r="CM135" s="28"/>
      <c r="CN135" s="28"/>
      <c r="CO135" s="28"/>
      <c r="CP135" s="28"/>
      <c r="CQ135" s="28"/>
      <c r="CR135" s="28"/>
      <c r="CS135" s="28"/>
      <c r="CT135" s="28"/>
      <c r="CU135" s="28"/>
      <c r="CV135" s="28"/>
      <c r="CW135" s="28"/>
      <c r="CX135" s="28"/>
      <c r="CY135" s="28"/>
      <c r="CZ135" s="28"/>
      <c r="DA135" s="28"/>
      <c r="DB135" s="28"/>
      <c r="DC135" s="28"/>
      <c r="DD135" s="28"/>
      <c r="DE135" s="28"/>
      <c r="DF135" s="28"/>
      <c r="DG135" s="28">
        <v>1</v>
      </c>
      <c r="DH135" s="28"/>
      <c r="DI135" s="28"/>
      <c r="DJ135" s="28"/>
      <c r="DK135" s="28"/>
      <c r="DL135" s="28"/>
      <c r="DM135" s="28"/>
      <c r="DN135" s="28"/>
      <c r="DO135" s="28"/>
      <c r="DP135" s="28"/>
      <c r="DQ135" s="28"/>
      <c r="DR135" s="28"/>
      <c r="DS135" s="28"/>
      <c r="DT135" s="28"/>
      <c r="DU135" s="28"/>
      <c r="DV135" s="28"/>
      <c r="DW135" s="28"/>
      <c r="DX135" s="28"/>
      <c r="DY135" s="28"/>
      <c r="DZ135" s="28"/>
      <c r="EA135" s="28"/>
      <c r="EB135" s="28"/>
      <c r="EC135" s="28"/>
      <c r="ED135" s="28"/>
      <c r="EE135" s="28"/>
      <c r="EF135" s="28"/>
      <c r="EG135" s="28"/>
      <c r="EH135" s="28"/>
      <c r="EI135" s="28"/>
      <c r="EJ135" s="28"/>
      <c r="EK135" s="28"/>
      <c r="EL135" s="28"/>
      <c r="EM135" s="28"/>
      <c r="EN135" s="28"/>
      <c r="EO135" s="28"/>
      <c r="EP135" s="28"/>
      <c r="EQ135" s="28"/>
      <c r="ER135" s="28"/>
      <c r="ES135" s="28"/>
      <c r="ET135" s="28"/>
      <c r="EU135" s="28"/>
      <c r="EV135" s="28"/>
      <c r="EW135" s="28">
        <v>1</v>
      </c>
      <c r="EX135" s="28"/>
      <c r="EY135" s="28"/>
      <c r="EZ135" s="28"/>
      <c r="FA135" s="28"/>
      <c r="FB135" s="28"/>
      <c r="FC135" s="28"/>
      <c r="FD135" s="28"/>
      <c r="FE135" s="28"/>
      <c r="FF135" s="28"/>
      <c r="FG135" s="28"/>
      <c r="FH135" s="28"/>
      <c r="FI135" s="28"/>
      <c r="FJ135" s="28"/>
      <c r="FK135" s="28"/>
      <c r="FL135" s="28"/>
      <c r="FM135" s="28"/>
      <c r="FN135" s="28"/>
      <c r="FO135" s="28"/>
      <c r="FP135" s="28"/>
      <c r="FQ135" s="28"/>
      <c r="FR135" s="28"/>
      <c r="FS135" s="28"/>
      <c r="FT135" s="28"/>
      <c r="FU135" s="28"/>
      <c r="FV135" s="28"/>
      <c r="FW135" s="28"/>
      <c r="FX135" s="28"/>
      <c r="FY135" s="28"/>
      <c r="FZ135" s="28"/>
      <c r="GA135" s="28"/>
      <c r="GB135" s="28"/>
      <c r="GC135" s="28">
        <v>1</v>
      </c>
      <c r="GD135" s="28"/>
      <c r="GE135" s="28"/>
      <c r="GF135" s="28"/>
    </row>
    <row r="136" spans="1:188" ht="13" x14ac:dyDescent="0.15">
      <c r="A136" s="13">
        <v>42867</v>
      </c>
      <c r="B136" s="3" t="s">
        <v>216</v>
      </c>
      <c r="C136" s="3">
        <v>21.3002</v>
      </c>
      <c r="D136" s="3">
        <v>-157.882599</v>
      </c>
      <c r="E136" s="3" t="s">
        <v>299</v>
      </c>
      <c r="F136" s="14">
        <v>0.45833333333333331</v>
      </c>
      <c r="G136" s="14">
        <v>0.51041666666666663</v>
      </c>
      <c r="H136" s="3">
        <v>4</v>
      </c>
      <c r="I136" s="3">
        <v>20</v>
      </c>
      <c r="J136" s="3" t="s">
        <v>217</v>
      </c>
      <c r="K136" s="3">
        <v>10</v>
      </c>
      <c r="L136" s="3">
        <v>32</v>
      </c>
      <c r="M136" s="3" t="s">
        <v>404</v>
      </c>
      <c r="R136" s="3">
        <v>1</v>
      </c>
      <c r="AH136" s="3">
        <v>1</v>
      </c>
      <c r="AL136" s="3">
        <v>1</v>
      </c>
      <c r="BL136" s="3">
        <v>1</v>
      </c>
      <c r="BM136" s="3">
        <v>1</v>
      </c>
      <c r="BP136" s="3">
        <v>1</v>
      </c>
      <c r="CB136" s="3">
        <v>1</v>
      </c>
      <c r="DR136" s="3">
        <v>1</v>
      </c>
      <c r="EB136" s="3">
        <v>1</v>
      </c>
      <c r="EI136" s="3">
        <v>1</v>
      </c>
      <c r="FI136" s="3"/>
      <c r="FJ136" s="3"/>
      <c r="FK136" s="3">
        <v>1</v>
      </c>
      <c r="FQ136" s="3">
        <v>1</v>
      </c>
      <c r="FR136" s="3">
        <v>1</v>
      </c>
    </row>
    <row r="137" spans="1:188" ht="13" x14ac:dyDescent="0.15">
      <c r="A137" s="27">
        <v>42874</v>
      </c>
      <c r="B137" s="28" t="s">
        <v>400</v>
      </c>
      <c r="C137" s="28">
        <v>21.900562000000001</v>
      </c>
      <c r="D137" s="28">
        <v>-159.60981799999999</v>
      </c>
      <c r="E137" s="28" t="s">
        <v>401</v>
      </c>
      <c r="F137" s="29">
        <v>0.36249999999999999</v>
      </c>
      <c r="G137" s="29">
        <v>0.41111111111111109</v>
      </c>
      <c r="H137" s="28">
        <v>6</v>
      </c>
      <c r="I137" s="28">
        <v>15</v>
      </c>
      <c r="J137" s="28" t="s">
        <v>198</v>
      </c>
      <c r="K137" s="28">
        <v>5</v>
      </c>
      <c r="L137" s="28">
        <v>22</v>
      </c>
      <c r="M137" s="28" t="s">
        <v>490</v>
      </c>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c r="BS137" s="28"/>
      <c r="BT137" s="28"/>
      <c r="BU137" s="28">
        <v>1</v>
      </c>
      <c r="BV137" s="28"/>
      <c r="BW137" s="28"/>
      <c r="BX137" s="28"/>
      <c r="BY137" s="28"/>
      <c r="BZ137" s="28"/>
      <c r="CA137" s="28"/>
      <c r="CB137" s="28"/>
      <c r="CC137" s="28">
        <v>1</v>
      </c>
      <c r="CD137" s="28"/>
      <c r="CE137" s="28"/>
      <c r="CF137" s="28"/>
      <c r="CG137" s="28">
        <v>1</v>
      </c>
      <c r="CH137" s="28"/>
      <c r="CI137" s="28"/>
      <c r="CJ137" s="28"/>
      <c r="CK137" s="28"/>
      <c r="CL137" s="28"/>
      <c r="CM137" s="28"/>
      <c r="CN137" s="28"/>
      <c r="CO137" s="28"/>
      <c r="CP137" s="28"/>
      <c r="CQ137" s="28"/>
      <c r="CR137" s="28"/>
      <c r="CS137" s="28"/>
      <c r="CT137" s="28"/>
      <c r="CU137" s="28">
        <v>1</v>
      </c>
      <c r="CV137" s="28"/>
      <c r="CW137" s="28"/>
      <c r="CX137" s="28"/>
      <c r="CY137" s="28"/>
      <c r="CZ137" s="28"/>
      <c r="DA137" s="28"/>
      <c r="DB137" s="28"/>
      <c r="DC137" s="28"/>
      <c r="DD137" s="28"/>
      <c r="DE137" s="28"/>
      <c r="DF137" s="28"/>
      <c r="DG137" s="28"/>
      <c r="DH137" s="28"/>
      <c r="DI137" s="28"/>
      <c r="DJ137" s="28"/>
      <c r="DK137" s="28"/>
      <c r="DL137" s="28"/>
      <c r="DM137" s="28"/>
      <c r="DN137" s="28"/>
      <c r="DO137" s="28"/>
      <c r="DP137" s="28"/>
      <c r="DQ137" s="28"/>
      <c r="DR137" s="28"/>
      <c r="DS137" s="28"/>
      <c r="DT137" s="28"/>
      <c r="DU137" s="28"/>
      <c r="DV137" s="28"/>
      <c r="DW137" s="28"/>
      <c r="DX137" s="28"/>
      <c r="DY137" s="28"/>
      <c r="DZ137" s="28"/>
      <c r="EA137" s="28"/>
      <c r="EB137" s="28"/>
      <c r="EC137" s="28"/>
      <c r="ED137" s="28"/>
      <c r="EE137" s="28"/>
      <c r="EF137" s="28"/>
      <c r="EG137" s="28"/>
      <c r="EH137" s="28"/>
      <c r="EI137" s="28"/>
      <c r="EJ137" s="28"/>
      <c r="EK137" s="28"/>
      <c r="EL137" s="28"/>
      <c r="EM137" s="28"/>
      <c r="EN137" s="28"/>
      <c r="EO137" s="28"/>
      <c r="EP137" s="28"/>
      <c r="EQ137" s="28"/>
      <c r="ER137" s="28"/>
      <c r="ES137" s="28"/>
      <c r="ET137" s="28"/>
      <c r="EU137" s="28"/>
      <c r="EV137" s="28"/>
      <c r="EW137" s="28">
        <v>1</v>
      </c>
      <c r="EX137" s="28"/>
      <c r="EY137" s="28"/>
      <c r="EZ137" s="28"/>
      <c r="FA137" s="28"/>
      <c r="FB137" s="28"/>
      <c r="FC137" s="28"/>
      <c r="FD137" s="28"/>
      <c r="FE137" s="28"/>
      <c r="FF137" s="28"/>
      <c r="FG137" s="28"/>
      <c r="FH137" s="28"/>
      <c r="FI137" s="28"/>
      <c r="FJ137" s="28"/>
      <c r="FK137" s="28"/>
      <c r="FL137" s="28"/>
      <c r="FM137" s="28"/>
      <c r="FN137" s="28"/>
      <c r="FO137" s="28"/>
      <c r="FP137" s="28"/>
      <c r="FQ137" s="28"/>
      <c r="FR137" s="28">
        <v>1</v>
      </c>
      <c r="FS137" s="28"/>
      <c r="FT137" s="28"/>
      <c r="FU137" s="28"/>
      <c r="FV137" s="28"/>
      <c r="FW137" s="28"/>
      <c r="FX137" s="28"/>
      <c r="FY137" s="28"/>
      <c r="FZ137" s="28"/>
      <c r="GA137" s="28"/>
      <c r="GB137" s="28"/>
      <c r="GC137" s="28"/>
      <c r="GD137" s="28"/>
      <c r="GE137" s="28">
        <v>1</v>
      </c>
      <c r="GF137" s="28"/>
    </row>
    <row r="138" spans="1:188" ht="13" x14ac:dyDescent="0.15">
      <c r="A138" s="13">
        <v>42879</v>
      </c>
      <c r="B138" s="3" t="s">
        <v>247</v>
      </c>
      <c r="C138" s="3">
        <v>19.488199000000002</v>
      </c>
      <c r="D138" s="3">
        <v>-154.81930500000001</v>
      </c>
      <c r="E138" s="3" t="s">
        <v>289</v>
      </c>
      <c r="F138" s="14">
        <v>0.38541666666666669</v>
      </c>
      <c r="G138" s="14">
        <v>0.46875</v>
      </c>
      <c r="H138" s="3">
        <v>5</v>
      </c>
      <c r="I138" s="3">
        <v>20</v>
      </c>
      <c r="J138" s="3" t="s">
        <v>198</v>
      </c>
      <c r="K138" s="3">
        <v>5</v>
      </c>
      <c r="L138" s="3">
        <v>25</v>
      </c>
      <c r="AE138" s="3">
        <v>1</v>
      </c>
      <c r="AH138" s="3">
        <v>1</v>
      </c>
      <c r="AL138" s="3">
        <v>1</v>
      </c>
      <c r="BL138" s="3">
        <v>1</v>
      </c>
      <c r="BM138" s="3">
        <v>1</v>
      </c>
      <c r="CB138" s="3">
        <v>1</v>
      </c>
      <c r="EJ138" s="3">
        <v>1</v>
      </c>
      <c r="EO138" s="3">
        <v>1</v>
      </c>
      <c r="EQ138" s="3">
        <v>1</v>
      </c>
      <c r="FC138" s="3"/>
      <c r="FE138" s="3">
        <v>1</v>
      </c>
      <c r="FH138" s="3">
        <v>1</v>
      </c>
      <c r="FL138" s="3">
        <v>1</v>
      </c>
      <c r="FR138" s="3">
        <v>1</v>
      </c>
    </row>
    <row r="139" spans="1:188" ht="13" x14ac:dyDescent="0.15">
      <c r="A139" s="13">
        <v>42908</v>
      </c>
      <c r="B139" s="3" t="s">
        <v>246</v>
      </c>
      <c r="C139" s="3">
        <v>21.2882</v>
      </c>
      <c r="D139" s="3">
        <v>-157.66799900000001</v>
      </c>
      <c r="E139" s="3" t="s">
        <v>197</v>
      </c>
      <c r="F139" s="14">
        <v>0.31944444444444442</v>
      </c>
      <c r="G139" s="14">
        <v>0.39583333333333331</v>
      </c>
      <c r="H139" s="3">
        <v>3</v>
      </c>
      <c r="I139" s="3">
        <v>20</v>
      </c>
      <c r="J139" s="3" t="s">
        <v>217</v>
      </c>
      <c r="K139" s="3">
        <v>10</v>
      </c>
      <c r="L139" s="3">
        <v>26</v>
      </c>
      <c r="M139" s="3" t="s">
        <v>405</v>
      </c>
      <c r="T139" s="3">
        <v>1</v>
      </c>
      <c r="V139" s="3"/>
      <c r="W139" s="3">
        <v>1</v>
      </c>
      <c r="AA139" s="3">
        <v>1</v>
      </c>
      <c r="AG139" s="3">
        <v>1</v>
      </c>
      <c r="AL139" s="3">
        <v>1</v>
      </c>
      <c r="AV139" s="3">
        <v>1</v>
      </c>
      <c r="AZ139" s="3"/>
      <c r="BA139" s="3">
        <v>1</v>
      </c>
      <c r="BC139" s="3">
        <v>1</v>
      </c>
      <c r="BE139" s="3">
        <v>1</v>
      </c>
      <c r="BJ139" s="3">
        <v>1</v>
      </c>
      <c r="BL139" s="3">
        <v>1</v>
      </c>
      <c r="BM139" s="3">
        <v>1</v>
      </c>
      <c r="BP139" s="3">
        <v>1</v>
      </c>
      <c r="BY139" s="3">
        <v>1</v>
      </c>
      <c r="CB139" s="3">
        <v>1</v>
      </c>
      <c r="CF139" s="3"/>
      <c r="CG139" s="3">
        <v>1</v>
      </c>
      <c r="CJ139" s="3">
        <v>1</v>
      </c>
      <c r="CK139" s="3">
        <v>1</v>
      </c>
      <c r="CP139" s="3"/>
      <c r="CQ139" s="3">
        <v>1</v>
      </c>
      <c r="CT139" s="3">
        <v>1</v>
      </c>
      <c r="DD139" s="3">
        <v>1</v>
      </c>
      <c r="DF139" s="3">
        <v>1</v>
      </c>
      <c r="DL139" s="3">
        <v>1</v>
      </c>
      <c r="DM139" s="3">
        <v>1</v>
      </c>
      <c r="DN139" s="3">
        <v>1</v>
      </c>
      <c r="DT139" s="3"/>
      <c r="DU139" s="3">
        <v>1</v>
      </c>
      <c r="EI139" s="3">
        <v>1</v>
      </c>
      <c r="EJ139" s="3">
        <v>1</v>
      </c>
      <c r="EK139" s="3"/>
      <c r="EL139" s="3">
        <v>1</v>
      </c>
      <c r="ES139" s="3"/>
      <c r="ET139" s="3"/>
      <c r="EU139" s="3">
        <v>1</v>
      </c>
      <c r="FC139" s="3"/>
      <c r="FD139" s="3">
        <v>1</v>
      </c>
      <c r="FE139" s="3">
        <v>1</v>
      </c>
      <c r="FL139" s="3">
        <v>1</v>
      </c>
      <c r="FQ139" s="3">
        <v>1</v>
      </c>
      <c r="FR139" s="3">
        <v>1</v>
      </c>
      <c r="FW139" s="3"/>
      <c r="FX139" s="3">
        <v>1</v>
      </c>
      <c r="GD139" s="3">
        <v>1</v>
      </c>
    </row>
    <row r="140" spans="1:188" ht="13" x14ac:dyDescent="0.15">
      <c r="A140" s="13">
        <v>42910</v>
      </c>
      <c r="B140" s="3" t="s">
        <v>219</v>
      </c>
      <c r="C140" s="3">
        <v>21.295798999999999</v>
      </c>
      <c r="D140" s="3">
        <v>-158.10369900000001</v>
      </c>
      <c r="E140" s="3" t="s">
        <v>197</v>
      </c>
      <c r="F140" s="14">
        <v>0.34722222222222221</v>
      </c>
      <c r="G140" s="14">
        <v>0.45833333333333331</v>
      </c>
      <c r="H140" s="3">
        <v>4</v>
      </c>
      <c r="I140" s="3">
        <v>24</v>
      </c>
      <c r="J140" s="3" t="s">
        <v>227</v>
      </c>
      <c r="K140" s="3">
        <v>8</v>
      </c>
      <c r="L140" s="3">
        <v>27</v>
      </c>
      <c r="M140" s="3" t="s">
        <v>406</v>
      </c>
      <c r="Q140" s="3">
        <v>1</v>
      </c>
      <c r="V140" s="3"/>
      <c r="W140" s="3">
        <v>1</v>
      </c>
      <c r="AA140" s="3">
        <v>1</v>
      </c>
      <c r="AD140" s="3">
        <v>1</v>
      </c>
      <c r="AH140" s="3">
        <v>1</v>
      </c>
      <c r="AL140" s="3">
        <v>1</v>
      </c>
      <c r="AV140" s="3">
        <v>1</v>
      </c>
      <c r="AZ140" s="3">
        <v>1</v>
      </c>
      <c r="BA140" s="3">
        <v>1</v>
      </c>
      <c r="BB140" s="3">
        <v>1</v>
      </c>
      <c r="BC140" s="3">
        <v>1</v>
      </c>
      <c r="BD140" s="3">
        <v>1</v>
      </c>
      <c r="BG140" s="3">
        <v>1</v>
      </c>
      <c r="BL140" s="3">
        <v>1</v>
      </c>
      <c r="BM140" s="3">
        <v>1</v>
      </c>
      <c r="BP140" s="3">
        <v>1</v>
      </c>
      <c r="BU140" s="3">
        <v>1</v>
      </c>
      <c r="BV140" s="3">
        <v>1</v>
      </c>
      <c r="BW140" s="3">
        <v>1</v>
      </c>
      <c r="BX140" s="3">
        <v>1</v>
      </c>
      <c r="BY140" s="3">
        <v>1</v>
      </c>
      <c r="CP140" s="3"/>
      <c r="CQ140" s="3">
        <v>1</v>
      </c>
      <c r="CR140" s="3">
        <v>1</v>
      </c>
      <c r="CZ140" s="3">
        <v>1</v>
      </c>
      <c r="DC140" s="3">
        <v>1</v>
      </c>
      <c r="DD140" s="3">
        <v>1</v>
      </c>
      <c r="DF140" s="3">
        <v>1</v>
      </c>
      <c r="DI140" s="3">
        <v>1</v>
      </c>
      <c r="DJ140" s="3">
        <v>1</v>
      </c>
      <c r="DK140" s="3">
        <v>1</v>
      </c>
      <c r="DL140" s="3">
        <v>1</v>
      </c>
      <c r="DN140" s="3">
        <v>1</v>
      </c>
      <c r="DP140" s="3">
        <v>1</v>
      </c>
      <c r="DR140" s="3">
        <v>1</v>
      </c>
      <c r="DT140" s="3"/>
      <c r="DU140" s="3">
        <v>1</v>
      </c>
      <c r="EB140" s="3">
        <v>1</v>
      </c>
      <c r="EI140" s="3">
        <v>1</v>
      </c>
      <c r="EJ140" s="3">
        <v>1</v>
      </c>
      <c r="EK140" s="3">
        <v>1</v>
      </c>
      <c r="ES140" s="3">
        <v>1</v>
      </c>
      <c r="EZ140" s="3">
        <v>1</v>
      </c>
      <c r="FA140" s="3">
        <v>1</v>
      </c>
      <c r="FC140" s="3"/>
      <c r="FD140" s="3">
        <v>1</v>
      </c>
      <c r="FE140" s="3">
        <v>1</v>
      </c>
      <c r="FH140" s="3">
        <v>1</v>
      </c>
      <c r="FL140" s="3">
        <v>1</v>
      </c>
      <c r="FQ140" s="3">
        <v>1</v>
      </c>
      <c r="FR140" s="3">
        <v>1</v>
      </c>
      <c r="FW140" s="3"/>
      <c r="FX140" s="3">
        <v>1</v>
      </c>
    </row>
    <row r="141" spans="1:188" ht="13" x14ac:dyDescent="0.15">
      <c r="A141" s="13">
        <v>42911</v>
      </c>
      <c r="B141" s="3" t="s">
        <v>250</v>
      </c>
      <c r="C141" s="3">
        <v>21.410399999999999</v>
      </c>
      <c r="D141" s="3">
        <v>-158.17770400000001</v>
      </c>
      <c r="E141" s="3" t="s">
        <v>197</v>
      </c>
      <c r="F141" s="14">
        <v>0.375</v>
      </c>
      <c r="G141" s="14">
        <v>0.45833333333333331</v>
      </c>
      <c r="H141" s="3">
        <v>3</v>
      </c>
      <c r="I141" s="3">
        <v>33</v>
      </c>
      <c r="J141" s="3" t="s">
        <v>227</v>
      </c>
      <c r="K141" s="3">
        <v>12</v>
      </c>
      <c r="L141" s="3">
        <v>26</v>
      </c>
      <c r="M141" s="3" t="s">
        <v>407</v>
      </c>
      <c r="Q141" s="3">
        <v>1</v>
      </c>
      <c r="AA141" s="3">
        <v>1</v>
      </c>
      <c r="AC141" s="3">
        <v>1</v>
      </c>
      <c r="AL141" s="3">
        <v>1</v>
      </c>
      <c r="AV141" s="3">
        <v>1</v>
      </c>
      <c r="AX141" s="3">
        <v>1</v>
      </c>
      <c r="BA141" s="3">
        <v>1</v>
      </c>
      <c r="BJ141" s="3">
        <v>1</v>
      </c>
      <c r="BL141" s="3">
        <v>1</v>
      </c>
      <c r="BM141" s="3">
        <v>1</v>
      </c>
      <c r="BP141" s="3">
        <v>1</v>
      </c>
      <c r="BY141" s="3">
        <v>1</v>
      </c>
      <c r="CB141" s="3">
        <v>1</v>
      </c>
      <c r="CC141" s="3">
        <v>1</v>
      </c>
      <c r="CI141" s="3">
        <v>1</v>
      </c>
      <c r="CJ141" s="3">
        <v>1</v>
      </c>
      <c r="CK141" s="3">
        <v>1</v>
      </c>
      <c r="CM141" s="3">
        <v>1</v>
      </c>
      <c r="CN141" s="3">
        <v>1</v>
      </c>
      <c r="CP141" s="3">
        <v>1</v>
      </c>
      <c r="CZ141" s="3">
        <v>1</v>
      </c>
      <c r="DD141" s="3">
        <v>1</v>
      </c>
      <c r="DE141" s="3">
        <v>1</v>
      </c>
      <c r="DF141" s="3">
        <v>1</v>
      </c>
      <c r="DL141" s="3">
        <v>1</v>
      </c>
      <c r="EJ141" s="3">
        <v>1</v>
      </c>
      <c r="EK141" s="3">
        <v>1</v>
      </c>
      <c r="ET141" s="3"/>
      <c r="EU141" s="3">
        <v>1</v>
      </c>
      <c r="EW141" s="3">
        <v>1</v>
      </c>
      <c r="FI141" s="3"/>
      <c r="FJ141" s="3"/>
      <c r="FK141" s="3">
        <v>1</v>
      </c>
      <c r="FR141" s="3">
        <v>1</v>
      </c>
      <c r="FS141" s="3">
        <v>1</v>
      </c>
    </row>
    <row r="142" spans="1:188" ht="13" x14ac:dyDescent="0.15">
      <c r="A142" s="13">
        <v>43134</v>
      </c>
      <c r="B142" s="3" t="s">
        <v>201</v>
      </c>
      <c r="C142" s="3">
        <v>21.25544</v>
      </c>
      <c r="D142" s="3">
        <v>-157.810303</v>
      </c>
      <c r="E142" s="3" t="s">
        <v>197</v>
      </c>
      <c r="F142" s="14">
        <v>0.48958333333333331</v>
      </c>
      <c r="G142" s="14">
        <v>0.5625</v>
      </c>
      <c r="H142" s="3">
        <v>3</v>
      </c>
      <c r="I142" s="3">
        <v>13</v>
      </c>
      <c r="J142" s="3" t="s">
        <v>198</v>
      </c>
      <c r="K142" s="3">
        <v>13</v>
      </c>
      <c r="L142" s="3">
        <v>35</v>
      </c>
      <c r="M142" s="3" t="s">
        <v>408</v>
      </c>
      <c r="O142" s="3">
        <v>1</v>
      </c>
      <c r="Q142" s="3">
        <v>1</v>
      </c>
      <c r="AD142" s="3">
        <v>1</v>
      </c>
      <c r="AE142" s="3">
        <v>1</v>
      </c>
      <c r="AH142" s="3">
        <v>1</v>
      </c>
      <c r="BD142" s="3">
        <v>1</v>
      </c>
      <c r="BL142" s="3">
        <v>1</v>
      </c>
      <c r="BP142" s="3">
        <v>1</v>
      </c>
      <c r="BU142" s="3">
        <v>1</v>
      </c>
      <c r="BX142" s="3">
        <v>1</v>
      </c>
      <c r="BY142" s="3">
        <v>1</v>
      </c>
      <c r="CO142" s="3"/>
      <c r="CP142" s="3"/>
      <c r="CQ142" s="3"/>
      <c r="CR142" s="3">
        <v>1</v>
      </c>
      <c r="DE142" s="3"/>
      <c r="DF142" s="3">
        <v>1</v>
      </c>
      <c r="DL142" s="3">
        <v>1</v>
      </c>
      <c r="DQ142" s="3"/>
      <c r="DR142" s="3">
        <v>1</v>
      </c>
      <c r="DS142" s="3"/>
      <c r="DT142" s="3"/>
      <c r="DU142" s="3">
        <v>1</v>
      </c>
      <c r="DZ142" s="3">
        <v>1</v>
      </c>
      <c r="EB142" s="3">
        <v>1</v>
      </c>
      <c r="ED142" s="3"/>
      <c r="EE142" s="3"/>
      <c r="EF142" s="3"/>
      <c r="EG142" s="3"/>
      <c r="EH142" s="3"/>
      <c r="EI142" s="3">
        <v>1</v>
      </c>
      <c r="EK142" s="3"/>
      <c r="EL142" s="3"/>
      <c r="EM142" s="3">
        <v>1</v>
      </c>
      <c r="FA142" s="3">
        <v>1</v>
      </c>
      <c r="FB142" s="3">
        <v>1</v>
      </c>
      <c r="FH142" s="3">
        <v>1</v>
      </c>
      <c r="FQ142" s="3">
        <v>1</v>
      </c>
      <c r="FR142" s="3">
        <v>1</v>
      </c>
      <c r="GF142" s="3">
        <v>1</v>
      </c>
    </row>
    <row r="143" spans="1:188" ht="13" x14ac:dyDescent="0.15">
      <c r="A143" s="19">
        <v>43147</v>
      </c>
      <c r="B143" s="20" t="s">
        <v>201</v>
      </c>
      <c r="C143" s="20">
        <v>21.25544</v>
      </c>
      <c r="D143" s="20">
        <v>-157.810303</v>
      </c>
      <c r="E143" s="20" t="s">
        <v>389</v>
      </c>
      <c r="F143" s="21">
        <v>0.45833333333333331</v>
      </c>
      <c r="G143" s="21">
        <v>0.52083333333333337</v>
      </c>
      <c r="H143" s="20">
        <v>10</v>
      </c>
      <c r="I143" s="20">
        <v>15</v>
      </c>
      <c r="J143" s="20" t="s">
        <v>198</v>
      </c>
      <c r="K143" s="20">
        <v>5</v>
      </c>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c r="DB143" s="20"/>
      <c r="DC143" s="20"/>
      <c r="DD143" s="20"/>
      <c r="DE143" s="20"/>
      <c r="DF143" s="20"/>
      <c r="DG143" s="20"/>
      <c r="DH143" s="20"/>
      <c r="DI143" s="20"/>
      <c r="DJ143" s="20"/>
      <c r="DK143" s="20"/>
      <c r="DL143" s="20"/>
      <c r="DM143" s="20"/>
      <c r="DN143" s="20"/>
      <c r="DO143" s="20"/>
      <c r="DP143" s="20"/>
      <c r="DQ143" s="20"/>
      <c r="DR143" s="20"/>
      <c r="DS143" s="20"/>
      <c r="DT143" s="20"/>
      <c r="DU143" s="20"/>
      <c r="DV143" s="20"/>
      <c r="DW143" s="20"/>
      <c r="DX143" s="20"/>
      <c r="DY143" s="20"/>
      <c r="DZ143" s="20"/>
      <c r="EA143" s="20"/>
      <c r="EB143" s="20"/>
      <c r="EC143" s="20"/>
      <c r="ED143" s="20"/>
      <c r="EE143" s="20"/>
      <c r="EF143" s="20"/>
      <c r="EG143" s="20"/>
      <c r="EH143" s="20"/>
      <c r="EI143" s="20"/>
      <c r="EJ143" s="20"/>
      <c r="EK143" s="20"/>
      <c r="EL143" s="20"/>
      <c r="EM143" s="20"/>
      <c r="EN143" s="20"/>
      <c r="EO143" s="20"/>
      <c r="EP143" s="20"/>
      <c r="EQ143" s="20"/>
      <c r="ER143" s="20"/>
      <c r="ES143" s="20"/>
      <c r="ET143" s="20"/>
      <c r="EU143" s="20"/>
      <c r="EV143" s="20"/>
      <c r="EW143" s="20"/>
      <c r="EX143" s="20"/>
      <c r="EY143" s="20"/>
      <c r="EZ143" s="20"/>
      <c r="FA143" s="20"/>
      <c r="FB143" s="20"/>
      <c r="FC143" s="20"/>
      <c r="FD143" s="20"/>
      <c r="FE143" s="20"/>
      <c r="FF143" s="20"/>
      <c r="FG143" s="20"/>
      <c r="FH143" s="20"/>
      <c r="FI143" s="20"/>
      <c r="FJ143" s="20"/>
      <c r="FK143" s="20"/>
      <c r="FL143" s="20"/>
      <c r="FM143" s="20"/>
      <c r="FN143" s="20"/>
      <c r="FO143" s="20"/>
      <c r="FP143" s="20"/>
      <c r="FQ143" s="20"/>
      <c r="FR143" s="20"/>
      <c r="FS143" s="20"/>
      <c r="FT143" s="20"/>
      <c r="FU143" s="20"/>
      <c r="FV143" s="20"/>
      <c r="FW143" s="20"/>
      <c r="FX143" s="20"/>
      <c r="FY143" s="20"/>
      <c r="FZ143" s="20"/>
      <c r="GA143" s="20"/>
      <c r="GB143" s="20"/>
      <c r="GC143" s="20"/>
      <c r="GD143" s="20"/>
      <c r="GE143" s="20"/>
      <c r="GF143" s="20"/>
    </row>
    <row r="144" spans="1:188" ht="13" x14ac:dyDescent="0.15">
      <c r="A144" s="13">
        <v>43148</v>
      </c>
      <c r="B144" s="3" t="s">
        <v>244</v>
      </c>
      <c r="C144" s="3">
        <v>21.310611999999999</v>
      </c>
      <c r="D144" s="3">
        <v>-158.00441000000001</v>
      </c>
      <c r="E144" s="3" t="s">
        <v>197</v>
      </c>
      <c r="F144" s="14">
        <v>0.49861111111111112</v>
      </c>
      <c r="G144" s="14">
        <v>0.56874999999999998</v>
      </c>
      <c r="H144" s="3">
        <v>3</v>
      </c>
      <c r="I144" s="3">
        <v>11</v>
      </c>
      <c r="J144" s="3" t="s">
        <v>198</v>
      </c>
      <c r="K144" s="3">
        <v>11</v>
      </c>
      <c r="L144" s="3">
        <v>29</v>
      </c>
      <c r="M144" s="3" t="s">
        <v>409</v>
      </c>
      <c r="Q144" s="3">
        <v>1</v>
      </c>
      <c r="X144" s="3"/>
      <c r="Y144" s="3"/>
      <c r="Z144" s="3"/>
      <c r="AA144" s="3">
        <v>1</v>
      </c>
      <c r="AD144" s="3">
        <v>1</v>
      </c>
      <c r="AH144" s="3">
        <v>1</v>
      </c>
      <c r="AI144" s="3"/>
      <c r="AJ144" s="3"/>
      <c r="AK144" s="3"/>
      <c r="AL144" s="3">
        <v>1</v>
      </c>
      <c r="AP144" s="3"/>
      <c r="AQ144" s="3">
        <v>1</v>
      </c>
      <c r="AR144" s="3">
        <v>1</v>
      </c>
      <c r="AZ144" s="3"/>
      <c r="BA144" s="3">
        <v>1</v>
      </c>
      <c r="BB144" s="3">
        <v>1</v>
      </c>
      <c r="BD144" s="3">
        <v>1</v>
      </c>
      <c r="BL144" s="3">
        <v>1</v>
      </c>
      <c r="BP144" s="3">
        <v>1</v>
      </c>
      <c r="BT144" s="3">
        <v>1</v>
      </c>
      <c r="BU144" s="3">
        <v>1</v>
      </c>
      <c r="BV144" s="3">
        <v>1</v>
      </c>
      <c r="BW144" s="3">
        <v>1</v>
      </c>
      <c r="BX144" s="3">
        <v>1</v>
      </c>
      <c r="BY144" s="3">
        <v>1</v>
      </c>
      <c r="CO144" s="3"/>
      <c r="CP144" s="3"/>
      <c r="CQ144" s="3">
        <v>1</v>
      </c>
      <c r="CR144" s="3">
        <v>1</v>
      </c>
      <c r="CS144" s="3">
        <v>1</v>
      </c>
      <c r="CU144" s="3">
        <v>1</v>
      </c>
      <c r="DC144" s="3">
        <v>1</v>
      </c>
      <c r="DE144" s="3"/>
      <c r="DF144" s="3">
        <v>1</v>
      </c>
      <c r="DJ144" s="3"/>
      <c r="DK144" s="3">
        <v>1</v>
      </c>
      <c r="DL144" s="3">
        <v>1</v>
      </c>
      <c r="DN144" s="3">
        <v>1</v>
      </c>
      <c r="DT144" s="3"/>
      <c r="DU144" s="3">
        <v>1</v>
      </c>
      <c r="EB144" s="3">
        <v>1</v>
      </c>
      <c r="ED144" s="3"/>
      <c r="EE144" s="3"/>
      <c r="EF144" s="3"/>
      <c r="EG144" s="3"/>
      <c r="EH144" s="3"/>
      <c r="EI144" s="3">
        <v>1</v>
      </c>
      <c r="EN144" s="3">
        <v>1</v>
      </c>
      <c r="FR144" s="3">
        <v>1</v>
      </c>
      <c r="FU144" s="3"/>
      <c r="FV144" s="3">
        <v>1</v>
      </c>
    </row>
    <row r="145" spans="1:188" ht="13" x14ac:dyDescent="0.15">
      <c r="A145" s="24">
        <v>43160</v>
      </c>
      <c r="B145" s="25" t="s">
        <v>219</v>
      </c>
      <c r="C145" s="25">
        <v>21.295798999999999</v>
      </c>
      <c r="D145" s="25">
        <v>-158.10369900000001</v>
      </c>
      <c r="E145" s="25" t="s">
        <v>333</v>
      </c>
      <c r="F145" s="26">
        <v>0.375</v>
      </c>
      <c r="G145" s="26">
        <v>0.4513888888888889</v>
      </c>
      <c r="H145" s="25">
        <v>10</v>
      </c>
      <c r="I145" s="25">
        <v>10</v>
      </c>
      <c r="J145" s="25" t="s">
        <v>318</v>
      </c>
      <c r="K145" s="25">
        <v>5</v>
      </c>
      <c r="L145" s="25">
        <v>46</v>
      </c>
      <c r="M145" s="25" t="s">
        <v>410</v>
      </c>
      <c r="N145" s="25"/>
      <c r="O145" s="25"/>
      <c r="P145" s="25"/>
      <c r="Q145" s="25">
        <v>1</v>
      </c>
      <c r="R145" s="25"/>
      <c r="S145" s="25"/>
      <c r="T145" s="25"/>
      <c r="U145" s="25"/>
      <c r="V145" s="25"/>
      <c r="W145" s="25">
        <v>1</v>
      </c>
      <c r="X145" s="25"/>
      <c r="Y145" s="25">
        <v>1</v>
      </c>
      <c r="Z145" s="25"/>
      <c r="AA145" s="25">
        <v>1</v>
      </c>
      <c r="AB145" s="25">
        <v>1</v>
      </c>
      <c r="AC145" s="25"/>
      <c r="AD145" s="25">
        <v>1</v>
      </c>
      <c r="AE145" s="25"/>
      <c r="AF145" s="25"/>
      <c r="AG145" s="25"/>
      <c r="AH145" s="25">
        <v>1</v>
      </c>
      <c r="AI145" s="25"/>
      <c r="AJ145" s="25"/>
      <c r="AK145" s="25"/>
      <c r="AL145" s="25"/>
      <c r="AM145" s="25">
        <v>1</v>
      </c>
      <c r="AN145" s="25"/>
      <c r="AO145" s="25"/>
      <c r="AP145" s="25"/>
      <c r="AQ145" s="25"/>
      <c r="AR145" s="25"/>
      <c r="AS145" s="25"/>
      <c r="AT145" s="25"/>
      <c r="AU145" s="25"/>
      <c r="AV145" s="25"/>
      <c r="AW145" s="25"/>
      <c r="AX145" s="25"/>
      <c r="AY145" s="25"/>
      <c r="AZ145" s="25"/>
      <c r="BA145" s="25"/>
      <c r="BB145" s="25">
        <v>1</v>
      </c>
      <c r="BC145" s="25">
        <v>1</v>
      </c>
      <c r="BD145" s="25">
        <v>1</v>
      </c>
      <c r="BE145" s="25"/>
      <c r="BF145" s="25"/>
      <c r="BG145" s="25"/>
      <c r="BH145" s="25"/>
      <c r="BI145" s="25"/>
      <c r="BJ145" s="25"/>
      <c r="BK145" s="25"/>
      <c r="BL145" s="25">
        <v>1</v>
      </c>
      <c r="BM145" s="25">
        <v>1</v>
      </c>
      <c r="BN145" s="25"/>
      <c r="BO145" s="25"/>
      <c r="BP145" s="25">
        <v>1</v>
      </c>
      <c r="BQ145" s="25"/>
      <c r="BR145" s="25"/>
      <c r="BS145" s="25"/>
      <c r="BT145" s="25"/>
      <c r="BU145" s="25">
        <v>1</v>
      </c>
      <c r="BV145" s="25"/>
      <c r="BW145" s="25"/>
      <c r="BX145" s="25"/>
      <c r="BY145" s="25">
        <v>1</v>
      </c>
      <c r="BZ145" s="25"/>
      <c r="CA145" s="25"/>
      <c r="CB145" s="25"/>
      <c r="CC145" s="25"/>
      <c r="CD145" s="25"/>
      <c r="CE145" s="25"/>
      <c r="CF145" s="25"/>
      <c r="CG145" s="25"/>
      <c r="CH145" s="25"/>
      <c r="CI145" s="25"/>
      <c r="CJ145" s="25"/>
      <c r="CK145" s="25"/>
      <c r="CL145" s="25"/>
      <c r="CM145" s="25"/>
      <c r="CN145" s="25"/>
      <c r="CO145" s="25"/>
      <c r="CP145" s="25"/>
      <c r="CQ145" s="25"/>
      <c r="CR145" s="25">
        <v>1</v>
      </c>
      <c r="CS145" s="25"/>
      <c r="CT145" s="25">
        <v>1</v>
      </c>
      <c r="CU145" s="25"/>
      <c r="CV145" s="25"/>
      <c r="CW145" s="25"/>
      <c r="CX145" s="25"/>
      <c r="CY145" s="25"/>
      <c r="CZ145" s="25"/>
      <c r="DA145" s="25"/>
      <c r="DB145" s="25"/>
      <c r="DC145" s="25">
        <v>1</v>
      </c>
      <c r="DD145" s="25"/>
      <c r="DE145" s="25"/>
      <c r="DF145" s="25">
        <v>1</v>
      </c>
      <c r="DG145" s="25"/>
      <c r="DH145" s="25"/>
      <c r="DI145" s="25"/>
      <c r="DJ145" s="25"/>
      <c r="DK145" s="25"/>
      <c r="DL145" s="25">
        <v>1</v>
      </c>
      <c r="DM145" s="25">
        <v>1</v>
      </c>
      <c r="DN145" s="25">
        <v>1</v>
      </c>
      <c r="DO145" s="25">
        <v>1</v>
      </c>
      <c r="DP145" s="25"/>
      <c r="DQ145" s="25"/>
      <c r="DR145" s="25">
        <v>1</v>
      </c>
      <c r="DS145" s="25"/>
      <c r="DT145" s="25"/>
      <c r="DU145" s="25">
        <v>1</v>
      </c>
      <c r="DV145" s="25"/>
      <c r="DW145" s="25"/>
      <c r="DX145" s="25"/>
      <c r="DY145" s="25"/>
      <c r="DZ145" s="25"/>
      <c r="EA145" s="25"/>
      <c r="EB145" s="25">
        <v>1</v>
      </c>
      <c r="EC145" s="25"/>
      <c r="ED145" s="25"/>
      <c r="EE145" s="25"/>
      <c r="EF145" s="25"/>
      <c r="EG145" s="25"/>
      <c r="EH145" s="25"/>
      <c r="EI145" s="25">
        <v>1</v>
      </c>
      <c r="EJ145" s="25"/>
      <c r="EK145" s="25"/>
      <c r="EL145" s="25"/>
      <c r="EM145" s="25"/>
      <c r="EN145" s="25"/>
      <c r="EO145" s="25"/>
      <c r="EP145" s="25"/>
      <c r="EQ145" s="25"/>
      <c r="ER145" s="25"/>
      <c r="ES145" s="25"/>
      <c r="ET145" s="25"/>
      <c r="EU145" s="25"/>
      <c r="EV145" s="25"/>
      <c r="EW145" s="25"/>
      <c r="EX145" s="25"/>
      <c r="EY145" s="25"/>
      <c r="EZ145" s="25"/>
      <c r="FA145" s="25">
        <v>1</v>
      </c>
      <c r="FB145" s="25"/>
      <c r="FC145" s="25"/>
      <c r="FD145" s="25"/>
      <c r="FE145" s="25">
        <v>1</v>
      </c>
      <c r="FF145" s="25"/>
      <c r="FG145" s="25"/>
      <c r="FH145" s="25">
        <v>1</v>
      </c>
      <c r="FI145" s="25"/>
      <c r="FJ145" s="25"/>
      <c r="FK145" s="25"/>
      <c r="FL145" s="25"/>
      <c r="FM145" s="25"/>
      <c r="FN145" s="25"/>
      <c r="FO145" s="25"/>
      <c r="FP145" s="25"/>
      <c r="FQ145" s="25"/>
      <c r="FR145" s="25">
        <v>1</v>
      </c>
      <c r="FS145" s="25"/>
      <c r="FT145" s="25"/>
      <c r="FU145" s="25"/>
      <c r="FV145" s="25"/>
      <c r="FW145" s="25"/>
      <c r="FX145" s="25"/>
      <c r="FY145" s="25"/>
      <c r="FZ145" s="25"/>
      <c r="GA145" s="25"/>
      <c r="GB145" s="25"/>
      <c r="GC145" s="25"/>
      <c r="GD145" s="25"/>
      <c r="GE145" s="25"/>
      <c r="GF145" s="25">
        <v>1</v>
      </c>
    </row>
    <row r="146" spans="1:188" ht="13" x14ac:dyDescent="0.15">
      <c r="A146" s="13">
        <v>43160</v>
      </c>
      <c r="B146" s="3" t="s">
        <v>233</v>
      </c>
      <c r="C146" s="23">
        <v>21.066799</v>
      </c>
      <c r="D146" s="23">
        <v>-156.804993</v>
      </c>
      <c r="E146" s="3" t="s">
        <v>286</v>
      </c>
      <c r="F146" s="14">
        <v>0.39583333333333331</v>
      </c>
      <c r="G146" s="14">
        <v>0.43888888888888888</v>
      </c>
      <c r="H146" s="3">
        <v>4</v>
      </c>
      <c r="I146" s="3">
        <v>9</v>
      </c>
      <c r="J146" s="3" t="s">
        <v>198</v>
      </c>
      <c r="K146" s="3">
        <v>9</v>
      </c>
      <c r="L146" s="3">
        <v>28</v>
      </c>
      <c r="M146" s="3" t="s">
        <v>412</v>
      </c>
      <c r="X146" s="3"/>
      <c r="Y146" s="3">
        <v>1</v>
      </c>
      <c r="AP146" s="3"/>
      <c r="AZ146" s="3"/>
      <c r="BA146" s="3">
        <v>1</v>
      </c>
      <c r="BH146" s="3"/>
      <c r="BI146" s="3"/>
      <c r="BJ146" s="3"/>
      <c r="BL146" s="3">
        <v>1</v>
      </c>
      <c r="BU146" s="3"/>
      <c r="BY146" s="3">
        <v>1</v>
      </c>
      <c r="CB146" s="3"/>
      <c r="CC146" s="3"/>
      <c r="CD146" s="3"/>
      <c r="CE146" s="3"/>
      <c r="CH146" s="3"/>
      <c r="CN146" s="3">
        <v>1</v>
      </c>
      <c r="DL146" s="3">
        <v>1</v>
      </c>
      <c r="DW146" s="3"/>
      <c r="ED146" s="3"/>
      <c r="EE146" s="3"/>
      <c r="EH146" s="3"/>
      <c r="EI146" s="3">
        <v>1</v>
      </c>
      <c r="EO146" s="3"/>
      <c r="ER146" s="3"/>
      <c r="FA146" s="3">
        <v>1</v>
      </c>
      <c r="FC146" s="3"/>
      <c r="FE146" s="3">
        <v>1</v>
      </c>
      <c r="FF146" s="3"/>
      <c r="FG146" s="3">
        <v>1</v>
      </c>
      <c r="FL146" s="3"/>
      <c r="FR146" s="3">
        <v>1</v>
      </c>
    </row>
    <row r="147" spans="1:188" ht="13" x14ac:dyDescent="0.15">
      <c r="A147" s="13">
        <v>43163</v>
      </c>
      <c r="B147" s="3" t="s">
        <v>293</v>
      </c>
      <c r="C147" s="3">
        <v>19.738602</v>
      </c>
      <c r="D147" s="3">
        <v>-155.03887900000001</v>
      </c>
      <c r="E147" s="3" t="s">
        <v>197</v>
      </c>
      <c r="F147" s="14">
        <v>0.42708333333333331</v>
      </c>
      <c r="G147" s="14">
        <v>0.53125</v>
      </c>
      <c r="H147" s="3">
        <v>3</v>
      </c>
      <c r="I147" s="3">
        <v>21</v>
      </c>
      <c r="J147" s="3" t="s">
        <v>415</v>
      </c>
      <c r="K147" s="3">
        <v>14</v>
      </c>
      <c r="L147" s="3">
        <v>25</v>
      </c>
      <c r="M147" s="3" t="s">
        <v>416</v>
      </c>
      <c r="AP147" s="3">
        <v>1</v>
      </c>
      <c r="BH147" s="3"/>
      <c r="BI147" s="3"/>
      <c r="BJ147" s="3">
        <v>1</v>
      </c>
      <c r="BL147" s="3">
        <v>1</v>
      </c>
      <c r="BU147" s="3">
        <v>1</v>
      </c>
      <c r="CB147" s="3">
        <v>1</v>
      </c>
      <c r="CC147" s="3">
        <v>1</v>
      </c>
      <c r="CD147" s="3">
        <v>1</v>
      </c>
      <c r="CE147" s="3">
        <v>1</v>
      </c>
      <c r="CH147" s="3">
        <v>1</v>
      </c>
      <c r="CN147" s="3">
        <v>1</v>
      </c>
      <c r="DW147" s="3">
        <v>1</v>
      </c>
      <c r="ED147" s="3"/>
      <c r="EE147" s="3">
        <v>1</v>
      </c>
      <c r="EO147" s="3">
        <v>1</v>
      </c>
      <c r="ER147" s="3">
        <v>1</v>
      </c>
      <c r="FF147" s="3">
        <v>1</v>
      </c>
      <c r="FL147" s="3">
        <v>1</v>
      </c>
      <c r="FR147" s="3">
        <v>1</v>
      </c>
    </row>
    <row r="148" spans="1:188" ht="13" x14ac:dyDescent="0.15">
      <c r="A148" s="27">
        <v>43175</v>
      </c>
      <c r="B148" s="28" t="s">
        <v>230</v>
      </c>
      <c r="C148" s="28">
        <v>20.753699999999998</v>
      </c>
      <c r="D148" s="28">
        <v>-156.46090699999999</v>
      </c>
      <c r="E148" s="28" t="s">
        <v>513</v>
      </c>
      <c r="F148" s="29">
        <v>0.41666666666666669</v>
      </c>
      <c r="G148" s="29">
        <v>0.5</v>
      </c>
      <c r="H148" s="28">
        <v>5</v>
      </c>
      <c r="I148" s="28">
        <v>20</v>
      </c>
      <c r="J148" s="28" t="s">
        <v>198</v>
      </c>
      <c r="K148" s="28">
        <v>8</v>
      </c>
      <c r="L148" s="28">
        <v>5</v>
      </c>
      <c r="M148" s="28" t="s">
        <v>514</v>
      </c>
      <c r="N148" s="28"/>
      <c r="O148" s="28"/>
      <c r="P148" s="28"/>
      <c r="Q148" s="28">
        <v>1</v>
      </c>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v>1</v>
      </c>
      <c r="BK148" s="28"/>
      <c r="BL148" s="28"/>
      <c r="BM148" s="28"/>
      <c r="BN148" s="28"/>
      <c r="BO148" s="28"/>
      <c r="BP148" s="28"/>
      <c r="BQ148" s="28"/>
      <c r="BR148" s="28"/>
      <c r="BS148" s="28"/>
      <c r="BT148" s="28"/>
      <c r="BU148" s="28"/>
      <c r="BV148" s="28"/>
      <c r="BW148" s="28"/>
      <c r="BX148" s="28"/>
      <c r="BY148" s="28"/>
      <c r="BZ148" s="28"/>
      <c r="CA148" s="28"/>
      <c r="CB148" s="28">
        <v>1</v>
      </c>
      <c r="CC148" s="28">
        <v>1</v>
      </c>
      <c r="CD148" s="28"/>
      <c r="CE148" s="28"/>
      <c r="CF148" s="28"/>
      <c r="CG148" s="28"/>
      <c r="CH148" s="28"/>
      <c r="CI148" s="28"/>
      <c r="CJ148" s="28"/>
      <c r="CK148" s="28"/>
      <c r="CL148" s="28"/>
      <c r="CM148" s="28"/>
      <c r="CN148" s="28"/>
      <c r="CO148" s="28"/>
      <c r="CP148" s="28"/>
      <c r="CQ148" s="28"/>
      <c r="CR148" s="28"/>
      <c r="CS148" s="28"/>
      <c r="CT148" s="28"/>
      <c r="CU148" s="28"/>
      <c r="CV148" s="28"/>
      <c r="CW148" s="28"/>
      <c r="CX148" s="28"/>
      <c r="CY148" s="28"/>
      <c r="CZ148" s="28"/>
      <c r="DA148" s="28"/>
      <c r="DB148" s="28"/>
      <c r="DC148" s="28"/>
      <c r="DD148" s="28"/>
      <c r="DE148" s="28"/>
      <c r="DF148" s="28"/>
      <c r="DG148" s="28"/>
      <c r="DH148" s="28"/>
      <c r="DI148" s="28"/>
      <c r="DJ148" s="28"/>
      <c r="DK148" s="28"/>
      <c r="DL148" s="28"/>
      <c r="DM148" s="28"/>
      <c r="DN148" s="28"/>
      <c r="DO148" s="28"/>
      <c r="DP148" s="28"/>
      <c r="DQ148" s="28"/>
      <c r="DR148" s="28"/>
      <c r="DS148" s="28"/>
      <c r="DT148" s="28"/>
      <c r="DU148" s="28"/>
      <c r="DV148" s="28"/>
      <c r="DW148" s="28"/>
      <c r="DX148" s="28"/>
      <c r="DY148" s="28"/>
      <c r="DZ148" s="28"/>
      <c r="EA148" s="28"/>
      <c r="EB148" s="28"/>
      <c r="EC148" s="28"/>
      <c r="ED148" s="28"/>
      <c r="EE148" s="28"/>
      <c r="EF148" s="28"/>
      <c r="EG148" s="28"/>
      <c r="EH148" s="28"/>
      <c r="EI148" s="28"/>
      <c r="EJ148" s="28"/>
      <c r="EK148" s="28"/>
      <c r="EL148" s="28"/>
      <c r="EM148" s="28"/>
      <c r="EN148" s="28"/>
      <c r="EO148" s="28"/>
      <c r="EP148" s="28"/>
      <c r="EQ148" s="28"/>
      <c r="ER148" s="28"/>
      <c r="ES148" s="28"/>
      <c r="ET148" s="28"/>
      <c r="EU148" s="28"/>
      <c r="EV148" s="28"/>
      <c r="EW148" s="28">
        <v>1</v>
      </c>
      <c r="EX148" s="28"/>
      <c r="EY148" s="28"/>
      <c r="EZ148" s="28"/>
      <c r="FA148" s="28"/>
      <c r="FB148" s="28"/>
      <c r="FC148" s="28"/>
      <c r="FD148" s="28"/>
      <c r="FE148" s="28"/>
      <c r="FF148" s="28"/>
      <c r="FG148" s="28"/>
      <c r="FH148" s="28"/>
      <c r="FI148" s="28"/>
      <c r="FJ148" s="28"/>
      <c r="FK148" s="28"/>
      <c r="FL148" s="28"/>
      <c r="FM148" s="28"/>
      <c r="FN148" s="28"/>
      <c r="FO148" s="28"/>
      <c r="FP148" s="28"/>
      <c r="FQ148" s="28"/>
      <c r="FR148" s="28">
        <v>1</v>
      </c>
      <c r="FS148" s="28"/>
      <c r="FT148" s="28"/>
      <c r="FU148" s="28"/>
      <c r="FV148" s="28"/>
      <c r="FW148" s="28"/>
      <c r="FX148" s="28"/>
      <c r="FY148" s="28"/>
      <c r="FZ148" s="28"/>
      <c r="GA148" s="28"/>
      <c r="GB148" s="28"/>
      <c r="GC148" s="28"/>
      <c r="GD148" s="28"/>
      <c r="GE148" s="28"/>
      <c r="GF148" s="28"/>
    </row>
    <row r="149" spans="1:188" ht="13" x14ac:dyDescent="0.15">
      <c r="A149" s="13">
        <v>43207</v>
      </c>
      <c r="B149" s="3" t="s">
        <v>244</v>
      </c>
      <c r="C149" s="3">
        <v>21.310611999999999</v>
      </c>
      <c r="D149" s="3">
        <v>-158.00441000000001</v>
      </c>
      <c r="E149" s="3" t="s">
        <v>326</v>
      </c>
      <c r="F149" s="14">
        <v>0.38541666666666669</v>
      </c>
      <c r="G149" s="14">
        <v>0.44444444444444442</v>
      </c>
      <c r="H149" s="3">
        <v>9</v>
      </c>
      <c r="I149" s="3">
        <v>8</v>
      </c>
      <c r="J149" s="3" t="s">
        <v>198</v>
      </c>
      <c r="K149" s="3">
        <v>5</v>
      </c>
      <c r="L149" s="3">
        <v>30</v>
      </c>
      <c r="M149" s="3" t="s">
        <v>417</v>
      </c>
      <c r="N149" s="3" t="s">
        <v>396</v>
      </c>
      <c r="T149" s="3"/>
      <c r="U149" s="3"/>
      <c r="V149" s="3"/>
      <c r="W149" s="3">
        <v>1</v>
      </c>
      <c r="Z149" s="3"/>
      <c r="AA149" s="3">
        <v>1</v>
      </c>
      <c r="AD149" s="3">
        <v>1</v>
      </c>
      <c r="AH149" s="3">
        <v>1</v>
      </c>
      <c r="BB149" s="3">
        <v>1</v>
      </c>
      <c r="BD149" s="3">
        <v>1</v>
      </c>
      <c r="BL149" s="3">
        <v>1</v>
      </c>
      <c r="BU149" s="3">
        <v>1</v>
      </c>
      <c r="BY149" s="3">
        <v>1</v>
      </c>
      <c r="CI149" s="3"/>
      <c r="CJ149" s="3">
        <v>1</v>
      </c>
      <c r="CR149" s="3">
        <v>1</v>
      </c>
      <c r="DL149" s="3">
        <v>1</v>
      </c>
      <c r="DN149" s="3">
        <v>1</v>
      </c>
      <c r="DT149" s="3"/>
      <c r="DU149" s="3">
        <v>1</v>
      </c>
      <c r="DY149" s="3">
        <v>1</v>
      </c>
      <c r="EB149" s="3">
        <v>1</v>
      </c>
      <c r="EF149" s="3"/>
      <c r="EG149" s="3"/>
      <c r="EH149" s="3"/>
      <c r="EI149" s="3">
        <v>1</v>
      </c>
      <c r="FA149" s="3">
        <v>1</v>
      </c>
      <c r="FH149" s="3">
        <v>1</v>
      </c>
      <c r="FR149" s="3">
        <v>1</v>
      </c>
      <c r="FU149" s="3"/>
      <c r="FV149" s="3">
        <v>1</v>
      </c>
    </row>
    <row r="150" spans="1:188" ht="13" x14ac:dyDescent="0.15">
      <c r="A150" s="27">
        <v>43208</v>
      </c>
      <c r="B150" s="28" t="s">
        <v>515</v>
      </c>
      <c r="C150" s="28">
        <v>19.135919999999999</v>
      </c>
      <c r="D150" s="28">
        <v>-155.504684</v>
      </c>
      <c r="E150" s="28" t="s">
        <v>383</v>
      </c>
      <c r="F150" s="29">
        <v>0.41111111111111109</v>
      </c>
      <c r="G150" s="29">
        <v>0.4513888888888889</v>
      </c>
      <c r="H150" s="28">
        <v>5</v>
      </c>
      <c r="I150" s="28">
        <v>20</v>
      </c>
      <c r="J150" s="28" t="s">
        <v>198</v>
      </c>
      <c r="K150" s="28">
        <v>5</v>
      </c>
      <c r="L150" s="28">
        <v>25</v>
      </c>
      <c r="M150" s="28"/>
      <c r="N150" s="28"/>
      <c r="O150" s="28"/>
      <c r="P150" s="28"/>
      <c r="Q150" s="28"/>
      <c r="R150" s="28"/>
      <c r="S150" s="28">
        <v>1</v>
      </c>
      <c r="T150" s="28"/>
      <c r="U150" s="28"/>
      <c r="V150" s="28"/>
      <c r="W150" s="28"/>
      <c r="X150" s="28"/>
      <c r="Y150" s="28"/>
      <c r="Z150" s="28"/>
      <c r="AA150" s="28">
        <v>1</v>
      </c>
      <c r="AB150" s="28"/>
      <c r="AC150" s="28"/>
      <c r="AD150" s="28"/>
      <c r="AE150" s="28">
        <v>1</v>
      </c>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v>1</v>
      </c>
      <c r="BB150" s="28"/>
      <c r="BC150" s="28"/>
      <c r="BD150" s="28"/>
      <c r="BE150" s="28"/>
      <c r="BF150" s="28"/>
      <c r="BG150" s="28"/>
      <c r="BH150" s="28"/>
      <c r="BI150" s="28"/>
      <c r="BJ150" s="28"/>
      <c r="BK150" s="28"/>
      <c r="BL150" s="28">
        <v>1</v>
      </c>
      <c r="BM150" s="28"/>
      <c r="BN150" s="28"/>
      <c r="BO150" s="28"/>
      <c r="BP150" s="28"/>
      <c r="BQ150" s="28"/>
      <c r="BR150" s="28"/>
      <c r="BS150" s="28"/>
      <c r="BT150" s="28"/>
      <c r="BU150" s="28"/>
      <c r="BV150" s="28"/>
      <c r="BW150" s="28"/>
      <c r="BX150" s="28"/>
      <c r="BY150" s="28"/>
      <c r="BZ150" s="28"/>
      <c r="CA150" s="28"/>
      <c r="CB150" s="28">
        <v>1</v>
      </c>
      <c r="CC150" s="28"/>
      <c r="CD150" s="28">
        <v>1</v>
      </c>
      <c r="CE150" s="28"/>
      <c r="CF150" s="28"/>
      <c r="CG150" s="28"/>
      <c r="CH150" s="28"/>
      <c r="CI150" s="28"/>
      <c r="CJ150" s="28"/>
      <c r="CK150" s="28"/>
      <c r="CL150" s="28"/>
      <c r="CM150" s="28"/>
      <c r="CN150" s="28"/>
      <c r="CO150" s="28"/>
      <c r="CP150" s="28"/>
      <c r="CQ150" s="28"/>
      <c r="CR150" s="28"/>
      <c r="CS150" s="28"/>
      <c r="CT150" s="28"/>
      <c r="CU150" s="28"/>
      <c r="CV150" s="28"/>
      <c r="CW150" s="28"/>
      <c r="CX150" s="28"/>
      <c r="CY150" s="28"/>
      <c r="CZ150" s="28"/>
      <c r="DA150" s="28"/>
      <c r="DB150" s="28"/>
      <c r="DC150" s="28"/>
      <c r="DD150" s="28"/>
      <c r="DE150" s="28"/>
      <c r="DF150" s="28"/>
      <c r="DG150" s="28">
        <v>1</v>
      </c>
      <c r="DH150" s="28"/>
      <c r="DI150" s="28"/>
      <c r="DJ150" s="28"/>
      <c r="DK150" s="28"/>
      <c r="DL150" s="28"/>
      <c r="DM150" s="28"/>
      <c r="DN150" s="28"/>
      <c r="DO150" s="28">
        <v>1</v>
      </c>
      <c r="DP150" s="28"/>
      <c r="DQ150" s="28"/>
      <c r="DR150" s="28"/>
      <c r="DS150" s="28"/>
      <c r="DT150" s="28"/>
      <c r="DU150" s="28"/>
      <c r="DV150" s="28"/>
      <c r="DW150" s="28"/>
      <c r="DX150" s="28"/>
      <c r="DY150" s="28"/>
      <c r="DZ150" s="28"/>
      <c r="EA150" s="28"/>
      <c r="EB150" s="28"/>
      <c r="EC150" s="28"/>
      <c r="ED150" s="28"/>
      <c r="EE150" s="28">
        <v>1</v>
      </c>
      <c r="EF150" s="28"/>
      <c r="EG150" s="28"/>
      <c r="EH150" s="28"/>
      <c r="EI150" s="28"/>
      <c r="EJ150" s="28"/>
      <c r="EK150" s="28"/>
      <c r="EL150" s="28"/>
      <c r="EM150" s="28"/>
      <c r="EN150" s="28"/>
      <c r="EO150" s="28"/>
      <c r="EP150" s="28"/>
      <c r="EQ150" s="28"/>
      <c r="ER150" s="28"/>
      <c r="ES150" s="28"/>
      <c r="ET150" s="28"/>
      <c r="EU150" s="28"/>
      <c r="EV150" s="28"/>
      <c r="EW150" s="28">
        <v>1</v>
      </c>
      <c r="EX150" s="28"/>
      <c r="EY150" s="28"/>
      <c r="EZ150" s="28"/>
      <c r="FA150" s="28"/>
      <c r="FB150" s="28"/>
      <c r="FC150" s="28"/>
      <c r="FD150" s="28"/>
      <c r="FE150" s="28"/>
      <c r="FF150" s="28"/>
      <c r="FG150" s="28"/>
      <c r="FH150" s="28"/>
      <c r="FI150" s="28"/>
      <c r="FJ150" s="28"/>
      <c r="FK150" s="28"/>
      <c r="FL150" s="28"/>
      <c r="FM150" s="28"/>
      <c r="FN150" s="28"/>
      <c r="FO150" s="28"/>
      <c r="FP150" s="28"/>
      <c r="FQ150" s="28"/>
      <c r="FR150" s="28">
        <v>1</v>
      </c>
      <c r="FS150" s="28"/>
      <c r="FT150" s="28"/>
      <c r="FU150" s="28"/>
      <c r="FV150" s="28"/>
      <c r="FW150" s="28"/>
      <c r="FX150" s="28"/>
      <c r="FY150" s="28"/>
      <c r="FZ150" s="28"/>
      <c r="GA150" s="28"/>
      <c r="GB150" s="28"/>
      <c r="GC150" s="28"/>
      <c r="GD150" s="28"/>
      <c r="GE150" s="28"/>
      <c r="GF150" s="28"/>
    </row>
    <row r="151" spans="1:188" ht="13" x14ac:dyDescent="0.15">
      <c r="A151" s="19">
        <v>43209</v>
      </c>
      <c r="B151" s="20" t="s">
        <v>250</v>
      </c>
      <c r="C151" s="20"/>
      <c r="D151" s="20"/>
      <c r="E151" s="20"/>
      <c r="F151" s="21"/>
      <c r="G151" s="21"/>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c r="CL151" s="20"/>
      <c r="CM151" s="20"/>
      <c r="CN151" s="20"/>
      <c r="CO151" s="20"/>
      <c r="CP151" s="20"/>
      <c r="CQ151" s="20"/>
      <c r="CR151" s="20"/>
      <c r="CS151" s="20"/>
      <c r="CT151" s="20"/>
      <c r="CU151" s="20"/>
      <c r="CV151" s="20"/>
      <c r="CW151" s="20"/>
      <c r="CX151" s="20"/>
      <c r="CY151" s="20"/>
      <c r="CZ151" s="20"/>
      <c r="DA151" s="20"/>
      <c r="DB151" s="20"/>
      <c r="DC151" s="20"/>
      <c r="DD151" s="20"/>
      <c r="DE151" s="20"/>
      <c r="DF151" s="20"/>
      <c r="DG151" s="20"/>
      <c r="DH151" s="20"/>
      <c r="DI151" s="20"/>
      <c r="DJ151" s="20"/>
      <c r="DK151" s="20"/>
      <c r="DL151" s="20"/>
      <c r="DM151" s="20"/>
      <c r="DN151" s="20"/>
      <c r="DO151" s="20"/>
      <c r="DP151" s="20"/>
      <c r="DQ151" s="20"/>
      <c r="DR151" s="20"/>
      <c r="DS151" s="20"/>
      <c r="DT151" s="20"/>
      <c r="DU151" s="20"/>
      <c r="DV151" s="20"/>
      <c r="DW151" s="20"/>
      <c r="DX151" s="20"/>
      <c r="DY151" s="20"/>
      <c r="DZ151" s="20"/>
      <c r="EA151" s="20"/>
      <c r="EB151" s="20"/>
      <c r="EC151" s="20"/>
      <c r="ED151" s="20"/>
      <c r="EE151" s="20"/>
      <c r="EF151" s="20"/>
      <c r="EG151" s="20"/>
      <c r="EH151" s="20"/>
      <c r="EI151" s="20"/>
      <c r="EJ151" s="20"/>
      <c r="EK151" s="20"/>
      <c r="EL151" s="20"/>
      <c r="EM151" s="20"/>
      <c r="EN151" s="20"/>
      <c r="EO151" s="20"/>
      <c r="EP151" s="20"/>
      <c r="EQ151" s="20"/>
      <c r="ER151" s="20"/>
      <c r="ES151" s="20"/>
      <c r="ET151" s="20"/>
      <c r="EU151" s="20"/>
      <c r="EV151" s="20"/>
      <c r="EW151" s="20"/>
      <c r="EX151" s="20"/>
      <c r="EY151" s="20"/>
      <c r="EZ151" s="20"/>
      <c r="FA151" s="20"/>
      <c r="FB151" s="20"/>
      <c r="FC151" s="20"/>
      <c r="FD151" s="20"/>
      <c r="FE151" s="20"/>
      <c r="FF151" s="20"/>
      <c r="FG151" s="20"/>
      <c r="FH151" s="20"/>
      <c r="FI151" s="20"/>
      <c r="FJ151" s="20"/>
      <c r="FK151" s="20"/>
      <c r="FL151" s="20"/>
      <c r="FM151" s="20"/>
      <c r="FN151" s="20"/>
      <c r="FO151" s="20"/>
      <c r="FP151" s="20"/>
      <c r="FQ151" s="20"/>
      <c r="FR151" s="20"/>
      <c r="FS151" s="20"/>
      <c r="FT151" s="20"/>
      <c r="FU151" s="20"/>
      <c r="FV151" s="20"/>
      <c r="FW151" s="20"/>
      <c r="FX151" s="20"/>
      <c r="FY151" s="20"/>
      <c r="FZ151" s="20"/>
      <c r="GA151" s="20"/>
      <c r="GB151" s="20"/>
      <c r="GC151" s="20"/>
      <c r="GD151" s="20"/>
      <c r="GE151" s="20"/>
      <c r="GF151" s="20"/>
    </row>
    <row r="152" spans="1:188" ht="13" x14ac:dyDescent="0.15">
      <c r="A152" s="27">
        <v>43211</v>
      </c>
      <c r="B152" s="28" t="s">
        <v>293</v>
      </c>
      <c r="C152" s="28">
        <v>19.738602</v>
      </c>
      <c r="D152" s="28">
        <v>-155.03887900000001</v>
      </c>
      <c r="E152" s="28" t="s">
        <v>520</v>
      </c>
      <c r="F152" s="29">
        <v>0.47916666666666669</v>
      </c>
      <c r="G152" s="29">
        <v>4.1666666666666664E-2</v>
      </c>
      <c r="H152" s="28">
        <v>1</v>
      </c>
      <c r="I152" s="28">
        <v>18</v>
      </c>
      <c r="J152" s="28" t="s">
        <v>277</v>
      </c>
      <c r="K152" s="28">
        <v>10</v>
      </c>
      <c r="L152" s="28">
        <v>5</v>
      </c>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v>1</v>
      </c>
      <c r="BM152" s="28"/>
      <c r="BN152" s="28"/>
      <c r="BO152" s="28"/>
      <c r="BP152" s="28"/>
      <c r="BQ152" s="28"/>
      <c r="BR152" s="28"/>
      <c r="BS152" s="28"/>
      <c r="BT152" s="28"/>
      <c r="BU152" s="28"/>
      <c r="BV152" s="28"/>
      <c r="BW152" s="28"/>
      <c r="BX152" s="28"/>
      <c r="BY152" s="28"/>
      <c r="BZ152" s="28"/>
      <c r="CA152" s="28"/>
      <c r="CB152" s="28">
        <v>1</v>
      </c>
      <c r="CC152" s="28"/>
      <c r="CD152" s="28"/>
      <c r="CE152" s="28"/>
      <c r="CF152" s="28"/>
      <c r="CG152" s="28"/>
      <c r="CH152" s="28"/>
      <c r="CI152" s="28"/>
      <c r="CJ152" s="28"/>
      <c r="CK152" s="28"/>
      <c r="CL152" s="28"/>
      <c r="CM152" s="28"/>
      <c r="CN152" s="28">
        <v>1</v>
      </c>
      <c r="CO152" s="28"/>
      <c r="CP152" s="28"/>
      <c r="CQ152" s="28"/>
      <c r="CR152" s="28"/>
      <c r="CS152" s="28"/>
      <c r="CT152" s="28"/>
      <c r="CU152" s="28"/>
      <c r="CV152" s="28"/>
      <c r="CW152" s="28"/>
      <c r="CX152" s="28"/>
      <c r="CY152" s="28"/>
      <c r="CZ152" s="28"/>
      <c r="DA152" s="28"/>
      <c r="DB152" s="28"/>
      <c r="DC152" s="28"/>
      <c r="DD152" s="28"/>
      <c r="DE152" s="28"/>
      <c r="DF152" s="28"/>
      <c r="DG152" s="28"/>
      <c r="DH152" s="28"/>
      <c r="DI152" s="28"/>
      <c r="DJ152" s="28"/>
      <c r="DK152" s="28"/>
      <c r="DL152" s="28"/>
      <c r="DM152" s="28"/>
      <c r="DN152" s="28"/>
      <c r="DO152" s="28"/>
      <c r="DP152" s="28"/>
      <c r="DQ152" s="28"/>
      <c r="DR152" s="28"/>
      <c r="DS152" s="28"/>
      <c r="DT152" s="28"/>
      <c r="DU152" s="28"/>
      <c r="DV152" s="28"/>
      <c r="DW152" s="28"/>
      <c r="DX152" s="28"/>
      <c r="DY152" s="28"/>
      <c r="DZ152" s="28"/>
      <c r="EA152" s="28"/>
      <c r="EB152" s="28"/>
      <c r="EC152" s="28"/>
      <c r="ED152" s="28"/>
      <c r="EE152" s="28"/>
      <c r="EF152" s="28"/>
      <c r="EG152" s="28"/>
      <c r="EH152" s="28"/>
      <c r="EI152" s="28"/>
      <c r="EJ152" s="28"/>
      <c r="EK152" s="28"/>
      <c r="EL152" s="28"/>
      <c r="EM152" s="28"/>
      <c r="EN152" s="28"/>
      <c r="EO152" s="28"/>
      <c r="EP152" s="28"/>
      <c r="EQ152" s="28"/>
      <c r="ER152" s="28"/>
      <c r="ES152" s="28"/>
      <c r="ET152" s="28"/>
      <c r="EU152" s="28"/>
      <c r="EV152" s="28"/>
      <c r="EW152" s="28"/>
      <c r="EX152" s="28"/>
      <c r="EY152" s="28"/>
      <c r="EZ152" s="28"/>
      <c r="FA152" s="28"/>
      <c r="FB152" s="28"/>
      <c r="FC152" s="28"/>
      <c r="FD152" s="28"/>
      <c r="FE152" s="28"/>
      <c r="FF152" s="28"/>
      <c r="FG152" s="28"/>
      <c r="FH152" s="28"/>
      <c r="FI152" s="28"/>
      <c r="FJ152" s="28"/>
      <c r="FK152" s="28"/>
      <c r="FL152" s="28"/>
      <c r="FM152" s="28"/>
      <c r="FN152" s="28"/>
      <c r="FO152" s="28"/>
      <c r="FP152" s="28"/>
      <c r="FQ152" s="28"/>
      <c r="FR152" s="28">
        <v>1</v>
      </c>
      <c r="FS152" s="28"/>
      <c r="FT152" s="28"/>
      <c r="FU152" s="28"/>
      <c r="FV152" s="28"/>
      <c r="FW152" s="28"/>
      <c r="FX152" s="28"/>
      <c r="FY152" s="28"/>
      <c r="FZ152" s="28"/>
      <c r="GA152" s="28"/>
      <c r="GB152" s="28"/>
      <c r="GC152" s="28"/>
      <c r="GD152" s="28"/>
      <c r="GE152" s="28"/>
      <c r="GF152" s="28">
        <v>1</v>
      </c>
    </row>
    <row r="153" spans="1:188" ht="13" x14ac:dyDescent="0.15">
      <c r="A153" s="13">
        <v>43212</v>
      </c>
      <c r="B153" s="3" t="s">
        <v>293</v>
      </c>
      <c r="C153" s="3">
        <v>19.738602</v>
      </c>
      <c r="D153" s="3">
        <v>-155.03887900000001</v>
      </c>
      <c r="E153" s="3" t="s">
        <v>418</v>
      </c>
      <c r="F153" s="14">
        <v>0.5541666666666667</v>
      </c>
      <c r="G153" s="14">
        <v>0.64583333333333337</v>
      </c>
      <c r="H153" s="3">
        <v>3</v>
      </c>
      <c r="I153" s="3">
        <v>18</v>
      </c>
      <c r="J153" s="3" t="s">
        <v>415</v>
      </c>
      <c r="K153" s="3">
        <v>10</v>
      </c>
      <c r="L153" s="3">
        <v>23</v>
      </c>
      <c r="M153" s="3" t="s">
        <v>419</v>
      </c>
      <c r="BH153" s="3"/>
      <c r="BI153" s="3"/>
      <c r="BJ153" s="3">
        <v>1</v>
      </c>
      <c r="BL153" s="3">
        <v>1</v>
      </c>
      <c r="CB153" s="3">
        <v>1</v>
      </c>
      <c r="CC153" s="3">
        <v>1</v>
      </c>
      <c r="CU153" s="3">
        <v>1</v>
      </c>
      <c r="FL153" s="3">
        <v>1</v>
      </c>
      <c r="FM153" s="3"/>
      <c r="FN153" s="3"/>
      <c r="FO153" s="3">
        <v>1</v>
      </c>
      <c r="FR153" s="3">
        <v>1</v>
      </c>
    </row>
    <row r="154" spans="1:188" ht="13" x14ac:dyDescent="0.15">
      <c r="A154" s="27">
        <v>43213</v>
      </c>
      <c r="B154" s="28" t="s">
        <v>219</v>
      </c>
      <c r="C154" s="28">
        <v>21.295798999999999</v>
      </c>
      <c r="D154" s="28">
        <v>-158.10369900000001</v>
      </c>
      <c r="E154" s="28" t="s">
        <v>274</v>
      </c>
      <c r="F154" s="29">
        <v>0.33333333333333331</v>
      </c>
      <c r="G154" s="29">
        <v>0.45833333333333331</v>
      </c>
      <c r="H154" s="28">
        <v>4</v>
      </c>
      <c r="I154" s="28">
        <v>10</v>
      </c>
      <c r="J154" s="28" t="s">
        <v>198</v>
      </c>
      <c r="K154" s="28">
        <v>10</v>
      </c>
      <c r="L154" s="28">
        <v>1</v>
      </c>
      <c r="M154" s="28" t="s">
        <v>522</v>
      </c>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c r="CH154" s="28"/>
      <c r="CI154" s="28"/>
      <c r="CJ154" s="28"/>
      <c r="CK154" s="28"/>
      <c r="CL154" s="28"/>
      <c r="CM154" s="28"/>
      <c r="CN154" s="28"/>
      <c r="CO154" s="28"/>
      <c r="CP154" s="28"/>
      <c r="CQ154" s="28"/>
      <c r="CR154" s="28"/>
      <c r="CS154" s="28"/>
      <c r="CT154" s="28"/>
      <c r="CU154" s="28"/>
      <c r="CV154" s="28"/>
      <c r="CW154" s="28"/>
      <c r="CX154" s="28"/>
      <c r="CY154" s="28"/>
      <c r="CZ154" s="28"/>
      <c r="DA154" s="28"/>
      <c r="DB154" s="28"/>
      <c r="DC154" s="28"/>
      <c r="DD154" s="28"/>
      <c r="DE154" s="28"/>
      <c r="DF154" s="28"/>
      <c r="DG154" s="28"/>
      <c r="DH154" s="28"/>
      <c r="DI154" s="28"/>
      <c r="DJ154" s="28"/>
      <c r="DK154" s="28"/>
      <c r="DL154" s="28"/>
      <c r="DM154" s="28"/>
      <c r="DN154" s="28"/>
      <c r="DO154" s="28"/>
      <c r="DP154" s="28"/>
      <c r="DQ154" s="28"/>
      <c r="DR154" s="28"/>
      <c r="DS154" s="28"/>
      <c r="DT154" s="28"/>
      <c r="DU154" s="28"/>
      <c r="DV154" s="28"/>
      <c r="DW154" s="28"/>
      <c r="DX154" s="28"/>
      <c r="DY154" s="28"/>
      <c r="DZ154" s="28"/>
      <c r="EA154" s="28"/>
      <c r="EB154" s="28"/>
      <c r="EC154" s="28"/>
      <c r="ED154" s="28"/>
      <c r="EE154" s="28"/>
      <c r="EF154" s="28"/>
      <c r="EG154" s="28"/>
      <c r="EH154" s="28"/>
      <c r="EI154" s="28"/>
      <c r="EJ154" s="28"/>
      <c r="EK154" s="28"/>
      <c r="EL154" s="28"/>
      <c r="EM154" s="28"/>
      <c r="EN154" s="28"/>
      <c r="EO154" s="28"/>
      <c r="EP154" s="28"/>
      <c r="EQ154" s="28"/>
      <c r="ER154" s="28"/>
      <c r="ES154" s="28"/>
      <c r="ET154" s="28"/>
      <c r="EU154" s="28"/>
      <c r="EV154" s="28"/>
      <c r="EW154" s="28"/>
      <c r="EX154" s="28"/>
      <c r="EY154" s="28"/>
      <c r="EZ154" s="28"/>
      <c r="FA154" s="28"/>
      <c r="FB154" s="28"/>
      <c r="FC154" s="28"/>
      <c r="FD154" s="28"/>
      <c r="FE154" s="28"/>
      <c r="FF154" s="28"/>
      <c r="FG154" s="28"/>
      <c r="FH154" s="28"/>
      <c r="FI154" s="28"/>
      <c r="FJ154" s="28"/>
      <c r="FK154" s="28"/>
      <c r="FL154" s="28"/>
      <c r="FM154" s="28"/>
      <c r="FN154" s="28"/>
      <c r="FO154" s="28"/>
      <c r="FP154" s="28"/>
      <c r="FQ154" s="28"/>
      <c r="FR154" s="28">
        <v>1</v>
      </c>
      <c r="FS154" s="28"/>
      <c r="FT154" s="28"/>
      <c r="FU154" s="28"/>
      <c r="FV154" s="28"/>
      <c r="FW154" s="28"/>
      <c r="FX154" s="28"/>
      <c r="FY154" s="28"/>
      <c r="FZ154" s="28"/>
      <c r="GA154" s="28"/>
      <c r="GB154" s="28"/>
      <c r="GC154" s="28"/>
      <c r="GD154" s="28"/>
      <c r="GE154" s="28"/>
      <c r="GF154" s="28"/>
    </row>
    <row r="155" spans="1:188" ht="13" x14ac:dyDescent="0.15">
      <c r="A155" s="13">
        <v>43214</v>
      </c>
      <c r="B155" s="3" t="s">
        <v>244</v>
      </c>
      <c r="C155" s="3">
        <v>21.310611999999999</v>
      </c>
      <c r="D155" s="3">
        <v>-158.00441000000001</v>
      </c>
      <c r="E155" s="3" t="s">
        <v>326</v>
      </c>
      <c r="F155" s="14">
        <v>0.375</v>
      </c>
      <c r="G155" s="14">
        <v>0.44444444444444442</v>
      </c>
      <c r="H155" s="3">
        <v>6</v>
      </c>
      <c r="I155" s="3">
        <v>8</v>
      </c>
      <c r="J155" s="3" t="s">
        <v>217</v>
      </c>
      <c r="K155" s="3">
        <v>4</v>
      </c>
      <c r="L155" s="3">
        <v>20</v>
      </c>
      <c r="M155" s="3" t="s">
        <v>421</v>
      </c>
      <c r="Q155" s="3">
        <v>1</v>
      </c>
      <c r="Z155" s="3"/>
      <c r="AA155" s="3">
        <v>1</v>
      </c>
      <c r="AB155" s="3">
        <v>1</v>
      </c>
      <c r="AD155" s="3">
        <v>1</v>
      </c>
      <c r="AH155" s="3">
        <v>1</v>
      </c>
      <c r="BD155" s="3">
        <v>1</v>
      </c>
      <c r="BU155" s="3">
        <v>1</v>
      </c>
      <c r="BY155" s="3">
        <v>1</v>
      </c>
      <c r="CN155" s="3">
        <v>1</v>
      </c>
      <c r="CR155" s="3">
        <v>1</v>
      </c>
      <c r="DE155" s="3"/>
      <c r="DF155" s="3">
        <v>1</v>
      </c>
      <c r="DL155" s="3">
        <v>1</v>
      </c>
      <c r="DN155" s="3">
        <v>1</v>
      </c>
      <c r="DT155" s="3"/>
      <c r="DU155" s="3">
        <v>1</v>
      </c>
      <c r="EB155" s="3">
        <v>1</v>
      </c>
      <c r="EF155" s="3"/>
      <c r="EG155" s="3">
        <v>1</v>
      </c>
      <c r="EH155" s="3"/>
      <c r="EI155" s="3">
        <v>1</v>
      </c>
      <c r="ES155" s="3"/>
      <c r="ET155" s="3"/>
      <c r="EU155" s="3">
        <v>1</v>
      </c>
      <c r="EV155" s="3">
        <v>1</v>
      </c>
      <c r="FA155" s="3">
        <v>1</v>
      </c>
      <c r="FC155" s="3"/>
      <c r="FE155" s="3">
        <v>1</v>
      </c>
      <c r="FQ155" s="3">
        <v>1</v>
      </c>
      <c r="FR155" s="3">
        <v>1</v>
      </c>
      <c r="GF155" s="3">
        <v>1</v>
      </c>
    </row>
    <row r="156" spans="1:188" ht="13" x14ac:dyDescent="0.15">
      <c r="A156" s="24">
        <v>43214</v>
      </c>
      <c r="B156" s="25" t="s">
        <v>201</v>
      </c>
      <c r="C156" s="25">
        <v>21.25544</v>
      </c>
      <c r="D156" s="25">
        <v>-157.810303</v>
      </c>
      <c r="E156" s="25" t="s">
        <v>422</v>
      </c>
      <c r="F156" s="26">
        <v>0.38541666666666669</v>
      </c>
      <c r="G156" s="26">
        <v>0.40972222222222221</v>
      </c>
      <c r="H156" s="25">
        <v>7</v>
      </c>
      <c r="I156" s="25">
        <v>12</v>
      </c>
      <c r="J156" s="25" t="s">
        <v>198</v>
      </c>
      <c r="K156" s="25">
        <v>5</v>
      </c>
      <c r="L156" s="25">
        <v>25</v>
      </c>
      <c r="M156" s="25" t="s">
        <v>523</v>
      </c>
      <c r="N156" s="25"/>
      <c r="O156" s="25">
        <v>1</v>
      </c>
      <c r="P156" s="25"/>
      <c r="Q156" s="25"/>
      <c r="R156" s="25"/>
      <c r="S156" s="25"/>
      <c r="T156" s="25"/>
      <c r="U156" s="25"/>
      <c r="V156" s="25"/>
      <c r="W156" s="25"/>
      <c r="X156" s="25"/>
      <c r="Y156" s="25"/>
      <c r="Z156" s="25"/>
      <c r="AA156" s="25"/>
      <c r="AB156" s="25"/>
      <c r="AC156" s="25"/>
      <c r="AD156" s="25">
        <v>1</v>
      </c>
      <c r="AE156" s="25"/>
      <c r="AF156" s="25"/>
      <c r="AG156" s="25"/>
      <c r="AH156" s="25">
        <v>1</v>
      </c>
      <c r="AI156" s="25"/>
      <c r="AJ156" s="25"/>
      <c r="AK156" s="25"/>
      <c r="AL156" s="25"/>
      <c r="AM156" s="25"/>
      <c r="AN156" s="25"/>
      <c r="AO156" s="25"/>
      <c r="AP156" s="25"/>
      <c r="AQ156" s="25"/>
      <c r="AR156" s="25"/>
      <c r="AS156" s="25"/>
      <c r="AT156" s="25"/>
      <c r="AU156" s="25">
        <v>1</v>
      </c>
      <c r="AV156" s="25"/>
      <c r="AW156" s="25"/>
      <c r="AX156" s="25"/>
      <c r="AY156" s="25"/>
      <c r="AZ156" s="25"/>
      <c r="BA156" s="25">
        <v>1</v>
      </c>
      <c r="BB156" s="25"/>
      <c r="BC156" s="25"/>
      <c r="BD156" s="25">
        <v>1</v>
      </c>
      <c r="BE156" s="25">
        <v>1</v>
      </c>
      <c r="BF156" s="25"/>
      <c r="BG156" s="25"/>
      <c r="BH156" s="25"/>
      <c r="BI156" s="25"/>
      <c r="BJ156" s="25"/>
      <c r="BK156" s="25"/>
      <c r="BL156" s="25">
        <v>1</v>
      </c>
      <c r="BM156" s="25"/>
      <c r="BN156" s="25"/>
      <c r="BO156" s="25"/>
      <c r="BP156" s="25">
        <v>1</v>
      </c>
      <c r="BQ156" s="25"/>
      <c r="BR156" s="25"/>
      <c r="BS156" s="25"/>
      <c r="BT156" s="25"/>
      <c r="BU156" s="25">
        <v>1</v>
      </c>
      <c r="BV156" s="25"/>
      <c r="BW156" s="25"/>
      <c r="BX156" s="25"/>
      <c r="BY156" s="25">
        <v>1</v>
      </c>
      <c r="BZ156" s="25"/>
      <c r="CA156" s="25"/>
      <c r="CB156" s="25"/>
      <c r="CC156" s="25"/>
      <c r="CD156" s="25">
        <v>1</v>
      </c>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v>1</v>
      </c>
      <c r="DM156" s="25"/>
      <c r="DN156" s="25"/>
      <c r="DO156" s="25"/>
      <c r="DP156" s="25"/>
      <c r="DQ156" s="25"/>
      <c r="DR156" s="25">
        <v>1</v>
      </c>
      <c r="DS156" s="25"/>
      <c r="DT156" s="25"/>
      <c r="DU156" s="25"/>
      <c r="DV156" s="25"/>
      <c r="DW156" s="25"/>
      <c r="DX156" s="25"/>
      <c r="DY156" s="25"/>
      <c r="DZ156" s="25"/>
      <c r="EA156" s="25"/>
      <c r="EB156" s="25"/>
      <c r="EC156" s="25"/>
      <c r="ED156" s="25"/>
      <c r="EE156" s="25"/>
      <c r="EF156" s="25"/>
      <c r="EG156" s="25"/>
      <c r="EH156" s="25"/>
      <c r="EI156" s="25">
        <v>1</v>
      </c>
      <c r="EJ156" s="25"/>
      <c r="EK156" s="25"/>
      <c r="EL156" s="25"/>
      <c r="EM156" s="25"/>
      <c r="EN156" s="25"/>
      <c r="EO156" s="25"/>
      <c r="EP156" s="25"/>
      <c r="EQ156" s="25"/>
      <c r="ER156" s="25"/>
      <c r="ES156" s="25"/>
      <c r="ET156" s="25"/>
      <c r="EU156" s="25"/>
      <c r="EV156" s="25"/>
      <c r="EW156" s="25"/>
      <c r="EX156" s="25"/>
      <c r="EY156" s="25"/>
      <c r="EZ156" s="25"/>
      <c r="FA156" s="25">
        <v>1</v>
      </c>
      <c r="FB156" s="25"/>
      <c r="FC156" s="25"/>
      <c r="FD156" s="25"/>
      <c r="FE156" s="25">
        <v>1</v>
      </c>
      <c r="FF156" s="25"/>
      <c r="FG156" s="25"/>
      <c r="FH156" s="25"/>
      <c r="FI156" s="25"/>
      <c r="FJ156" s="25"/>
      <c r="FK156" s="25"/>
      <c r="FL156" s="25"/>
      <c r="FM156" s="25"/>
      <c r="FN156" s="25"/>
      <c r="FO156" s="25"/>
      <c r="FP156" s="25"/>
      <c r="FQ156" s="25">
        <v>1</v>
      </c>
      <c r="FR156" s="25">
        <v>1</v>
      </c>
      <c r="FS156" s="25"/>
      <c r="FT156" s="25"/>
      <c r="FU156" s="25"/>
      <c r="FV156" s="25">
        <v>1</v>
      </c>
      <c r="FW156" s="25"/>
      <c r="FX156" s="25"/>
      <c r="FY156" s="25"/>
      <c r="FZ156" s="25"/>
      <c r="GA156" s="25"/>
      <c r="GB156" s="25">
        <v>1</v>
      </c>
      <c r="GC156" s="25"/>
      <c r="GD156" s="25"/>
      <c r="GE156" s="25"/>
      <c r="GF156" s="25">
        <v>1</v>
      </c>
    </row>
    <row r="157" spans="1:188" ht="13" x14ac:dyDescent="0.15">
      <c r="A157" s="13">
        <v>43215</v>
      </c>
      <c r="B157" s="3" t="s">
        <v>340</v>
      </c>
      <c r="C157" s="3">
        <v>19.643276</v>
      </c>
      <c r="D157" s="3">
        <v>-156.01019299999999</v>
      </c>
      <c r="E157" s="3" t="s">
        <v>381</v>
      </c>
      <c r="F157" s="14">
        <v>0.31597222222222221</v>
      </c>
      <c r="G157" s="14">
        <v>0.34375</v>
      </c>
      <c r="H157" s="3">
        <v>5</v>
      </c>
      <c r="I157" s="3">
        <v>21</v>
      </c>
      <c r="J157" s="3" t="s">
        <v>198</v>
      </c>
      <c r="K157" s="3">
        <v>11</v>
      </c>
      <c r="L157" s="3">
        <v>50</v>
      </c>
      <c r="M157" s="3" t="s">
        <v>425</v>
      </c>
      <c r="R157" s="3">
        <v>1</v>
      </c>
      <c r="AI157" s="3"/>
      <c r="AJ157" s="3"/>
      <c r="AK157" s="3"/>
      <c r="AL157" s="3">
        <v>1</v>
      </c>
      <c r="BL157" s="3">
        <v>1</v>
      </c>
      <c r="CB157" s="3">
        <v>1</v>
      </c>
      <c r="CC157" s="3">
        <v>1</v>
      </c>
      <c r="EA157" s="3">
        <v>1</v>
      </c>
      <c r="FC157" s="3"/>
      <c r="FE157" s="3">
        <v>1</v>
      </c>
      <c r="FL157" s="3">
        <v>1</v>
      </c>
      <c r="FQ157" s="3">
        <v>1</v>
      </c>
      <c r="FR157" s="3">
        <v>1</v>
      </c>
      <c r="FS157" s="3">
        <v>1</v>
      </c>
    </row>
    <row r="158" spans="1:188" ht="13" x14ac:dyDescent="0.15">
      <c r="A158" s="13">
        <v>43216</v>
      </c>
      <c r="B158" s="3" t="s">
        <v>329</v>
      </c>
      <c r="C158" s="3">
        <v>21.140799999999999</v>
      </c>
      <c r="D158" s="3">
        <v>-157.29011499999999</v>
      </c>
      <c r="E158" s="3" t="s">
        <v>330</v>
      </c>
      <c r="F158" s="14">
        <v>0.39583333333333331</v>
      </c>
      <c r="G158" s="14">
        <v>0.4236111111111111</v>
      </c>
      <c r="H158" s="3">
        <v>5</v>
      </c>
      <c r="I158" s="3">
        <v>9.5</v>
      </c>
      <c r="J158" s="3" t="s">
        <v>318</v>
      </c>
      <c r="K158" s="3">
        <v>5</v>
      </c>
      <c r="L158" s="3">
        <v>23</v>
      </c>
      <c r="M158" s="3" t="s">
        <v>426</v>
      </c>
      <c r="R158" s="3">
        <v>1</v>
      </c>
      <c r="BD158" s="3">
        <v>1</v>
      </c>
      <c r="BY158" s="3">
        <v>1</v>
      </c>
      <c r="CR158" s="3">
        <v>1</v>
      </c>
      <c r="DL158" s="3">
        <v>1</v>
      </c>
      <c r="DN158" s="3">
        <v>1</v>
      </c>
      <c r="EH158" s="3"/>
      <c r="EI158" s="3">
        <v>1</v>
      </c>
      <c r="FD158" s="3">
        <v>1</v>
      </c>
      <c r="FP158" s="3">
        <v>1</v>
      </c>
      <c r="FR158" s="3">
        <v>1</v>
      </c>
    </row>
    <row r="159" spans="1:188" ht="13" x14ac:dyDescent="0.15">
      <c r="A159" s="27">
        <v>43217</v>
      </c>
      <c r="B159" s="28" t="s">
        <v>377</v>
      </c>
      <c r="C159" s="28">
        <v>20.704999999999998</v>
      </c>
      <c r="D159" s="28">
        <v>-156.446945</v>
      </c>
      <c r="E159" s="28" t="s">
        <v>378</v>
      </c>
      <c r="F159" s="29">
        <v>0.4284722222222222</v>
      </c>
      <c r="G159" s="29">
        <v>0.47361111111111109</v>
      </c>
      <c r="H159" s="28">
        <v>7</v>
      </c>
      <c r="I159" s="28">
        <v>16</v>
      </c>
      <c r="J159" s="28" t="s">
        <v>198</v>
      </c>
      <c r="K159" s="28">
        <v>7</v>
      </c>
      <c r="L159" s="28">
        <v>17</v>
      </c>
      <c r="M159" s="28" t="s">
        <v>524</v>
      </c>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v>1</v>
      </c>
      <c r="AZ159" s="28"/>
      <c r="BA159" s="28"/>
      <c r="BB159" s="28"/>
      <c r="BC159" s="28"/>
      <c r="BD159" s="28"/>
      <c r="BE159" s="28"/>
      <c r="BF159" s="28"/>
      <c r="BG159" s="28"/>
      <c r="BH159" s="28"/>
      <c r="BI159" s="28"/>
      <c r="BJ159" s="28"/>
      <c r="BK159" s="28"/>
      <c r="BL159" s="28"/>
      <c r="BM159" s="28"/>
      <c r="BN159" s="28"/>
      <c r="BO159" s="28"/>
      <c r="BP159" s="28"/>
      <c r="BQ159" s="28"/>
      <c r="BR159" s="28"/>
      <c r="BS159" s="28"/>
      <c r="BT159" s="28"/>
      <c r="BU159" s="28"/>
      <c r="BV159" s="28"/>
      <c r="BW159" s="28"/>
      <c r="BX159" s="28"/>
      <c r="BY159" s="28"/>
      <c r="BZ159" s="28"/>
      <c r="CA159" s="28"/>
      <c r="CB159" s="28"/>
      <c r="CC159" s="28"/>
      <c r="CD159" s="28">
        <v>1</v>
      </c>
      <c r="CE159" s="28"/>
      <c r="CF159" s="28"/>
      <c r="CG159" s="28"/>
      <c r="CH159" s="28"/>
      <c r="CI159" s="28">
        <v>1</v>
      </c>
      <c r="CJ159" s="28"/>
      <c r="CK159" s="28"/>
      <c r="CL159" s="28"/>
      <c r="CM159" s="28"/>
      <c r="CN159" s="28"/>
      <c r="CO159" s="28"/>
      <c r="CP159" s="28"/>
      <c r="CQ159" s="28"/>
      <c r="CR159" s="28"/>
      <c r="CS159" s="28"/>
      <c r="CT159" s="28"/>
      <c r="CU159" s="28"/>
      <c r="CV159" s="28"/>
      <c r="CW159" s="28"/>
      <c r="CX159" s="28"/>
      <c r="CY159" s="28"/>
      <c r="CZ159" s="28"/>
      <c r="DA159" s="28"/>
      <c r="DB159" s="28"/>
      <c r="DC159" s="28"/>
      <c r="DD159" s="28"/>
      <c r="DE159" s="28"/>
      <c r="DF159" s="28"/>
      <c r="DG159" s="28"/>
      <c r="DH159" s="28"/>
      <c r="DI159" s="28"/>
      <c r="DJ159" s="28"/>
      <c r="DK159" s="28"/>
      <c r="DL159" s="28"/>
      <c r="DM159" s="28"/>
      <c r="DN159" s="28"/>
      <c r="DO159" s="28"/>
      <c r="DP159" s="28"/>
      <c r="DQ159" s="28"/>
      <c r="DR159" s="28"/>
      <c r="DS159" s="28"/>
      <c r="DT159" s="28"/>
      <c r="DU159" s="28"/>
      <c r="DV159" s="28"/>
      <c r="DW159" s="28"/>
      <c r="DX159" s="28"/>
      <c r="DY159" s="28"/>
      <c r="DZ159" s="28"/>
      <c r="EA159" s="28"/>
      <c r="EB159" s="28"/>
      <c r="EC159" s="28"/>
      <c r="ED159" s="28"/>
      <c r="EE159" s="28"/>
      <c r="EF159" s="28"/>
      <c r="EG159" s="28"/>
      <c r="EH159" s="28"/>
      <c r="EI159" s="28"/>
      <c r="EJ159" s="28"/>
      <c r="EK159" s="28"/>
      <c r="EL159" s="28"/>
      <c r="EM159" s="28"/>
      <c r="EN159" s="28"/>
      <c r="EO159" s="28"/>
      <c r="EP159" s="28"/>
      <c r="EQ159" s="28"/>
      <c r="ER159" s="28"/>
      <c r="ES159" s="28"/>
      <c r="ET159" s="28"/>
      <c r="EU159" s="28">
        <v>1</v>
      </c>
      <c r="EV159" s="28">
        <v>1</v>
      </c>
      <c r="EW159" s="28">
        <v>1</v>
      </c>
      <c r="EX159" s="28"/>
      <c r="EY159" s="28"/>
      <c r="EZ159" s="28"/>
      <c r="FA159" s="28"/>
      <c r="FB159" s="28"/>
      <c r="FC159" s="28"/>
      <c r="FD159" s="28"/>
      <c r="FE159" s="28"/>
      <c r="FF159" s="28"/>
      <c r="FG159" s="28"/>
      <c r="FH159" s="28"/>
      <c r="FI159" s="28"/>
      <c r="FJ159" s="28"/>
      <c r="FK159" s="28"/>
      <c r="FL159" s="28"/>
      <c r="FM159" s="28"/>
      <c r="FN159" s="28"/>
      <c r="FO159" s="28"/>
      <c r="FP159" s="28"/>
      <c r="FQ159" s="28"/>
      <c r="FR159" s="28">
        <v>1</v>
      </c>
      <c r="FS159" s="28"/>
      <c r="FT159" s="28"/>
      <c r="FU159" s="28"/>
      <c r="FV159" s="28"/>
      <c r="FW159" s="28"/>
      <c r="FX159" s="28"/>
      <c r="FY159" s="28"/>
      <c r="FZ159" s="28"/>
      <c r="GA159" s="28"/>
      <c r="GB159" s="28"/>
      <c r="GC159" s="28"/>
      <c r="GD159" s="28"/>
      <c r="GE159" s="28"/>
      <c r="GF159" s="28"/>
    </row>
    <row r="160" spans="1:188" ht="13" x14ac:dyDescent="0.15">
      <c r="A160" s="27">
        <v>43219</v>
      </c>
      <c r="B160" s="28" t="s">
        <v>374</v>
      </c>
      <c r="C160" s="28">
        <v>20.738001000000001</v>
      </c>
      <c r="D160" s="28">
        <v>-156.895004</v>
      </c>
      <c r="E160" s="28" t="s">
        <v>375</v>
      </c>
      <c r="F160" s="29">
        <v>0.35625000000000001</v>
      </c>
      <c r="G160" s="29">
        <v>0.44791666666666669</v>
      </c>
      <c r="H160" s="28">
        <v>5</v>
      </c>
      <c r="I160" s="28">
        <v>20</v>
      </c>
      <c r="J160" s="28" t="s">
        <v>460</v>
      </c>
      <c r="K160" s="28">
        <v>5</v>
      </c>
      <c r="L160" s="28">
        <v>19</v>
      </c>
      <c r="M160" s="28" t="s">
        <v>525</v>
      </c>
      <c r="N160" s="28"/>
      <c r="O160" s="28"/>
      <c r="P160" s="28"/>
      <c r="Q160" s="28"/>
      <c r="R160" s="28"/>
      <c r="S160" s="28"/>
      <c r="T160" s="28"/>
      <c r="U160" s="28"/>
      <c r="V160" s="28"/>
      <c r="W160" s="28"/>
      <c r="X160" s="28"/>
      <c r="Y160" s="28"/>
      <c r="Z160" s="28"/>
      <c r="AA160" s="28"/>
      <c r="AB160" s="28"/>
      <c r="AC160" s="28"/>
      <c r="AD160" s="28">
        <v>1</v>
      </c>
      <c r="AE160" s="28"/>
      <c r="AF160" s="28"/>
      <c r="AG160" s="28"/>
      <c r="AH160" s="28"/>
      <c r="AI160" s="28"/>
      <c r="AJ160" s="28"/>
      <c r="AK160" s="28"/>
      <c r="AL160" s="28"/>
      <c r="AM160" s="28">
        <v>1</v>
      </c>
      <c r="AN160" s="28"/>
      <c r="AO160" s="28"/>
      <c r="AP160" s="28"/>
      <c r="AQ160" s="28"/>
      <c r="AR160" s="28"/>
      <c r="AS160" s="28"/>
      <c r="AT160" s="28"/>
      <c r="AU160" s="28"/>
      <c r="AV160" s="28"/>
      <c r="AW160" s="28"/>
      <c r="AX160" s="28"/>
      <c r="AY160" s="28"/>
      <c r="AZ160" s="28"/>
      <c r="BA160" s="28">
        <v>1</v>
      </c>
      <c r="BB160" s="28"/>
      <c r="BC160" s="28"/>
      <c r="BD160" s="28"/>
      <c r="BE160" s="28"/>
      <c r="BF160" s="28"/>
      <c r="BG160" s="28"/>
      <c r="BH160" s="28"/>
      <c r="BI160" s="28"/>
      <c r="BJ160" s="28"/>
      <c r="BK160" s="28"/>
      <c r="BL160" s="28">
        <v>1</v>
      </c>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c r="CR160" s="28"/>
      <c r="CS160" s="28"/>
      <c r="CT160" s="28"/>
      <c r="CU160" s="28"/>
      <c r="CV160" s="28"/>
      <c r="CW160" s="28"/>
      <c r="CX160" s="28"/>
      <c r="CY160" s="28"/>
      <c r="CZ160" s="28"/>
      <c r="DA160" s="28"/>
      <c r="DB160" s="28"/>
      <c r="DC160" s="28"/>
      <c r="DD160" s="28"/>
      <c r="DE160" s="28"/>
      <c r="DF160" s="28"/>
      <c r="DG160" s="28"/>
      <c r="DH160" s="28"/>
      <c r="DI160" s="28"/>
      <c r="DJ160" s="28"/>
      <c r="DK160" s="28"/>
      <c r="DL160" s="28"/>
      <c r="DM160" s="28"/>
      <c r="DN160" s="28"/>
      <c r="DO160" s="28">
        <v>1</v>
      </c>
      <c r="DP160" s="28"/>
      <c r="DQ160" s="28"/>
      <c r="DR160" s="28"/>
      <c r="DS160" s="28"/>
      <c r="DT160" s="28"/>
      <c r="DU160" s="28"/>
      <c r="DV160" s="28"/>
      <c r="DW160" s="28"/>
      <c r="DX160" s="28"/>
      <c r="DY160" s="28"/>
      <c r="DZ160" s="28"/>
      <c r="EA160" s="28"/>
      <c r="EB160" s="28"/>
      <c r="EC160" s="28"/>
      <c r="ED160" s="28"/>
      <c r="EE160" s="28"/>
      <c r="EF160" s="28"/>
      <c r="EG160" s="28"/>
      <c r="EH160" s="28"/>
      <c r="EI160" s="28">
        <v>1</v>
      </c>
      <c r="EJ160" s="28"/>
      <c r="EK160" s="28"/>
      <c r="EL160" s="28"/>
      <c r="EM160" s="28"/>
      <c r="EN160" s="28"/>
      <c r="EO160" s="28"/>
      <c r="EP160" s="28"/>
      <c r="EQ160" s="28"/>
      <c r="ER160" s="28"/>
      <c r="ES160" s="28"/>
      <c r="ET160" s="28"/>
      <c r="EU160" s="28"/>
      <c r="EV160" s="28"/>
      <c r="EW160" s="28"/>
      <c r="EX160" s="28"/>
      <c r="EY160" s="28"/>
      <c r="EZ160" s="28"/>
      <c r="FA160" s="28"/>
      <c r="FB160" s="28"/>
      <c r="FC160" s="28"/>
      <c r="FD160" s="28"/>
      <c r="FE160" s="28"/>
      <c r="FF160" s="28"/>
      <c r="FG160" s="28"/>
      <c r="FH160" s="28"/>
      <c r="FI160" s="28"/>
      <c r="FJ160" s="28"/>
      <c r="FK160" s="28"/>
      <c r="FL160" s="28"/>
      <c r="FM160" s="28"/>
      <c r="FN160" s="28"/>
      <c r="FO160" s="28"/>
      <c r="FP160" s="28"/>
      <c r="FQ160" s="28"/>
      <c r="FR160" s="28">
        <v>1</v>
      </c>
      <c r="FS160" s="28"/>
      <c r="FT160" s="28"/>
      <c r="FU160" s="28"/>
      <c r="FV160" s="28"/>
      <c r="FW160" s="28"/>
      <c r="FX160" s="28"/>
      <c r="FY160" s="28"/>
      <c r="FZ160" s="28"/>
      <c r="GA160" s="28"/>
      <c r="GB160" s="28"/>
      <c r="GC160" s="28"/>
      <c r="GD160" s="28"/>
      <c r="GE160" s="28"/>
      <c r="GF160" s="28"/>
    </row>
    <row r="161" spans="1:188" ht="13" x14ac:dyDescent="0.15">
      <c r="A161" s="27">
        <v>43221</v>
      </c>
      <c r="B161" s="28" t="s">
        <v>456</v>
      </c>
      <c r="C161" s="28">
        <v>21.316488</v>
      </c>
      <c r="D161" s="28">
        <v>-157.66426100000001</v>
      </c>
      <c r="E161" s="28" t="s">
        <v>385</v>
      </c>
      <c r="F161" s="29">
        <v>0.38541666666666669</v>
      </c>
      <c r="G161" s="29">
        <v>0.44097222222222221</v>
      </c>
      <c r="H161" s="28">
        <v>6</v>
      </c>
      <c r="I161" s="28">
        <v>57</v>
      </c>
      <c r="J161" s="28" t="s">
        <v>227</v>
      </c>
      <c r="K161" s="28">
        <v>5</v>
      </c>
      <c r="L161" s="28">
        <v>18</v>
      </c>
      <c r="M161" s="28" t="s">
        <v>526</v>
      </c>
      <c r="N161" s="28"/>
      <c r="O161" s="28"/>
      <c r="P161" s="28"/>
      <c r="Q161" s="28"/>
      <c r="R161" s="28"/>
      <c r="S161" s="28"/>
      <c r="T161" s="28"/>
      <c r="U161" s="28"/>
      <c r="V161" s="28"/>
      <c r="W161" s="28"/>
      <c r="X161" s="28"/>
      <c r="Y161" s="28"/>
      <c r="Z161" s="28"/>
      <c r="AA161" s="28">
        <v>1</v>
      </c>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v>1</v>
      </c>
      <c r="BM161" s="28"/>
      <c r="BN161" s="28"/>
      <c r="BO161" s="28"/>
      <c r="BP161" s="28"/>
      <c r="BQ161" s="28"/>
      <c r="BR161" s="28"/>
      <c r="BS161" s="28"/>
      <c r="BT161" s="28"/>
      <c r="BU161" s="28"/>
      <c r="BV161" s="28"/>
      <c r="BW161" s="28"/>
      <c r="BX161" s="28"/>
      <c r="BY161" s="28"/>
      <c r="BZ161" s="28"/>
      <c r="CA161" s="28"/>
      <c r="CB161" s="28">
        <v>1</v>
      </c>
      <c r="CC161" s="28"/>
      <c r="CD161" s="28"/>
      <c r="CE161" s="28"/>
      <c r="CF161" s="28"/>
      <c r="CG161" s="28">
        <v>1</v>
      </c>
      <c r="CH161" s="28"/>
      <c r="CI161" s="28"/>
      <c r="CJ161" s="28"/>
      <c r="CK161" s="28"/>
      <c r="CL161" s="28"/>
      <c r="CM161" s="28"/>
      <c r="CN161" s="28"/>
      <c r="CO161" s="28"/>
      <c r="CP161" s="28"/>
      <c r="CQ161" s="28"/>
      <c r="CR161" s="28"/>
      <c r="CS161" s="28"/>
      <c r="CT161" s="28"/>
      <c r="CU161" s="28"/>
      <c r="CV161" s="28"/>
      <c r="CW161" s="28"/>
      <c r="CX161" s="28"/>
      <c r="CY161" s="28"/>
      <c r="CZ161" s="28"/>
      <c r="DA161" s="28"/>
      <c r="DB161" s="28"/>
      <c r="DC161" s="28"/>
      <c r="DD161" s="28"/>
      <c r="DE161" s="28"/>
      <c r="DF161" s="28"/>
      <c r="DG161" s="28"/>
      <c r="DH161" s="28"/>
      <c r="DI161" s="28"/>
      <c r="DJ161" s="28"/>
      <c r="DK161" s="28"/>
      <c r="DL161" s="28"/>
      <c r="DM161" s="28"/>
      <c r="DN161" s="28"/>
      <c r="DO161" s="28"/>
      <c r="DP161" s="28"/>
      <c r="DQ161" s="28"/>
      <c r="DR161" s="28"/>
      <c r="DS161" s="28"/>
      <c r="DT161" s="28"/>
      <c r="DU161" s="28"/>
      <c r="DV161" s="28"/>
      <c r="DW161" s="28"/>
      <c r="DX161" s="28"/>
      <c r="DY161" s="28"/>
      <c r="DZ161" s="28"/>
      <c r="EA161" s="28"/>
      <c r="EB161" s="28"/>
      <c r="EC161" s="28"/>
      <c r="ED161" s="28"/>
      <c r="EE161" s="28"/>
      <c r="EF161" s="28"/>
      <c r="EG161" s="28"/>
      <c r="EH161" s="28"/>
      <c r="EI161" s="28"/>
      <c r="EJ161" s="28"/>
      <c r="EK161" s="28"/>
      <c r="EL161" s="28"/>
      <c r="EM161" s="28"/>
      <c r="EN161" s="28"/>
      <c r="EO161" s="28"/>
      <c r="EP161" s="28"/>
      <c r="EQ161" s="28"/>
      <c r="ER161" s="28"/>
      <c r="ES161" s="28"/>
      <c r="ET161" s="28"/>
      <c r="EU161" s="28"/>
      <c r="EV161" s="28"/>
      <c r="EW161" s="28"/>
      <c r="EX161" s="28"/>
      <c r="EY161" s="28"/>
      <c r="EZ161" s="28"/>
      <c r="FA161" s="28"/>
      <c r="FB161" s="28"/>
      <c r="FC161" s="28"/>
      <c r="FD161" s="28"/>
      <c r="FE161" s="28">
        <v>1</v>
      </c>
      <c r="FF161" s="28"/>
      <c r="FG161" s="28"/>
      <c r="FH161" s="28"/>
      <c r="FI161" s="28"/>
      <c r="FJ161" s="28"/>
      <c r="FK161" s="28"/>
      <c r="FL161" s="28"/>
      <c r="FM161" s="28"/>
      <c r="FN161" s="28"/>
      <c r="FO161" s="28"/>
      <c r="FP161" s="28"/>
      <c r="FQ161" s="28"/>
      <c r="FR161" s="28">
        <v>1</v>
      </c>
      <c r="FS161" s="28"/>
      <c r="FT161" s="28"/>
      <c r="FU161" s="28"/>
      <c r="FV161" s="28"/>
      <c r="FW161" s="28"/>
      <c r="FX161" s="28"/>
      <c r="FY161" s="28"/>
      <c r="FZ161" s="28"/>
      <c r="GA161" s="28"/>
      <c r="GB161" s="28"/>
      <c r="GC161" s="28"/>
      <c r="GD161" s="28"/>
      <c r="GE161" s="28"/>
      <c r="GF161" s="28"/>
    </row>
    <row r="162" spans="1:188" ht="13" x14ac:dyDescent="0.15">
      <c r="A162" s="19">
        <v>43222</v>
      </c>
      <c r="B162" s="20" t="s">
        <v>246</v>
      </c>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c r="DA162" s="20"/>
      <c r="DB162" s="20"/>
      <c r="DC162" s="20"/>
      <c r="DD162" s="20"/>
      <c r="DE162" s="20"/>
      <c r="DF162" s="20"/>
      <c r="DG162" s="20"/>
      <c r="DH162" s="20"/>
      <c r="DI162" s="20"/>
      <c r="DJ162" s="20"/>
      <c r="DK162" s="20"/>
      <c r="DL162" s="20"/>
      <c r="DM162" s="20"/>
      <c r="DN162" s="20"/>
      <c r="DO162" s="20"/>
      <c r="DP162" s="20"/>
      <c r="DQ162" s="20"/>
      <c r="DR162" s="20"/>
      <c r="DS162" s="20"/>
      <c r="DT162" s="20"/>
      <c r="DU162" s="20"/>
      <c r="DV162" s="20"/>
      <c r="DW162" s="20"/>
      <c r="DX162" s="20"/>
      <c r="DY162" s="20"/>
      <c r="DZ162" s="20"/>
      <c r="EA162" s="20"/>
      <c r="EB162" s="20"/>
      <c r="EC162" s="20"/>
      <c r="ED162" s="20"/>
      <c r="EE162" s="20"/>
      <c r="EF162" s="20"/>
      <c r="EG162" s="20"/>
      <c r="EH162" s="20"/>
      <c r="EI162" s="20"/>
      <c r="EJ162" s="20"/>
      <c r="EK162" s="20"/>
      <c r="EL162" s="20"/>
      <c r="EM162" s="20"/>
      <c r="EN162" s="20"/>
      <c r="EO162" s="20"/>
      <c r="EP162" s="20"/>
      <c r="EQ162" s="20"/>
      <c r="ER162" s="20"/>
      <c r="ES162" s="20"/>
      <c r="ET162" s="20"/>
      <c r="EU162" s="20"/>
      <c r="EV162" s="20"/>
      <c r="EW162" s="20"/>
      <c r="EX162" s="20"/>
      <c r="EY162" s="20"/>
      <c r="EZ162" s="20"/>
      <c r="FA162" s="20"/>
      <c r="FB162" s="20"/>
      <c r="FC162" s="20"/>
      <c r="FD162" s="20"/>
      <c r="FE162" s="20"/>
      <c r="FF162" s="20"/>
      <c r="FG162" s="20"/>
      <c r="FH162" s="20"/>
      <c r="FI162" s="20"/>
      <c r="FJ162" s="20"/>
      <c r="FK162" s="20"/>
      <c r="FL162" s="20"/>
      <c r="FM162" s="20"/>
      <c r="FN162" s="20"/>
      <c r="FO162" s="20"/>
      <c r="FP162" s="20"/>
      <c r="FQ162" s="20"/>
      <c r="FR162" s="20"/>
      <c r="FS162" s="20"/>
      <c r="FT162" s="20"/>
      <c r="FU162" s="20"/>
      <c r="FV162" s="20"/>
      <c r="FW162" s="20"/>
      <c r="FX162" s="20"/>
      <c r="FY162" s="20"/>
      <c r="FZ162" s="20"/>
      <c r="GA162" s="20"/>
      <c r="GB162" s="20"/>
      <c r="GC162" s="20"/>
      <c r="GD162" s="20"/>
      <c r="GE162" s="20"/>
      <c r="GF162" s="20"/>
    </row>
    <row r="163" spans="1:188" ht="13" x14ac:dyDescent="0.15">
      <c r="A163" s="27">
        <v>43222</v>
      </c>
      <c r="B163" s="28" t="s">
        <v>216</v>
      </c>
      <c r="C163" s="28">
        <v>21.3002</v>
      </c>
      <c r="D163" s="28">
        <v>-157.882599</v>
      </c>
      <c r="E163" s="28" t="s">
        <v>385</v>
      </c>
      <c r="F163" s="29">
        <v>0.38541666666666669</v>
      </c>
      <c r="G163" s="29">
        <v>0.4375</v>
      </c>
      <c r="H163" s="28">
        <v>6</v>
      </c>
      <c r="I163" s="28">
        <v>19</v>
      </c>
      <c r="J163" s="28" t="s">
        <v>198</v>
      </c>
      <c r="K163" s="28">
        <v>5</v>
      </c>
      <c r="L163" s="28">
        <v>27</v>
      </c>
      <c r="M163" s="28" t="s">
        <v>527</v>
      </c>
      <c r="N163" s="28"/>
      <c r="O163" s="28"/>
      <c r="P163" s="28"/>
      <c r="Q163" s="28"/>
      <c r="R163" s="28"/>
      <c r="S163" s="28"/>
      <c r="T163" s="28"/>
      <c r="U163" s="28"/>
      <c r="V163" s="28"/>
      <c r="W163" s="28"/>
      <c r="X163" s="28"/>
      <c r="Y163" s="28"/>
      <c r="Z163" s="28"/>
      <c r="AA163" s="28"/>
      <c r="AB163" s="28"/>
      <c r="AC163" s="28"/>
      <c r="AD163" s="28">
        <v>1</v>
      </c>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v>1</v>
      </c>
      <c r="BM163" s="28"/>
      <c r="BN163" s="28"/>
      <c r="BO163" s="28"/>
      <c r="BP163" s="28"/>
      <c r="BQ163" s="28"/>
      <c r="BR163" s="28"/>
      <c r="BS163" s="28"/>
      <c r="BT163" s="28"/>
      <c r="BU163" s="28"/>
      <c r="BV163" s="28">
        <v>1</v>
      </c>
      <c r="BW163" s="28"/>
      <c r="BX163" s="28"/>
      <c r="BY163" s="28"/>
      <c r="BZ163" s="28"/>
      <c r="CA163" s="28"/>
      <c r="CB163" s="28">
        <v>1</v>
      </c>
      <c r="CC163" s="28"/>
      <c r="CD163" s="28"/>
      <c r="CE163" s="28"/>
      <c r="CF163" s="28"/>
      <c r="CG163" s="28"/>
      <c r="CH163" s="28"/>
      <c r="CI163" s="28"/>
      <c r="CJ163" s="28"/>
      <c r="CK163" s="28"/>
      <c r="CL163" s="28"/>
      <c r="CM163" s="28"/>
      <c r="CN163" s="28"/>
      <c r="CO163" s="28"/>
      <c r="CP163" s="28"/>
      <c r="CQ163" s="28"/>
      <c r="CR163" s="28"/>
      <c r="CS163" s="28"/>
      <c r="CT163" s="28"/>
      <c r="CU163" s="28"/>
      <c r="CV163" s="28"/>
      <c r="CW163" s="28"/>
      <c r="CX163" s="28"/>
      <c r="CY163" s="28"/>
      <c r="CZ163" s="28"/>
      <c r="DA163" s="28"/>
      <c r="DB163" s="28"/>
      <c r="DC163" s="28"/>
      <c r="DD163" s="28"/>
      <c r="DE163" s="28"/>
      <c r="DF163" s="28"/>
      <c r="DG163" s="28"/>
      <c r="DH163" s="28"/>
      <c r="DI163" s="28"/>
      <c r="DJ163" s="28"/>
      <c r="DK163" s="28"/>
      <c r="DL163" s="28"/>
      <c r="DM163" s="28"/>
      <c r="DN163" s="28"/>
      <c r="DO163" s="28"/>
      <c r="DP163" s="28"/>
      <c r="DQ163" s="28"/>
      <c r="DR163" s="28"/>
      <c r="DS163" s="28"/>
      <c r="DT163" s="28"/>
      <c r="DU163" s="28"/>
      <c r="DV163" s="28"/>
      <c r="DW163" s="28"/>
      <c r="DX163" s="28"/>
      <c r="DY163" s="28"/>
      <c r="DZ163" s="28"/>
      <c r="EA163" s="28"/>
      <c r="EB163" s="28"/>
      <c r="EC163" s="28"/>
      <c r="ED163" s="28"/>
      <c r="EE163" s="28"/>
      <c r="EF163" s="28"/>
      <c r="EG163" s="28"/>
      <c r="EH163" s="28"/>
      <c r="EI163" s="28">
        <v>1</v>
      </c>
      <c r="EJ163" s="28"/>
      <c r="EK163" s="28"/>
      <c r="EL163" s="28"/>
      <c r="EM163" s="28"/>
      <c r="EN163" s="28"/>
      <c r="EO163" s="28"/>
      <c r="EP163" s="28"/>
      <c r="EQ163" s="28"/>
      <c r="ER163" s="28"/>
      <c r="ES163" s="28"/>
      <c r="ET163" s="28"/>
      <c r="EU163" s="28"/>
      <c r="EV163" s="28"/>
      <c r="EW163" s="28"/>
      <c r="EX163" s="28"/>
      <c r="EY163" s="28"/>
      <c r="EZ163" s="28"/>
      <c r="FA163" s="28"/>
      <c r="FB163" s="28"/>
      <c r="FC163" s="28"/>
      <c r="FD163" s="28"/>
      <c r="FE163" s="28">
        <v>1</v>
      </c>
      <c r="FF163" s="28"/>
      <c r="FG163" s="28"/>
      <c r="FH163" s="28"/>
      <c r="FI163" s="28"/>
      <c r="FJ163" s="28"/>
      <c r="FK163" s="28"/>
      <c r="FL163" s="28"/>
      <c r="FM163" s="28"/>
      <c r="FN163" s="28"/>
      <c r="FO163" s="28"/>
      <c r="FP163" s="28"/>
      <c r="FQ163" s="28"/>
      <c r="FR163" s="28">
        <v>1</v>
      </c>
      <c r="FS163" s="28"/>
      <c r="FT163" s="28"/>
      <c r="FU163" s="28"/>
      <c r="FV163" s="28"/>
      <c r="FW163" s="28"/>
      <c r="FX163" s="28"/>
      <c r="FY163" s="28"/>
      <c r="FZ163" s="28"/>
      <c r="GA163" s="28"/>
      <c r="GB163" s="28"/>
      <c r="GC163" s="28"/>
      <c r="GD163" s="28"/>
      <c r="GE163" s="28"/>
      <c r="GF163" s="28"/>
    </row>
    <row r="164" spans="1:188" ht="13" x14ac:dyDescent="0.15">
      <c r="A164" s="13">
        <v>43230</v>
      </c>
      <c r="B164" s="3" t="s">
        <v>201</v>
      </c>
      <c r="C164" s="3">
        <v>21.25544</v>
      </c>
      <c r="D164" s="3">
        <v>-157.810303</v>
      </c>
      <c r="E164" s="3" t="s">
        <v>299</v>
      </c>
      <c r="F164" s="14">
        <v>0.3611111111111111</v>
      </c>
      <c r="G164" s="14">
        <v>0.40277777777777779</v>
      </c>
      <c r="H164" s="3">
        <v>5</v>
      </c>
      <c r="I164" s="3">
        <v>16</v>
      </c>
      <c r="J164" s="3" t="s">
        <v>217</v>
      </c>
      <c r="K164" s="3">
        <v>8</v>
      </c>
      <c r="L164" s="3">
        <v>25</v>
      </c>
      <c r="M164" s="3" t="s">
        <v>427</v>
      </c>
      <c r="R164" s="3">
        <v>1</v>
      </c>
      <c r="AZ164" s="3"/>
      <c r="BA164" s="3">
        <v>1</v>
      </c>
      <c r="BM164" s="3">
        <v>1</v>
      </c>
      <c r="BP164" s="3">
        <v>1</v>
      </c>
      <c r="BY164" s="3">
        <v>1</v>
      </c>
      <c r="DE164" s="3"/>
      <c r="DF164" s="3">
        <v>1</v>
      </c>
      <c r="DL164" s="3">
        <v>1</v>
      </c>
      <c r="DO164" s="3">
        <v>1</v>
      </c>
      <c r="DT164" s="3"/>
      <c r="DU164" s="3">
        <v>1</v>
      </c>
      <c r="ED164" s="3"/>
      <c r="EE164" s="3">
        <v>1</v>
      </c>
      <c r="EH164" s="3"/>
      <c r="EI164" s="3">
        <v>1</v>
      </c>
      <c r="EX164" s="3"/>
      <c r="EY164" s="3">
        <v>1</v>
      </c>
      <c r="FA164" s="3">
        <v>1</v>
      </c>
      <c r="FQ164" s="3">
        <v>1</v>
      </c>
      <c r="FR164" s="3">
        <v>1</v>
      </c>
    </row>
    <row r="165" spans="1:188" ht="13" x14ac:dyDescent="0.15">
      <c r="A165" s="13">
        <v>43231</v>
      </c>
      <c r="B165" s="3" t="s">
        <v>201</v>
      </c>
      <c r="C165" s="3">
        <v>21.25544</v>
      </c>
      <c r="D165" s="3">
        <v>-157.810303</v>
      </c>
      <c r="E165" s="3" t="s">
        <v>299</v>
      </c>
      <c r="F165" s="14">
        <v>0.375</v>
      </c>
      <c r="G165" s="14">
        <v>0.40972222222222221</v>
      </c>
      <c r="H165" s="3">
        <v>5</v>
      </c>
      <c r="I165" s="3">
        <v>16</v>
      </c>
      <c r="J165" s="3" t="s">
        <v>198</v>
      </c>
      <c r="K165" s="3">
        <v>7</v>
      </c>
      <c r="L165" s="3">
        <v>26</v>
      </c>
      <c r="M165" s="3" t="s">
        <v>430</v>
      </c>
      <c r="Q165" s="3">
        <v>1</v>
      </c>
      <c r="Z165" s="3"/>
      <c r="AA165" s="3">
        <v>1</v>
      </c>
      <c r="AH165" s="3">
        <v>1</v>
      </c>
      <c r="AI165" s="3"/>
      <c r="AJ165" s="3">
        <v>1</v>
      </c>
      <c r="AT165" s="3">
        <v>1</v>
      </c>
      <c r="BH165" s="3"/>
      <c r="BI165" s="3"/>
      <c r="BJ165" s="3">
        <v>1</v>
      </c>
      <c r="BL165" s="3">
        <v>1</v>
      </c>
      <c r="BP165" s="3">
        <v>1</v>
      </c>
      <c r="BU165" s="3">
        <v>1</v>
      </c>
      <c r="BY165" s="3">
        <v>1</v>
      </c>
      <c r="DD165" s="3">
        <v>1</v>
      </c>
      <c r="DJ165" s="3">
        <v>1</v>
      </c>
      <c r="DL165" s="3">
        <v>1</v>
      </c>
      <c r="DN165" s="3">
        <v>1</v>
      </c>
      <c r="DQ165" s="3"/>
      <c r="DR165" s="3">
        <v>1</v>
      </c>
      <c r="EB165" s="3">
        <v>1</v>
      </c>
      <c r="ED165" s="3"/>
      <c r="EE165" s="3">
        <v>1</v>
      </c>
      <c r="EH165" s="3"/>
      <c r="EI165" s="3">
        <v>1</v>
      </c>
      <c r="EX165" s="3"/>
      <c r="EY165" s="3">
        <v>1</v>
      </c>
      <c r="FA165" s="3">
        <v>1</v>
      </c>
      <c r="FQ165" s="3">
        <v>1</v>
      </c>
      <c r="FR165" s="3">
        <v>1</v>
      </c>
      <c r="FU165" s="3"/>
      <c r="FV165" s="3">
        <v>1</v>
      </c>
      <c r="GA165" s="3">
        <v>1</v>
      </c>
    </row>
    <row r="166" spans="1:188" ht="13" x14ac:dyDescent="0.15">
      <c r="A166" s="27">
        <v>43232</v>
      </c>
      <c r="B166" s="28" t="s">
        <v>374</v>
      </c>
      <c r="C166" s="28">
        <v>20.738001000000001</v>
      </c>
      <c r="D166" s="28">
        <v>-156.895004</v>
      </c>
      <c r="E166" s="28" t="s">
        <v>391</v>
      </c>
      <c r="F166" s="29">
        <v>0.37152777777777779</v>
      </c>
      <c r="G166" s="29">
        <v>0.42083333333333334</v>
      </c>
      <c r="H166" s="28">
        <v>3</v>
      </c>
      <c r="I166" s="28">
        <v>25</v>
      </c>
      <c r="J166" s="28" t="s">
        <v>198</v>
      </c>
      <c r="K166" s="28">
        <v>13</v>
      </c>
      <c r="L166" s="28">
        <v>18</v>
      </c>
      <c r="M166" s="28" t="s">
        <v>528</v>
      </c>
      <c r="N166" s="28"/>
      <c r="O166" s="28"/>
      <c r="P166" s="28"/>
      <c r="Q166" s="28"/>
      <c r="R166" s="28"/>
      <c r="S166" s="28"/>
      <c r="T166" s="28"/>
      <c r="U166" s="28"/>
      <c r="V166" s="28"/>
      <c r="W166" s="28"/>
      <c r="X166" s="28"/>
      <c r="Y166" s="28"/>
      <c r="Z166" s="28"/>
      <c r="AA166" s="28"/>
      <c r="AB166" s="28"/>
      <c r="AC166" s="28">
        <v>1</v>
      </c>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v>1</v>
      </c>
      <c r="BM166" s="28"/>
      <c r="BN166" s="28"/>
      <c r="BO166" s="28"/>
      <c r="BP166" s="28"/>
      <c r="BQ166" s="28"/>
      <c r="BR166" s="28"/>
      <c r="BS166" s="28"/>
      <c r="BT166" s="28"/>
      <c r="BU166" s="28"/>
      <c r="BV166" s="28"/>
      <c r="BW166" s="28"/>
      <c r="BX166" s="28">
        <v>1</v>
      </c>
      <c r="BY166" s="28"/>
      <c r="BZ166" s="28"/>
      <c r="CA166" s="28"/>
      <c r="CB166" s="28">
        <v>1</v>
      </c>
      <c r="CC166" s="28"/>
      <c r="CD166" s="28"/>
      <c r="CE166" s="28"/>
      <c r="CF166" s="28"/>
      <c r="CG166" s="28">
        <v>1</v>
      </c>
      <c r="CH166" s="28"/>
      <c r="CI166" s="28"/>
      <c r="CJ166" s="28"/>
      <c r="CK166" s="28"/>
      <c r="CL166" s="28"/>
      <c r="CM166" s="28"/>
      <c r="CN166" s="28"/>
      <c r="CO166" s="28"/>
      <c r="CP166" s="28"/>
      <c r="CQ166" s="28"/>
      <c r="CR166" s="28"/>
      <c r="CS166" s="28"/>
      <c r="CT166" s="28"/>
      <c r="CU166" s="28"/>
      <c r="CV166" s="28"/>
      <c r="CW166" s="28"/>
      <c r="CX166" s="28"/>
      <c r="CY166" s="28"/>
      <c r="CZ166" s="28"/>
      <c r="DA166" s="28"/>
      <c r="DB166" s="28"/>
      <c r="DC166" s="28"/>
      <c r="DD166" s="28"/>
      <c r="DE166" s="28"/>
      <c r="DF166" s="28">
        <v>1</v>
      </c>
      <c r="DG166" s="28"/>
      <c r="DH166" s="28"/>
      <c r="DI166" s="28"/>
      <c r="DJ166" s="28"/>
      <c r="DK166" s="28"/>
      <c r="DL166" s="28"/>
      <c r="DM166" s="28"/>
      <c r="DN166" s="28"/>
      <c r="DO166" s="28"/>
      <c r="DP166" s="28"/>
      <c r="DQ166" s="28"/>
      <c r="DR166" s="28"/>
      <c r="DS166" s="28"/>
      <c r="DT166" s="28"/>
      <c r="DU166" s="28"/>
      <c r="DV166" s="28"/>
      <c r="DW166" s="28"/>
      <c r="DX166" s="28"/>
      <c r="DY166" s="28"/>
      <c r="DZ166" s="28"/>
      <c r="EA166" s="28"/>
      <c r="EB166" s="28"/>
      <c r="EC166" s="28"/>
      <c r="ED166" s="28"/>
      <c r="EE166" s="28"/>
      <c r="EF166" s="28"/>
      <c r="EG166" s="28"/>
      <c r="EH166" s="28"/>
      <c r="EI166" s="28">
        <v>1</v>
      </c>
      <c r="EJ166" s="28"/>
      <c r="EK166" s="28"/>
      <c r="EL166" s="28"/>
      <c r="EM166" s="28"/>
      <c r="EN166" s="28"/>
      <c r="EO166" s="28"/>
      <c r="EP166" s="28"/>
      <c r="EQ166" s="28"/>
      <c r="ER166" s="28"/>
      <c r="ES166" s="28"/>
      <c r="ET166" s="28"/>
      <c r="EU166" s="28"/>
      <c r="EV166" s="28"/>
      <c r="EW166" s="28"/>
      <c r="EX166" s="28"/>
      <c r="EY166" s="28">
        <v>1</v>
      </c>
      <c r="EZ166" s="28"/>
      <c r="FA166" s="28">
        <v>1</v>
      </c>
      <c r="FB166" s="28"/>
      <c r="FC166" s="28"/>
      <c r="FD166" s="28"/>
      <c r="FE166" s="28"/>
      <c r="FF166" s="28"/>
      <c r="FG166" s="28"/>
      <c r="FH166" s="28"/>
      <c r="FI166" s="28"/>
      <c r="FJ166" s="28"/>
      <c r="FK166" s="28"/>
      <c r="FL166" s="28"/>
      <c r="FM166" s="28"/>
      <c r="FN166" s="28"/>
      <c r="FO166" s="28"/>
      <c r="FP166" s="28"/>
      <c r="FQ166" s="28">
        <v>1</v>
      </c>
      <c r="FR166" s="28"/>
      <c r="FS166" s="28"/>
      <c r="FT166" s="28"/>
      <c r="FU166" s="28"/>
      <c r="FV166" s="28"/>
      <c r="FW166" s="28"/>
      <c r="FX166" s="28"/>
      <c r="FY166" s="28"/>
      <c r="FZ166" s="28"/>
      <c r="GA166" s="28"/>
      <c r="GB166" s="28"/>
      <c r="GC166" s="28"/>
      <c r="GD166" s="28"/>
      <c r="GE166" s="28"/>
      <c r="GF166" s="28"/>
    </row>
    <row r="167" spans="1:188" ht="13" x14ac:dyDescent="0.15">
      <c r="A167" s="24">
        <v>43234</v>
      </c>
      <c r="B167" s="25" t="s">
        <v>216</v>
      </c>
      <c r="C167" s="25">
        <v>21.3002</v>
      </c>
      <c r="D167" s="25">
        <v>-157.882599</v>
      </c>
      <c r="E167" s="25" t="s">
        <v>272</v>
      </c>
      <c r="F167" s="26">
        <v>0.38263888888888886</v>
      </c>
      <c r="G167" s="26">
        <v>0.41944444444444445</v>
      </c>
      <c r="H167" s="25">
        <v>6</v>
      </c>
      <c r="I167" s="25">
        <v>26</v>
      </c>
      <c r="J167" s="25" t="s">
        <v>198</v>
      </c>
      <c r="K167" s="25">
        <v>5</v>
      </c>
      <c r="L167" s="25">
        <v>27</v>
      </c>
      <c r="M167" s="25" t="s">
        <v>431</v>
      </c>
      <c r="N167" s="25"/>
      <c r="O167" s="25"/>
      <c r="P167" s="25"/>
      <c r="Q167" s="25"/>
      <c r="R167" s="25"/>
      <c r="S167" s="25"/>
      <c r="T167" s="25"/>
      <c r="U167" s="25"/>
      <c r="V167" s="25"/>
      <c r="W167" s="25"/>
      <c r="X167" s="25"/>
      <c r="Y167" s="25"/>
      <c r="Z167" s="25"/>
      <c r="AA167" s="25"/>
      <c r="AB167" s="25"/>
      <c r="AC167" s="25"/>
      <c r="AD167" s="25"/>
      <c r="AE167" s="25"/>
      <c r="AF167" s="25"/>
      <c r="AG167" s="25"/>
      <c r="AH167" s="25">
        <v>1</v>
      </c>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v>1</v>
      </c>
      <c r="BE167" s="25"/>
      <c r="BF167" s="25"/>
      <c r="BG167" s="25">
        <v>1</v>
      </c>
      <c r="BH167" s="25"/>
      <c r="BI167" s="25">
        <v>1</v>
      </c>
      <c r="BJ167" s="25"/>
      <c r="BK167" s="25">
        <v>1</v>
      </c>
      <c r="BL167" s="25">
        <v>1</v>
      </c>
      <c r="BM167" s="25"/>
      <c r="BN167" s="25"/>
      <c r="BO167" s="25"/>
      <c r="BP167" s="25">
        <v>1</v>
      </c>
      <c r="BQ167" s="25"/>
      <c r="BR167" s="25"/>
      <c r="BS167" s="25"/>
      <c r="BT167" s="25"/>
      <c r="BU167" s="25">
        <v>1</v>
      </c>
      <c r="BV167" s="25"/>
      <c r="BW167" s="25"/>
      <c r="BX167" s="25"/>
      <c r="BY167" s="25"/>
      <c r="BZ167" s="25"/>
      <c r="CA167" s="25"/>
      <c r="CB167" s="25"/>
      <c r="CC167" s="25"/>
      <c r="CD167" s="25">
        <v>1</v>
      </c>
      <c r="CE167" s="25"/>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c r="DO167" s="25"/>
      <c r="DP167" s="25"/>
      <c r="DQ167" s="25"/>
      <c r="DR167" s="25"/>
      <c r="DS167" s="25"/>
      <c r="DT167" s="25"/>
      <c r="DU167" s="25"/>
      <c r="DV167" s="25"/>
      <c r="DW167" s="25"/>
      <c r="DX167" s="25"/>
      <c r="DY167" s="25"/>
      <c r="DZ167" s="25"/>
      <c r="EA167" s="25"/>
      <c r="EB167" s="25">
        <v>1</v>
      </c>
      <c r="EC167" s="25"/>
      <c r="ED167" s="25"/>
      <c r="EE167" s="25"/>
      <c r="EF167" s="25"/>
      <c r="EG167" s="25"/>
      <c r="EH167" s="25"/>
      <c r="EI167" s="25">
        <v>1</v>
      </c>
      <c r="EJ167" s="25"/>
      <c r="EK167" s="25"/>
      <c r="EL167" s="25"/>
      <c r="EM167" s="25"/>
      <c r="EN167" s="25"/>
      <c r="EO167" s="25"/>
      <c r="EP167" s="25"/>
      <c r="EQ167" s="25"/>
      <c r="ER167" s="25"/>
      <c r="ES167" s="25"/>
      <c r="ET167" s="25"/>
      <c r="EU167" s="25"/>
      <c r="EV167" s="25"/>
      <c r="EW167" s="25">
        <v>1</v>
      </c>
      <c r="EX167" s="25"/>
      <c r="EY167" s="25"/>
      <c r="EZ167" s="25"/>
      <c r="FA167" s="25"/>
      <c r="FB167" s="25"/>
      <c r="FC167" s="25"/>
      <c r="FD167" s="25"/>
      <c r="FE167" s="25"/>
      <c r="FF167" s="25"/>
      <c r="FG167" s="25"/>
      <c r="FH167" s="25"/>
      <c r="FI167" s="25"/>
      <c r="FJ167" s="25"/>
      <c r="FK167" s="25">
        <v>1</v>
      </c>
      <c r="FL167" s="25"/>
      <c r="FM167" s="25"/>
      <c r="FN167" s="25"/>
      <c r="FO167" s="25"/>
      <c r="FP167" s="25"/>
      <c r="FQ167" s="25"/>
      <c r="FR167" s="25">
        <v>1</v>
      </c>
      <c r="FS167" s="25"/>
      <c r="FT167" s="25"/>
      <c r="FU167" s="25"/>
      <c r="FV167" s="25"/>
      <c r="FW167" s="25"/>
      <c r="FX167" s="25"/>
      <c r="FY167" s="25"/>
      <c r="FZ167" s="25"/>
      <c r="GA167" s="25"/>
      <c r="GB167" s="25"/>
      <c r="GC167" s="25"/>
      <c r="GD167" s="25"/>
      <c r="GE167" s="25"/>
      <c r="GF167" s="25"/>
    </row>
    <row r="168" spans="1:188" ht="13" x14ac:dyDescent="0.15">
      <c r="A168" s="27">
        <v>43235</v>
      </c>
      <c r="B168" s="28" t="s">
        <v>216</v>
      </c>
      <c r="C168" s="28">
        <v>21.3002</v>
      </c>
      <c r="D168" s="28">
        <v>-157.882599</v>
      </c>
      <c r="E168" s="28" t="s">
        <v>272</v>
      </c>
      <c r="F168" s="29">
        <v>0.38263888888888886</v>
      </c>
      <c r="G168" s="29">
        <v>0.40833333333333333</v>
      </c>
      <c r="H168" s="28">
        <v>6</v>
      </c>
      <c r="I168" s="28">
        <v>30</v>
      </c>
      <c r="J168" s="28" t="s">
        <v>198</v>
      </c>
      <c r="K168" s="28">
        <v>5</v>
      </c>
      <c r="L168" s="28">
        <v>26</v>
      </c>
      <c r="M168" s="28" t="s">
        <v>529</v>
      </c>
      <c r="N168" s="28"/>
      <c r="O168" s="28"/>
      <c r="P168" s="28"/>
      <c r="Q168" s="28"/>
      <c r="R168" s="28"/>
      <c r="S168" s="28"/>
      <c r="T168" s="28"/>
      <c r="U168" s="28"/>
      <c r="V168" s="28"/>
      <c r="W168" s="28"/>
      <c r="X168" s="28"/>
      <c r="Y168" s="28"/>
      <c r="Z168" s="28"/>
      <c r="AA168" s="28"/>
      <c r="AB168" s="28"/>
      <c r="AC168" s="28"/>
      <c r="AD168" s="28"/>
      <c r="AE168" s="28"/>
      <c r="AF168" s="28"/>
      <c r="AG168" s="28"/>
      <c r="AH168" s="28">
        <v>1</v>
      </c>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v>1</v>
      </c>
      <c r="BQ168" s="28"/>
      <c r="BR168" s="28"/>
      <c r="BS168" s="28"/>
      <c r="BT168" s="28"/>
      <c r="BU168" s="28"/>
      <c r="BV168" s="28"/>
      <c r="BW168" s="28"/>
      <c r="BX168" s="28"/>
      <c r="BY168" s="28"/>
      <c r="BZ168" s="28"/>
      <c r="CA168" s="28"/>
      <c r="CB168" s="28"/>
      <c r="CC168" s="28"/>
      <c r="CD168" s="28">
        <v>1</v>
      </c>
      <c r="CE168" s="28"/>
      <c r="CF168" s="28"/>
      <c r="CG168" s="28"/>
      <c r="CH168" s="28"/>
      <c r="CI168" s="28"/>
      <c r="CJ168" s="28"/>
      <c r="CK168" s="28"/>
      <c r="CL168" s="28"/>
      <c r="CM168" s="28"/>
      <c r="CN168" s="28"/>
      <c r="CO168" s="28"/>
      <c r="CP168" s="28"/>
      <c r="CQ168" s="28"/>
      <c r="CR168" s="28"/>
      <c r="CS168" s="28"/>
      <c r="CT168" s="28">
        <v>1</v>
      </c>
      <c r="CU168" s="28"/>
      <c r="CV168" s="28"/>
      <c r="CW168" s="28"/>
      <c r="CX168" s="28"/>
      <c r="CY168" s="28"/>
      <c r="CZ168" s="28"/>
      <c r="DA168" s="28"/>
      <c r="DB168" s="28"/>
      <c r="DC168" s="28"/>
      <c r="DD168" s="28"/>
      <c r="DE168" s="28"/>
      <c r="DF168" s="28"/>
      <c r="DG168" s="28"/>
      <c r="DH168" s="28"/>
      <c r="DI168" s="28"/>
      <c r="DJ168" s="28"/>
      <c r="DK168" s="28"/>
      <c r="DL168" s="28"/>
      <c r="DM168" s="28">
        <v>1</v>
      </c>
      <c r="DN168" s="28"/>
      <c r="DO168" s="28"/>
      <c r="DP168" s="28"/>
      <c r="DQ168" s="28"/>
      <c r="DR168" s="28"/>
      <c r="DS168" s="28"/>
      <c r="DT168" s="28"/>
      <c r="DU168" s="28"/>
      <c r="DV168" s="28"/>
      <c r="DW168" s="28"/>
      <c r="DX168" s="28"/>
      <c r="DY168" s="28"/>
      <c r="DZ168" s="28"/>
      <c r="EA168" s="28"/>
      <c r="EB168" s="28">
        <v>1</v>
      </c>
      <c r="EC168" s="28"/>
      <c r="ED168" s="28"/>
      <c r="EE168" s="28"/>
      <c r="EF168" s="28"/>
      <c r="EG168" s="28"/>
      <c r="EH168" s="28">
        <v>1</v>
      </c>
      <c r="EI168" s="28">
        <v>1</v>
      </c>
      <c r="EJ168" s="28"/>
      <c r="EK168" s="28"/>
      <c r="EL168" s="28"/>
      <c r="EM168" s="28"/>
      <c r="EN168" s="28"/>
      <c r="EO168" s="28"/>
      <c r="EP168" s="28"/>
      <c r="EQ168" s="28"/>
      <c r="ER168" s="28"/>
      <c r="ES168" s="28"/>
      <c r="ET168" s="28"/>
      <c r="EU168" s="28"/>
      <c r="EV168" s="28"/>
      <c r="EW168" s="28"/>
      <c r="EX168" s="28"/>
      <c r="EY168" s="28"/>
      <c r="EZ168" s="28"/>
      <c r="FA168" s="28"/>
      <c r="FB168" s="28"/>
      <c r="FC168" s="28"/>
      <c r="FD168" s="28"/>
      <c r="FE168" s="28"/>
      <c r="FF168" s="28"/>
      <c r="FG168" s="28"/>
      <c r="FH168" s="28"/>
      <c r="FI168" s="28"/>
      <c r="FJ168" s="28"/>
      <c r="FK168" s="28"/>
      <c r="FL168" s="28"/>
      <c r="FM168" s="28"/>
      <c r="FN168" s="28"/>
      <c r="FO168" s="28"/>
      <c r="FP168" s="28"/>
      <c r="FQ168" s="28"/>
      <c r="FR168" s="28">
        <v>1</v>
      </c>
      <c r="FS168" s="28"/>
      <c r="FT168" s="28"/>
      <c r="FU168" s="28"/>
      <c r="FV168" s="28"/>
      <c r="FW168" s="28"/>
      <c r="FX168" s="28"/>
      <c r="FY168" s="28"/>
      <c r="FZ168" s="28"/>
      <c r="GA168" s="28"/>
      <c r="GB168" s="28"/>
      <c r="GC168" s="28"/>
      <c r="GD168" s="28"/>
      <c r="GE168" s="28"/>
      <c r="GF168" s="28"/>
    </row>
    <row r="169" spans="1:188" ht="13" x14ac:dyDescent="0.15">
      <c r="A169" s="19">
        <v>43235</v>
      </c>
      <c r="B169" s="20" t="s">
        <v>467</v>
      </c>
      <c r="C169" s="20"/>
      <c r="D169" s="20"/>
      <c r="E169" s="20"/>
      <c r="F169" s="21"/>
      <c r="G169" s="21"/>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c r="DA169" s="20"/>
      <c r="DB169" s="20"/>
      <c r="DC169" s="20"/>
      <c r="DD169" s="20"/>
      <c r="DE169" s="20"/>
      <c r="DF169" s="20"/>
      <c r="DG169" s="20"/>
      <c r="DH169" s="20"/>
      <c r="DI169" s="20"/>
      <c r="DJ169" s="20"/>
      <c r="DK169" s="20"/>
      <c r="DL169" s="20"/>
      <c r="DM169" s="20"/>
      <c r="DN169" s="20"/>
      <c r="DO169" s="20"/>
      <c r="DP169" s="20"/>
      <c r="DQ169" s="20"/>
      <c r="DR169" s="20"/>
      <c r="DS169" s="20"/>
      <c r="DT169" s="20"/>
      <c r="DU169" s="20"/>
      <c r="DV169" s="20"/>
      <c r="DW169" s="20"/>
      <c r="DX169" s="20"/>
      <c r="DY169" s="20"/>
      <c r="DZ169" s="20"/>
      <c r="EA169" s="20"/>
      <c r="EB169" s="20"/>
      <c r="EC169" s="20"/>
      <c r="ED169" s="20"/>
      <c r="EE169" s="20"/>
      <c r="EF169" s="20"/>
      <c r="EG169" s="20"/>
      <c r="EH169" s="20"/>
      <c r="EI169" s="20"/>
      <c r="EJ169" s="20"/>
      <c r="EK169" s="20"/>
      <c r="EL169" s="20"/>
      <c r="EM169" s="20"/>
      <c r="EN169" s="20"/>
      <c r="EO169" s="20"/>
      <c r="EP169" s="20"/>
      <c r="EQ169" s="20"/>
      <c r="ER169" s="20"/>
      <c r="ES169" s="20"/>
      <c r="ET169" s="20"/>
      <c r="EU169" s="20"/>
      <c r="EV169" s="20"/>
      <c r="EW169" s="20"/>
      <c r="EX169" s="20"/>
      <c r="EY169" s="20"/>
      <c r="EZ169" s="20"/>
      <c r="FA169" s="20"/>
      <c r="FB169" s="20"/>
      <c r="FC169" s="20"/>
      <c r="FD169" s="20"/>
      <c r="FE169" s="20"/>
      <c r="FF169" s="20"/>
      <c r="FG169" s="20"/>
      <c r="FH169" s="20"/>
      <c r="FI169" s="20"/>
      <c r="FJ169" s="20"/>
      <c r="FK169" s="20"/>
      <c r="FL169" s="20"/>
      <c r="FM169" s="20"/>
      <c r="FN169" s="20"/>
      <c r="FO169" s="20"/>
      <c r="FP169" s="20"/>
      <c r="FQ169" s="20"/>
      <c r="FR169" s="20"/>
      <c r="FS169" s="20"/>
      <c r="FT169" s="20"/>
      <c r="FU169" s="20"/>
      <c r="FV169" s="20"/>
      <c r="FW169" s="20"/>
      <c r="FX169" s="20"/>
      <c r="FY169" s="20"/>
      <c r="FZ169" s="20"/>
      <c r="GA169" s="20"/>
      <c r="GB169" s="20"/>
      <c r="GC169" s="20"/>
      <c r="GD169" s="20"/>
      <c r="GE169" s="20"/>
      <c r="GF169" s="20"/>
    </row>
    <row r="170" spans="1:188" ht="13" x14ac:dyDescent="0.15">
      <c r="A170" s="27">
        <v>43236</v>
      </c>
      <c r="B170" s="28" t="s">
        <v>259</v>
      </c>
      <c r="C170" s="28">
        <v>19.737894000000001</v>
      </c>
      <c r="D170" s="28">
        <v>-155.03405799999999</v>
      </c>
      <c r="E170" s="28" t="s">
        <v>358</v>
      </c>
      <c r="F170" s="29">
        <v>0.375</v>
      </c>
      <c r="G170" s="29">
        <v>0.41666666666666669</v>
      </c>
      <c r="H170" s="28">
        <v>7</v>
      </c>
      <c r="I170" s="28">
        <v>20</v>
      </c>
      <c r="J170" s="28" t="s">
        <v>198</v>
      </c>
      <c r="K170" s="28">
        <v>4</v>
      </c>
      <c r="L170" s="28">
        <v>16</v>
      </c>
      <c r="M170" s="28" t="s">
        <v>530</v>
      </c>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v>1</v>
      </c>
      <c r="BH170" s="28"/>
      <c r="BI170" s="28"/>
      <c r="BJ170" s="28">
        <v>1</v>
      </c>
      <c r="BK170" s="28"/>
      <c r="BL170" s="28">
        <v>1</v>
      </c>
      <c r="BM170" s="28"/>
      <c r="BN170" s="28"/>
      <c r="BO170" s="28"/>
      <c r="BP170" s="28"/>
      <c r="BQ170" s="28"/>
      <c r="BR170" s="28"/>
      <c r="BS170" s="28"/>
      <c r="BT170" s="28"/>
      <c r="BU170" s="28"/>
      <c r="BV170" s="28"/>
      <c r="BW170" s="28"/>
      <c r="BX170" s="28"/>
      <c r="BY170" s="28"/>
      <c r="BZ170" s="28"/>
      <c r="CA170" s="28"/>
      <c r="CB170" s="28">
        <v>1</v>
      </c>
      <c r="CC170" s="28"/>
      <c r="CD170" s="28"/>
      <c r="CE170" s="28"/>
      <c r="CF170" s="28"/>
      <c r="CG170" s="28"/>
      <c r="CH170" s="28"/>
      <c r="CI170" s="28"/>
      <c r="CJ170" s="28"/>
      <c r="CK170" s="28"/>
      <c r="CL170" s="28"/>
      <c r="CM170" s="28"/>
      <c r="CN170" s="28"/>
      <c r="CO170" s="28"/>
      <c r="CP170" s="28"/>
      <c r="CQ170" s="28"/>
      <c r="CR170" s="28"/>
      <c r="CS170" s="28"/>
      <c r="CT170" s="28">
        <v>1</v>
      </c>
      <c r="CU170" s="28">
        <v>1</v>
      </c>
      <c r="CV170" s="28"/>
      <c r="CW170" s="28"/>
      <c r="CX170" s="28"/>
      <c r="CY170" s="28"/>
      <c r="CZ170" s="28"/>
      <c r="DA170" s="28"/>
      <c r="DB170" s="28"/>
      <c r="DC170" s="28"/>
      <c r="DD170" s="28"/>
      <c r="DE170" s="28"/>
      <c r="DF170" s="28"/>
      <c r="DG170" s="28">
        <v>1</v>
      </c>
      <c r="DH170" s="28"/>
      <c r="DI170" s="28">
        <v>1</v>
      </c>
      <c r="DJ170" s="28"/>
      <c r="DK170" s="28"/>
      <c r="DL170" s="28"/>
      <c r="DM170" s="28"/>
      <c r="DN170" s="28"/>
      <c r="DO170" s="28">
        <v>1</v>
      </c>
      <c r="DP170" s="28"/>
      <c r="DQ170" s="28"/>
      <c r="DR170" s="28"/>
      <c r="DS170" s="28"/>
      <c r="DT170" s="28"/>
      <c r="DU170" s="28"/>
      <c r="DV170" s="28"/>
      <c r="DW170" s="28"/>
      <c r="DX170" s="28"/>
      <c r="DY170" s="28"/>
      <c r="DZ170" s="28"/>
      <c r="EA170" s="28"/>
      <c r="EB170" s="28">
        <v>1</v>
      </c>
      <c r="EC170" s="28">
        <v>1</v>
      </c>
      <c r="ED170" s="28"/>
      <c r="EE170" s="28"/>
      <c r="EF170" s="28"/>
      <c r="EG170" s="28"/>
      <c r="EH170" s="28"/>
      <c r="EI170" s="28"/>
      <c r="EJ170" s="28"/>
      <c r="EK170" s="28"/>
      <c r="EL170" s="28"/>
      <c r="EM170" s="28"/>
      <c r="EN170" s="28"/>
      <c r="EO170" s="28"/>
      <c r="EP170" s="28"/>
      <c r="EQ170" s="28"/>
      <c r="ER170" s="28"/>
      <c r="ES170" s="28"/>
      <c r="ET170" s="28"/>
      <c r="EU170" s="28"/>
      <c r="EV170" s="28"/>
      <c r="EW170" s="28"/>
      <c r="EX170" s="28"/>
      <c r="EY170" s="28"/>
      <c r="EZ170" s="28"/>
      <c r="FA170" s="28"/>
      <c r="FB170" s="28">
        <v>1</v>
      </c>
      <c r="FC170" s="28"/>
      <c r="FD170" s="28"/>
      <c r="FE170" s="28"/>
      <c r="FF170" s="28"/>
      <c r="FG170" s="28"/>
      <c r="FH170" s="28"/>
      <c r="FI170" s="28"/>
      <c r="FJ170" s="28"/>
      <c r="FK170" s="28"/>
      <c r="FL170" s="28">
        <v>1</v>
      </c>
      <c r="FM170" s="28"/>
      <c r="FN170" s="28"/>
      <c r="FO170" s="28"/>
      <c r="FP170" s="28"/>
      <c r="FQ170" s="28"/>
      <c r="FR170" s="28">
        <v>1</v>
      </c>
      <c r="FS170" s="28"/>
      <c r="FT170" s="28"/>
      <c r="FU170" s="28"/>
      <c r="FV170" s="28">
        <v>1</v>
      </c>
      <c r="FW170" s="28"/>
      <c r="FX170" s="28"/>
      <c r="FY170" s="28"/>
      <c r="FZ170" s="28"/>
      <c r="GA170" s="28"/>
      <c r="GB170" s="28"/>
      <c r="GC170" s="28"/>
      <c r="GD170" s="28"/>
      <c r="GE170" s="28"/>
      <c r="GF170" s="28">
        <v>1</v>
      </c>
    </row>
    <row r="171" spans="1:188" ht="13" x14ac:dyDescent="0.15">
      <c r="A171" s="13">
        <v>43236</v>
      </c>
      <c r="B171" s="3" t="s">
        <v>266</v>
      </c>
      <c r="C171" s="3">
        <v>22.060683999999998</v>
      </c>
      <c r="D171" s="3">
        <v>-159.318512</v>
      </c>
      <c r="E171" s="3" t="s">
        <v>347</v>
      </c>
      <c r="F171" s="14">
        <v>0.40625</v>
      </c>
      <c r="G171" s="14">
        <v>0.45555555555555555</v>
      </c>
      <c r="H171" s="3">
        <v>10</v>
      </c>
      <c r="I171" s="3">
        <v>7</v>
      </c>
      <c r="J171" s="3" t="s">
        <v>198</v>
      </c>
      <c r="K171" s="3">
        <v>10</v>
      </c>
      <c r="L171" s="3">
        <v>69</v>
      </c>
      <c r="M171" s="3" t="s">
        <v>433</v>
      </c>
      <c r="T171" s="3"/>
      <c r="U171" s="3"/>
      <c r="V171" s="3"/>
      <c r="W171" s="3">
        <v>1</v>
      </c>
      <c r="Z171" s="3"/>
      <c r="AA171" s="3">
        <v>1</v>
      </c>
      <c r="AB171" s="3">
        <v>1</v>
      </c>
      <c r="AC171" s="3">
        <v>1</v>
      </c>
      <c r="AH171" s="3">
        <v>1</v>
      </c>
      <c r="AK171" s="3"/>
      <c r="AL171" s="3">
        <v>1</v>
      </c>
      <c r="AM171" s="3">
        <v>1</v>
      </c>
      <c r="AS171" s="3">
        <v>1</v>
      </c>
      <c r="AZ171" s="3"/>
      <c r="BA171" s="3">
        <v>1</v>
      </c>
      <c r="BD171" s="3">
        <v>1</v>
      </c>
      <c r="BJ171" s="3">
        <v>1</v>
      </c>
      <c r="BM171" s="3">
        <v>1</v>
      </c>
      <c r="BS171" s="3">
        <v>1</v>
      </c>
      <c r="BU171" s="3">
        <v>1</v>
      </c>
      <c r="BV171" s="3">
        <v>1</v>
      </c>
      <c r="BY171" s="3">
        <v>1</v>
      </c>
      <c r="CC171" s="3">
        <v>1</v>
      </c>
      <c r="CE171" s="3">
        <v>1</v>
      </c>
      <c r="CI171" s="3"/>
      <c r="CJ171" s="3">
        <v>1</v>
      </c>
      <c r="CR171" s="3">
        <v>1</v>
      </c>
      <c r="DC171" s="3">
        <v>1</v>
      </c>
      <c r="DE171" s="3"/>
      <c r="DF171" s="3">
        <v>1</v>
      </c>
      <c r="DL171" s="3">
        <v>1</v>
      </c>
      <c r="DQ171" s="3"/>
      <c r="DR171" s="3">
        <v>1</v>
      </c>
      <c r="DT171" s="3"/>
      <c r="DU171" s="3">
        <v>1</v>
      </c>
      <c r="DZ171" s="3">
        <v>1</v>
      </c>
      <c r="EH171" s="3"/>
      <c r="EI171" s="3">
        <v>1</v>
      </c>
      <c r="ES171" s="3"/>
      <c r="ET171" s="3"/>
      <c r="EU171" s="3">
        <v>1</v>
      </c>
      <c r="FA171" s="3">
        <v>1</v>
      </c>
      <c r="FC171" s="3"/>
      <c r="FE171" s="3">
        <v>1</v>
      </c>
      <c r="FQ171" s="3">
        <v>1</v>
      </c>
      <c r="FR171" s="3">
        <v>1</v>
      </c>
      <c r="FZ171" s="3">
        <v>1</v>
      </c>
      <c r="GD171" s="3"/>
      <c r="GE171" s="3">
        <v>1</v>
      </c>
      <c r="GF171" s="3">
        <v>1</v>
      </c>
    </row>
    <row r="172" spans="1:188" ht="13" x14ac:dyDescent="0.15">
      <c r="A172" s="27">
        <v>43237</v>
      </c>
      <c r="B172" s="28" t="s">
        <v>216</v>
      </c>
      <c r="C172" s="28">
        <v>21.3002</v>
      </c>
      <c r="D172" s="28">
        <v>-157.882599</v>
      </c>
      <c r="E172" s="28" t="s">
        <v>413</v>
      </c>
      <c r="F172" s="29">
        <v>0.375</v>
      </c>
      <c r="G172" s="29">
        <v>0.45833333333333331</v>
      </c>
      <c r="H172" s="28">
        <v>7</v>
      </c>
      <c r="I172" s="28">
        <v>15</v>
      </c>
      <c r="J172" s="28" t="s">
        <v>198</v>
      </c>
      <c r="K172" s="28">
        <v>5</v>
      </c>
      <c r="L172" s="28">
        <v>26</v>
      </c>
      <c r="M172" s="28" t="s">
        <v>531</v>
      </c>
      <c r="N172" s="28"/>
      <c r="O172" s="28"/>
      <c r="P172" s="28"/>
      <c r="Q172" s="28"/>
      <c r="R172" s="28"/>
      <c r="S172" s="28"/>
      <c r="T172" s="28"/>
      <c r="U172" s="28"/>
      <c r="V172" s="28"/>
      <c r="W172" s="28"/>
      <c r="X172" s="28"/>
      <c r="Y172" s="28">
        <v>1</v>
      </c>
      <c r="Z172" s="28"/>
      <c r="AA172" s="28">
        <v>1</v>
      </c>
      <c r="AB172" s="28">
        <v>1</v>
      </c>
      <c r="AC172" s="28"/>
      <c r="AD172" s="28"/>
      <c r="AE172" s="28"/>
      <c r="AF172" s="28"/>
      <c r="AG172" s="28"/>
      <c r="AH172" s="28"/>
      <c r="AI172" s="28"/>
      <c r="AJ172" s="28"/>
      <c r="AK172" s="28"/>
      <c r="AL172" s="28">
        <v>1</v>
      </c>
      <c r="AM172" s="28"/>
      <c r="AN172" s="28"/>
      <c r="AO172" s="28"/>
      <c r="AP172" s="28"/>
      <c r="AQ172" s="28"/>
      <c r="AR172" s="28"/>
      <c r="AS172" s="28"/>
      <c r="AT172" s="28"/>
      <c r="AU172" s="28"/>
      <c r="AV172" s="28"/>
      <c r="AW172" s="28"/>
      <c r="AX172" s="28"/>
      <c r="AY172" s="28"/>
      <c r="AZ172" s="28"/>
      <c r="BA172" s="28"/>
      <c r="BB172" s="28">
        <v>1</v>
      </c>
      <c r="BC172" s="28"/>
      <c r="BD172" s="28">
        <v>1</v>
      </c>
      <c r="BE172" s="28"/>
      <c r="BF172" s="28"/>
      <c r="BG172" s="28"/>
      <c r="BH172" s="28"/>
      <c r="BI172" s="28"/>
      <c r="BJ172" s="28"/>
      <c r="BK172" s="28"/>
      <c r="BL172" s="28">
        <v>1</v>
      </c>
      <c r="BM172" s="28"/>
      <c r="BN172" s="28"/>
      <c r="BO172" s="28"/>
      <c r="BP172" s="28"/>
      <c r="BQ172" s="28"/>
      <c r="BR172" s="28"/>
      <c r="BS172" s="28">
        <v>1</v>
      </c>
      <c r="BT172" s="28"/>
      <c r="BU172" s="28"/>
      <c r="BV172" s="28"/>
      <c r="BW172" s="28"/>
      <c r="BX172" s="28"/>
      <c r="BY172" s="28">
        <v>1</v>
      </c>
      <c r="BZ172" s="28"/>
      <c r="CA172" s="28"/>
      <c r="CB172" s="28"/>
      <c r="CC172" s="28"/>
      <c r="CD172" s="28"/>
      <c r="CE172" s="28">
        <v>1</v>
      </c>
      <c r="CF172" s="28"/>
      <c r="CG172" s="28"/>
      <c r="CH172" s="28"/>
      <c r="CI172" s="28"/>
      <c r="CJ172" s="28"/>
      <c r="CK172" s="28"/>
      <c r="CL172" s="28"/>
      <c r="CM172" s="28"/>
      <c r="CN172" s="28"/>
      <c r="CO172" s="28"/>
      <c r="CP172" s="28"/>
      <c r="CQ172" s="28"/>
      <c r="CR172" s="28"/>
      <c r="CS172" s="28"/>
      <c r="CT172" s="28"/>
      <c r="CU172" s="28"/>
      <c r="CV172" s="28"/>
      <c r="CW172" s="28"/>
      <c r="CX172" s="28"/>
      <c r="CY172" s="28"/>
      <c r="CZ172" s="28"/>
      <c r="DA172" s="28"/>
      <c r="DB172" s="28"/>
      <c r="DC172" s="28"/>
      <c r="DD172" s="28"/>
      <c r="DE172" s="28"/>
      <c r="DF172" s="28">
        <v>1</v>
      </c>
      <c r="DG172" s="28"/>
      <c r="DH172" s="28"/>
      <c r="DI172" s="28"/>
      <c r="DJ172" s="28"/>
      <c r="DK172" s="28"/>
      <c r="DL172" s="28"/>
      <c r="DM172" s="28"/>
      <c r="DN172" s="28"/>
      <c r="DO172" s="28"/>
      <c r="DP172" s="28"/>
      <c r="DQ172" s="28"/>
      <c r="DR172" s="28"/>
      <c r="DS172" s="28"/>
      <c r="DT172" s="28"/>
      <c r="DU172" s="28"/>
      <c r="DV172" s="28"/>
      <c r="DW172" s="28"/>
      <c r="DX172" s="28"/>
      <c r="DY172" s="28"/>
      <c r="DZ172" s="28"/>
      <c r="EA172" s="28"/>
      <c r="EB172" s="28">
        <v>1</v>
      </c>
      <c r="EC172" s="28"/>
      <c r="ED172" s="28"/>
      <c r="EE172" s="28"/>
      <c r="EF172" s="28"/>
      <c r="EG172" s="28"/>
      <c r="EH172" s="28"/>
      <c r="EI172" s="28"/>
      <c r="EJ172" s="28"/>
      <c r="EK172" s="28"/>
      <c r="EL172" s="28"/>
      <c r="EM172" s="28"/>
      <c r="EN172" s="28"/>
      <c r="EO172" s="28"/>
      <c r="EP172" s="28"/>
      <c r="EQ172" s="28"/>
      <c r="ER172" s="28"/>
      <c r="ES172" s="28"/>
      <c r="ET172" s="28"/>
      <c r="EU172" s="28"/>
      <c r="EV172" s="28"/>
      <c r="EW172" s="28"/>
      <c r="EX172" s="28"/>
      <c r="EY172" s="28"/>
      <c r="EZ172" s="28"/>
      <c r="FA172" s="28"/>
      <c r="FB172" s="28"/>
      <c r="FC172" s="28"/>
      <c r="FD172" s="28"/>
      <c r="FE172" s="28"/>
      <c r="FF172" s="28"/>
      <c r="FG172" s="28"/>
      <c r="FH172" s="28"/>
      <c r="FI172" s="28"/>
      <c r="FJ172" s="28"/>
      <c r="FK172" s="28"/>
      <c r="FL172" s="28"/>
      <c r="FM172" s="28"/>
      <c r="FN172" s="28"/>
      <c r="FO172" s="28"/>
      <c r="FP172" s="28"/>
      <c r="FQ172" s="28"/>
      <c r="FR172" s="28">
        <v>1</v>
      </c>
      <c r="FS172" s="28"/>
      <c r="FT172" s="28"/>
      <c r="FU172" s="28"/>
      <c r="FV172" s="28"/>
      <c r="FW172" s="28"/>
      <c r="FX172" s="28"/>
      <c r="FY172" s="28"/>
      <c r="FZ172" s="28"/>
      <c r="GA172" s="28"/>
      <c r="GB172" s="28"/>
      <c r="GC172" s="28"/>
      <c r="GD172" s="28"/>
      <c r="GE172" s="28"/>
      <c r="GF172" s="28"/>
    </row>
    <row r="173" spans="1:188" ht="13" x14ac:dyDescent="0.15">
      <c r="A173" s="13">
        <v>43238</v>
      </c>
      <c r="B173" s="3" t="s">
        <v>201</v>
      </c>
      <c r="C173" s="3">
        <v>21.25544</v>
      </c>
      <c r="D173" s="3">
        <v>-157.810303</v>
      </c>
      <c r="E173" s="3" t="s">
        <v>325</v>
      </c>
      <c r="F173" s="14">
        <v>0.42708333333333331</v>
      </c>
      <c r="G173" s="14">
        <v>0.46736111111111112</v>
      </c>
      <c r="H173" s="3">
        <v>5</v>
      </c>
      <c r="I173" s="3">
        <v>10</v>
      </c>
      <c r="J173" s="3" t="s">
        <v>318</v>
      </c>
      <c r="K173" s="3">
        <v>5</v>
      </c>
      <c r="L173" s="3">
        <v>25</v>
      </c>
      <c r="Q173" s="3">
        <v>1</v>
      </c>
      <c r="AH173" s="3">
        <v>1</v>
      </c>
      <c r="AK173" s="3">
        <v>1</v>
      </c>
      <c r="AN173" s="3"/>
      <c r="AO173" s="3">
        <v>1</v>
      </c>
      <c r="AY173" s="3">
        <v>1</v>
      </c>
      <c r="BB173" s="3">
        <v>1</v>
      </c>
      <c r="BK173" s="3">
        <v>1</v>
      </c>
      <c r="BL173" s="3">
        <v>1</v>
      </c>
      <c r="BP173" s="3">
        <v>1</v>
      </c>
      <c r="BV173" s="3">
        <v>1</v>
      </c>
      <c r="BW173" s="3">
        <v>1</v>
      </c>
      <c r="CH173" s="3">
        <v>1</v>
      </c>
      <c r="CI173" s="3"/>
      <c r="CJ173" s="3">
        <v>1</v>
      </c>
      <c r="CR173" s="3">
        <v>1</v>
      </c>
      <c r="DC173" s="3">
        <v>1</v>
      </c>
      <c r="DE173" s="3"/>
      <c r="DF173" s="3">
        <v>1</v>
      </c>
      <c r="DQ173" s="3"/>
      <c r="DR173" s="3">
        <v>1</v>
      </c>
      <c r="DT173" s="3"/>
      <c r="DU173" s="3">
        <v>1</v>
      </c>
      <c r="DY173" s="3">
        <v>1</v>
      </c>
      <c r="EB173" s="3">
        <v>1</v>
      </c>
      <c r="EH173" s="3"/>
      <c r="EI173" s="3">
        <v>1</v>
      </c>
      <c r="EW173" s="3">
        <v>1</v>
      </c>
      <c r="FA173" s="3">
        <v>1</v>
      </c>
      <c r="FL173" s="3">
        <v>1</v>
      </c>
      <c r="FR173" s="3">
        <v>1</v>
      </c>
    </row>
    <row r="174" spans="1:188" ht="13" x14ac:dyDescent="0.15">
      <c r="A174" s="24">
        <v>43238</v>
      </c>
      <c r="B174" s="25" t="s">
        <v>259</v>
      </c>
      <c r="C174" s="25">
        <v>19.737894000000001</v>
      </c>
      <c r="D174" s="25">
        <v>-155.03405799999999</v>
      </c>
      <c r="E174" s="25" t="s">
        <v>358</v>
      </c>
      <c r="F174" s="26">
        <v>0.3888888888888889</v>
      </c>
      <c r="G174" s="26">
        <v>0.41666666666666669</v>
      </c>
      <c r="H174" s="25">
        <v>7</v>
      </c>
      <c r="I174" s="25">
        <v>20</v>
      </c>
      <c r="J174" s="25" t="s">
        <v>198</v>
      </c>
      <c r="K174" s="25">
        <v>12</v>
      </c>
      <c r="L174" s="25">
        <v>52</v>
      </c>
      <c r="M174" s="25" t="s">
        <v>434</v>
      </c>
      <c r="N174" s="25"/>
      <c r="O174" s="25"/>
      <c r="P174" s="25"/>
      <c r="Q174" s="25"/>
      <c r="R174" s="25">
        <v>1</v>
      </c>
      <c r="S174" s="25"/>
      <c r="T174" s="25"/>
      <c r="U174" s="25"/>
      <c r="V174" s="25"/>
      <c r="W174" s="25"/>
      <c r="X174" s="25"/>
      <c r="Y174" s="25"/>
      <c r="Z174" s="25"/>
      <c r="AA174" s="25"/>
      <c r="AB174" s="25"/>
      <c r="AC174" s="25"/>
      <c r="AD174" s="25"/>
      <c r="AE174" s="25">
        <v>1</v>
      </c>
      <c r="AF174" s="25">
        <v>1</v>
      </c>
      <c r="AG174" s="25"/>
      <c r="AH174" s="25"/>
      <c r="AI174" s="25"/>
      <c r="AJ174" s="25"/>
      <c r="AK174" s="25">
        <v>1</v>
      </c>
      <c r="AL174" s="25"/>
      <c r="AM174" s="25"/>
      <c r="AN174" s="25"/>
      <c r="AO174" s="25">
        <v>1</v>
      </c>
      <c r="AP174" s="25"/>
      <c r="AQ174" s="25"/>
      <c r="AR174" s="25"/>
      <c r="AS174" s="25"/>
      <c r="AT174" s="25"/>
      <c r="AU174" s="25"/>
      <c r="AV174" s="25"/>
      <c r="AW174" s="25"/>
      <c r="AX174" s="25"/>
      <c r="AY174" s="25"/>
      <c r="AZ174" s="25"/>
      <c r="BA174" s="25">
        <v>1</v>
      </c>
      <c r="BB174" s="25"/>
      <c r="BC174" s="25"/>
      <c r="BD174" s="25"/>
      <c r="BE174" s="25"/>
      <c r="BF174" s="25"/>
      <c r="BG174" s="25"/>
      <c r="BH174" s="25"/>
      <c r="BI174" s="25"/>
      <c r="BJ174" s="25">
        <v>1</v>
      </c>
      <c r="BK174" s="25">
        <v>1</v>
      </c>
      <c r="BL174" s="25">
        <v>1</v>
      </c>
      <c r="BM174" s="25"/>
      <c r="BN174" s="25"/>
      <c r="BO174" s="25"/>
      <c r="BP174" s="25"/>
      <c r="BQ174" s="25"/>
      <c r="BR174" s="25"/>
      <c r="BS174" s="25"/>
      <c r="BT174" s="25"/>
      <c r="BU174" s="25"/>
      <c r="BV174" s="25"/>
      <c r="BW174" s="25"/>
      <c r="BX174" s="25"/>
      <c r="BY174" s="25"/>
      <c r="BZ174" s="25"/>
      <c r="CA174" s="25"/>
      <c r="CB174" s="25">
        <v>1</v>
      </c>
      <c r="CC174" s="25">
        <v>1</v>
      </c>
      <c r="CD174" s="25"/>
      <c r="CE174" s="25"/>
      <c r="CF174" s="25"/>
      <c r="CG174" s="25"/>
      <c r="CH174" s="25"/>
      <c r="CI174" s="25"/>
      <c r="CJ174" s="25"/>
      <c r="CK174" s="25"/>
      <c r="CL174" s="25"/>
      <c r="CM174" s="25"/>
      <c r="CN174" s="25"/>
      <c r="CO174" s="25"/>
      <c r="CP174" s="25"/>
      <c r="CQ174" s="25"/>
      <c r="CR174" s="25"/>
      <c r="CS174" s="25"/>
      <c r="CT174" s="25">
        <v>1</v>
      </c>
      <c r="CU174" s="25"/>
      <c r="CV174" s="25"/>
      <c r="CW174" s="25"/>
      <c r="CX174" s="25"/>
      <c r="CY174" s="25"/>
      <c r="CZ174" s="25"/>
      <c r="DA174" s="25"/>
      <c r="DB174" s="25"/>
      <c r="DC174" s="25"/>
      <c r="DD174" s="25"/>
      <c r="DE174" s="25"/>
      <c r="DF174" s="25"/>
      <c r="DG174" s="25">
        <v>1</v>
      </c>
      <c r="DH174" s="25"/>
      <c r="DI174" s="25"/>
      <c r="DJ174" s="25"/>
      <c r="DK174" s="25"/>
      <c r="DL174" s="25"/>
      <c r="DM174" s="25"/>
      <c r="DN174" s="25"/>
      <c r="DO174" s="25"/>
      <c r="DP174" s="25"/>
      <c r="DQ174" s="25"/>
      <c r="DR174" s="25"/>
      <c r="DS174" s="25"/>
      <c r="DT174" s="25"/>
      <c r="DU174" s="25"/>
      <c r="DV174" s="25"/>
      <c r="DW174" s="25"/>
      <c r="DX174" s="25"/>
      <c r="DY174" s="25"/>
      <c r="DZ174" s="25"/>
      <c r="EA174" s="25"/>
      <c r="EB174" s="25"/>
      <c r="EC174" s="25">
        <v>1</v>
      </c>
      <c r="ED174" s="25"/>
      <c r="EE174" s="25"/>
      <c r="EF174" s="25"/>
      <c r="EG174" s="25"/>
      <c r="EH174" s="25">
        <v>1</v>
      </c>
      <c r="EI174" s="25"/>
      <c r="EJ174" s="25"/>
      <c r="EK174" s="25"/>
      <c r="EL174" s="25"/>
      <c r="EM174" s="25"/>
      <c r="EN174" s="25"/>
      <c r="EO174" s="25"/>
      <c r="EP174" s="25"/>
      <c r="EQ174" s="25"/>
      <c r="ER174" s="25"/>
      <c r="ES174" s="25"/>
      <c r="ET174" s="25"/>
      <c r="EU174" s="25"/>
      <c r="EV174" s="25"/>
      <c r="EW174" s="25">
        <v>1</v>
      </c>
      <c r="EX174" s="25"/>
      <c r="EY174" s="25"/>
      <c r="EZ174" s="25"/>
      <c r="FA174" s="25"/>
      <c r="FB174" s="25">
        <v>1</v>
      </c>
      <c r="FC174" s="25"/>
      <c r="FD174" s="25"/>
      <c r="FE174" s="25">
        <v>1</v>
      </c>
      <c r="FF174" s="25"/>
      <c r="FG174" s="25"/>
      <c r="FH174" s="25"/>
      <c r="FI174" s="25"/>
      <c r="FJ174" s="25"/>
      <c r="FK174" s="25"/>
      <c r="FL174" s="25">
        <v>1</v>
      </c>
      <c r="FM174" s="25"/>
      <c r="FN174" s="25"/>
      <c r="FO174" s="25"/>
      <c r="FP174" s="25">
        <v>1</v>
      </c>
      <c r="FQ174" s="25"/>
      <c r="FR174" s="25">
        <v>1</v>
      </c>
      <c r="FS174" s="25">
        <v>1</v>
      </c>
      <c r="FT174" s="25"/>
      <c r="FU174" s="25"/>
      <c r="FV174" s="25">
        <v>1</v>
      </c>
      <c r="FW174" s="25"/>
      <c r="FX174" s="25"/>
      <c r="FY174" s="25"/>
      <c r="FZ174" s="25">
        <v>1</v>
      </c>
      <c r="GA174" s="25"/>
      <c r="GB174" s="25"/>
      <c r="GC174" s="25"/>
      <c r="GD174" s="25"/>
      <c r="GE174" s="25">
        <v>1</v>
      </c>
      <c r="GF174" s="25">
        <v>1</v>
      </c>
    </row>
    <row r="175" spans="1:188" ht="13" x14ac:dyDescent="0.15">
      <c r="A175" s="19">
        <v>43238</v>
      </c>
      <c r="B175" s="20" t="s">
        <v>246</v>
      </c>
      <c r="C175" s="20"/>
      <c r="D175" s="20"/>
      <c r="E175" s="20"/>
      <c r="F175" s="21"/>
      <c r="G175" s="21"/>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c r="CL175" s="20"/>
      <c r="CM175" s="20"/>
      <c r="CN175" s="20"/>
      <c r="CO175" s="20"/>
      <c r="CP175" s="20"/>
      <c r="CQ175" s="20"/>
      <c r="CR175" s="20"/>
      <c r="CS175" s="20"/>
      <c r="CT175" s="20"/>
      <c r="CU175" s="20"/>
      <c r="CV175" s="20"/>
      <c r="CW175" s="20"/>
      <c r="CX175" s="20"/>
      <c r="CY175" s="20"/>
      <c r="CZ175" s="20"/>
      <c r="DA175" s="20"/>
      <c r="DB175" s="20"/>
      <c r="DC175" s="20"/>
      <c r="DD175" s="20"/>
      <c r="DE175" s="20"/>
      <c r="DF175" s="20"/>
      <c r="DG175" s="20"/>
      <c r="DH175" s="20"/>
      <c r="DI175" s="20"/>
      <c r="DJ175" s="20"/>
      <c r="DK175" s="20"/>
      <c r="DL175" s="20"/>
      <c r="DM175" s="20"/>
      <c r="DN175" s="20"/>
      <c r="DO175" s="20"/>
      <c r="DP175" s="20"/>
      <c r="DQ175" s="20"/>
      <c r="DR175" s="20"/>
      <c r="DS175" s="20"/>
      <c r="DT175" s="20"/>
      <c r="DU175" s="20"/>
      <c r="DV175" s="20"/>
      <c r="DW175" s="20"/>
      <c r="DX175" s="20"/>
      <c r="DY175" s="20"/>
      <c r="DZ175" s="20"/>
      <c r="EA175" s="20"/>
      <c r="EB175" s="20"/>
      <c r="EC175" s="20"/>
      <c r="ED175" s="20"/>
      <c r="EE175" s="20"/>
      <c r="EF175" s="20"/>
      <c r="EG175" s="20"/>
      <c r="EH175" s="20"/>
      <c r="EI175" s="20"/>
      <c r="EJ175" s="20"/>
      <c r="EK175" s="20"/>
      <c r="EL175" s="20"/>
      <c r="EM175" s="20"/>
      <c r="EN175" s="20"/>
      <c r="EO175" s="20"/>
      <c r="EP175" s="20"/>
      <c r="EQ175" s="20"/>
      <c r="ER175" s="20"/>
      <c r="ES175" s="20"/>
      <c r="ET175" s="20"/>
      <c r="EU175" s="20"/>
      <c r="EV175" s="20"/>
      <c r="EW175" s="20"/>
      <c r="EX175" s="20"/>
      <c r="EY175" s="20"/>
      <c r="EZ175" s="20"/>
      <c r="FA175" s="20"/>
      <c r="FB175" s="20"/>
      <c r="FC175" s="20"/>
      <c r="FD175" s="20"/>
      <c r="FE175" s="20"/>
      <c r="FF175" s="20"/>
      <c r="FG175" s="20"/>
      <c r="FH175" s="20"/>
      <c r="FI175" s="20"/>
      <c r="FJ175" s="20"/>
      <c r="FK175" s="20"/>
      <c r="FL175" s="20"/>
      <c r="FM175" s="20"/>
      <c r="FN175" s="20"/>
      <c r="FO175" s="20"/>
      <c r="FP175" s="20"/>
      <c r="FQ175" s="20"/>
      <c r="FR175" s="20"/>
      <c r="FS175" s="20"/>
      <c r="FT175" s="20"/>
      <c r="FU175" s="20"/>
      <c r="FV175" s="20"/>
      <c r="FW175" s="20"/>
      <c r="FX175" s="20"/>
      <c r="FY175" s="20"/>
      <c r="FZ175" s="20"/>
      <c r="GA175" s="20"/>
      <c r="GB175" s="20"/>
      <c r="GC175" s="20"/>
      <c r="GD175" s="20"/>
      <c r="GE175" s="20"/>
      <c r="GF175" s="20"/>
    </row>
    <row r="176" spans="1:188" ht="13" x14ac:dyDescent="0.15">
      <c r="A176" s="27">
        <v>43239</v>
      </c>
      <c r="B176" s="28" t="s">
        <v>369</v>
      </c>
      <c r="C176" s="28">
        <v>21.888725000000001</v>
      </c>
      <c r="D176" s="28">
        <v>-159.41641200000001</v>
      </c>
      <c r="E176" s="28" t="s">
        <v>321</v>
      </c>
      <c r="F176" s="29">
        <v>0.45694444444444443</v>
      </c>
      <c r="G176" s="29">
        <v>0.47569444444444442</v>
      </c>
      <c r="H176" s="28">
        <v>3</v>
      </c>
      <c r="I176" s="28">
        <v>4.5</v>
      </c>
      <c r="J176" s="28" t="s">
        <v>314</v>
      </c>
      <c r="K176" s="28">
        <v>10</v>
      </c>
      <c r="L176" s="28">
        <v>9</v>
      </c>
      <c r="M176" s="28" t="s">
        <v>532</v>
      </c>
      <c r="N176" s="28"/>
      <c r="O176" s="28"/>
      <c r="P176" s="28"/>
      <c r="Q176" s="28"/>
      <c r="R176" s="28"/>
      <c r="S176" s="28"/>
      <c r="T176" s="28"/>
      <c r="U176" s="28"/>
      <c r="V176" s="28"/>
      <c r="W176" s="28"/>
      <c r="X176" s="28"/>
      <c r="Y176" s="28"/>
      <c r="Z176" s="28"/>
      <c r="AA176" s="28">
        <v>1</v>
      </c>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v>1</v>
      </c>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c r="CP176" s="28"/>
      <c r="CQ176" s="28"/>
      <c r="CR176" s="28"/>
      <c r="CS176" s="28"/>
      <c r="CT176" s="28"/>
      <c r="CU176" s="28"/>
      <c r="CV176" s="28"/>
      <c r="CW176" s="28"/>
      <c r="CX176" s="28"/>
      <c r="CY176" s="28"/>
      <c r="CZ176" s="28"/>
      <c r="DA176" s="28"/>
      <c r="DB176" s="28"/>
      <c r="DC176" s="28"/>
      <c r="DD176" s="28"/>
      <c r="DE176" s="28"/>
      <c r="DF176" s="28"/>
      <c r="DG176" s="28"/>
      <c r="DH176" s="28"/>
      <c r="DI176" s="28"/>
      <c r="DJ176" s="28"/>
      <c r="DK176" s="28"/>
      <c r="DL176" s="28"/>
      <c r="DM176" s="28"/>
      <c r="DN176" s="28"/>
      <c r="DO176" s="28"/>
      <c r="DP176" s="28"/>
      <c r="DQ176" s="28"/>
      <c r="DR176" s="28">
        <v>1</v>
      </c>
      <c r="DS176" s="28"/>
      <c r="DT176" s="28"/>
      <c r="DU176" s="28"/>
      <c r="DV176" s="28"/>
      <c r="DW176" s="28"/>
      <c r="DX176" s="28"/>
      <c r="DY176" s="28"/>
      <c r="DZ176" s="28"/>
      <c r="EA176" s="28"/>
      <c r="EB176" s="28"/>
      <c r="EC176" s="28"/>
      <c r="ED176" s="28"/>
      <c r="EE176" s="28"/>
      <c r="EF176" s="28"/>
      <c r="EG176" s="28"/>
      <c r="EH176" s="28"/>
      <c r="EI176" s="28"/>
      <c r="EJ176" s="28"/>
      <c r="EK176" s="28"/>
      <c r="EL176" s="28"/>
      <c r="EM176" s="28"/>
      <c r="EN176" s="28"/>
      <c r="EO176" s="28"/>
      <c r="EP176" s="28"/>
      <c r="EQ176" s="28"/>
      <c r="ER176" s="28"/>
      <c r="ES176" s="28"/>
      <c r="ET176" s="28"/>
      <c r="EU176" s="28"/>
      <c r="EV176" s="28"/>
      <c r="EW176" s="28"/>
      <c r="EX176" s="28"/>
      <c r="EY176" s="28"/>
      <c r="EZ176" s="28"/>
      <c r="FA176" s="28">
        <v>1</v>
      </c>
      <c r="FB176" s="28"/>
      <c r="FC176" s="28"/>
      <c r="FD176" s="28"/>
      <c r="FE176" s="28"/>
      <c r="FF176" s="28"/>
      <c r="FG176" s="28"/>
      <c r="FH176" s="28"/>
      <c r="FI176" s="28"/>
      <c r="FJ176" s="28"/>
      <c r="FK176" s="28"/>
      <c r="FL176" s="28"/>
      <c r="FM176" s="28"/>
      <c r="FN176" s="28"/>
      <c r="FO176" s="28"/>
      <c r="FP176" s="28"/>
      <c r="FQ176" s="28"/>
      <c r="FR176" s="28">
        <v>1</v>
      </c>
      <c r="FS176" s="28"/>
      <c r="FT176" s="28">
        <v>1</v>
      </c>
      <c r="FU176" s="28"/>
      <c r="FV176" s="28">
        <v>1</v>
      </c>
      <c r="FW176" s="28"/>
      <c r="FX176" s="28"/>
      <c r="FY176" s="28"/>
      <c r="FZ176" s="28"/>
      <c r="GA176" s="28"/>
      <c r="GB176" s="28"/>
      <c r="GC176" s="28"/>
      <c r="GD176" s="28"/>
      <c r="GE176" s="28"/>
      <c r="GF176" s="28"/>
    </row>
    <row r="177" spans="1:188" ht="13" x14ac:dyDescent="0.15">
      <c r="A177" s="27">
        <v>43241</v>
      </c>
      <c r="B177" s="28" t="s">
        <v>230</v>
      </c>
      <c r="C177" s="28">
        <v>20.753699999999998</v>
      </c>
      <c r="D177" s="28">
        <v>-156.46090699999999</v>
      </c>
      <c r="E177" s="28" t="s">
        <v>397</v>
      </c>
      <c r="F177" s="29">
        <v>0.46875</v>
      </c>
      <c r="G177" s="29">
        <v>0.54166666666666663</v>
      </c>
      <c r="H177" s="28">
        <v>5</v>
      </c>
      <c r="I177" s="28">
        <v>12</v>
      </c>
      <c r="J177" s="28" t="s">
        <v>198</v>
      </c>
      <c r="K177" s="28">
        <v>7</v>
      </c>
      <c r="L177" s="28">
        <v>19</v>
      </c>
      <c r="M177" s="28" t="s">
        <v>533</v>
      </c>
      <c r="N177" s="28"/>
      <c r="O177" s="28"/>
      <c r="P177" s="28"/>
      <c r="Q177" s="28">
        <v>1</v>
      </c>
      <c r="R177" s="28"/>
      <c r="S177" s="28"/>
      <c r="T177" s="28"/>
      <c r="U177" s="28"/>
      <c r="V177" s="28"/>
      <c r="W177" s="28"/>
      <c r="X177" s="28"/>
      <c r="Y177" s="28"/>
      <c r="Z177" s="28"/>
      <c r="AA177" s="28">
        <v>1</v>
      </c>
      <c r="AB177" s="28"/>
      <c r="AC177" s="28"/>
      <c r="AD177" s="28"/>
      <c r="AE177" s="28"/>
      <c r="AF177" s="28"/>
      <c r="AG177" s="28"/>
      <c r="AH177" s="28"/>
      <c r="AI177" s="28"/>
      <c r="AJ177" s="28"/>
      <c r="AK177" s="28"/>
      <c r="AL177" s="28">
        <v>1</v>
      </c>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v>1</v>
      </c>
      <c r="BM177" s="28"/>
      <c r="BN177" s="28"/>
      <c r="BO177" s="28"/>
      <c r="BP177" s="28"/>
      <c r="BQ177" s="28"/>
      <c r="BR177" s="28"/>
      <c r="BS177" s="28"/>
      <c r="BT177" s="28"/>
      <c r="BU177" s="28"/>
      <c r="BV177" s="28"/>
      <c r="BW177" s="28"/>
      <c r="BX177" s="28"/>
      <c r="BY177" s="28"/>
      <c r="BZ177" s="28"/>
      <c r="CA177" s="28"/>
      <c r="CB177" s="28"/>
      <c r="CC177" s="28"/>
      <c r="CD177" s="28"/>
      <c r="CE177" s="28"/>
      <c r="CF177" s="28"/>
      <c r="CG177" s="28"/>
      <c r="CH177" s="28"/>
      <c r="CI177" s="28"/>
      <c r="CJ177" s="28">
        <v>1</v>
      </c>
      <c r="CK177" s="28"/>
      <c r="CL177" s="28"/>
      <c r="CM177" s="28">
        <v>1</v>
      </c>
      <c r="CN177" s="28"/>
      <c r="CO177" s="28"/>
      <c r="CP177" s="28"/>
      <c r="CQ177" s="28"/>
      <c r="CR177" s="28"/>
      <c r="CS177" s="28"/>
      <c r="CT177" s="28"/>
      <c r="CU177" s="28"/>
      <c r="CV177" s="28"/>
      <c r="CW177" s="28"/>
      <c r="CX177" s="28"/>
      <c r="CY177" s="28"/>
      <c r="CZ177" s="28"/>
      <c r="DA177" s="28"/>
      <c r="DB177" s="28"/>
      <c r="DC177" s="28"/>
      <c r="DD177" s="28"/>
      <c r="DE177" s="28"/>
      <c r="DF177" s="28">
        <v>1</v>
      </c>
      <c r="DG177" s="28"/>
      <c r="DH177" s="28"/>
      <c r="DI177" s="28"/>
      <c r="DJ177" s="28"/>
      <c r="DK177" s="28"/>
      <c r="DL177" s="28"/>
      <c r="DM177" s="28"/>
      <c r="DN177" s="28"/>
      <c r="DO177" s="28"/>
      <c r="DP177" s="28"/>
      <c r="DQ177" s="28"/>
      <c r="DR177" s="28">
        <v>1</v>
      </c>
      <c r="DS177" s="28"/>
      <c r="DT177" s="28"/>
      <c r="DU177" s="28"/>
      <c r="DV177" s="28"/>
      <c r="DW177" s="28"/>
      <c r="DX177" s="28"/>
      <c r="DY177" s="28"/>
      <c r="DZ177" s="28"/>
      <c r="EA177" s="28"/>
      <c r="EB177" s="28"/>
      <c r="EC177" s="28"/>
      <c r="ED177" s="28"/>
      <c r="EE177" s="28"/>
      <c r="EF177" s="28"/>
      <c r="EG177" s="28"/>
      <c r="EH177" s="28"/>
      <c r="EI177" s="28"/>
      <c r="EJ177" s="28"/>
      <c r="EK177" s="28"/>
      <c r="EL177" s="28"/>
      <c r="EM177" s="28"/>
      <c r="EN177" s="28"/>
      <c r="EO177" s="28"/>
      <c r="EP177" s="28"/>
      <c r="EQ177" s="28"/>
      <c r="ER177" s="28"/>
      <c r="ES177" s="28"/>
      <c r="ET177" s="28"/>
      <c r="EU177" s="28"/>
      <c r="EV177" s="28"/>
      <c r="EW177" s="28"/>
      <c r="EX177" s="28"/>
      <c r="EY177" s="28"/>
      <c r="EZ177" s="28"/>
      <c r="FA177" s="28"/>
      <c r="FB177" s="28"/>
      <c r="FC177" s="28"/>
      <c r="FD177" s="28"/>
      <c r="FE177" s="28"/>
      <c r="FF177" s="28"/>
      <c r="FG177" s="28"/>
      <c r="FH177" s="28"/>
      <c r="FI177" s="28"/>
      <c r="FJ177" s="28"/>
      <c r="FK177" s="28"/>
      <c r="FL177" s="28"/>
      <c r="FM177" s="28"/>
      <c r="FN177" s="28"/>
      <c r="FO177" s="28"/>
      <c r="FP177" s="28"/>
      <c r="FQ177" s="28"/>
      <c r="FR177" s="28">
        <v>1</v>
      </c>
      <c r="FS177" s="28"/>
      <c r="FT177" s="28"/>
      <c r="FU177" s="28"/>
      <c r="FV177" s="28"/>
      <c r="FW177" s="28"/>
      <c r="FX177" s="28"/>
      <c r="FY177" s="28"/>
      <c r="FZ177" s="28"/>
      <c r="GA177" s="28"/>
      <c r="GB177" s="28"/>
      <c r="GC177" s="28"/>
      <c r="GD177" s="28"/>
      <c r="GE177" s="28"/>
      <c r="GF177" s="28"/>
    </row>
    <row r="178" spans="1:188" ht="13" x14ac:dyDescent="0.15">
      <c r="A178" s="19">
        <v>43248</v>
      </c>
      <c r="B178" s="20" t="s">
        <v>246</v>
      </c>
      <c r="C178" s="20"/>
      <c r="D178" s="20"/>
      <c r="E178" s="20"/>
      <c r="F178" s="21"/>
      <c r="G178" s="21"/>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c r="DA178" s="20"/>
      <c r="DB178" s="20"/>
      <c r="DC178" s="20"/>
      <c r="DD178" s="20"/>
      <c r="DE178" s="20"/>
      <c r="DF178" s="20"/>
      <c r="DG178" s="20"/>
      <c r="DH178" s="20"/>
      <c r="DI178" s="20"/>
      <c r="DJ178" s="20"/>
      <c r="DK178" s="20"/>
      <c r="DL178" s="20"/>
      <c r="DM178" s="20"/>
      <c r="DN178" s="20"/>
      <c r="DO178" s="20"/>
      <c r="DP178" s="20"/>
      <c r="DQ178" s="20"/>
      <c r="DR178" s="20"/>
      <c r="DS178" s="20"/>
      <c r="DT178" s="20"/>
      <c r="DU178" s="20"/>
      <c r="DV178" s="20"/>
      <c r="DW178" s="20"/>
      <c r="DX178" s="20"/>
      <c r="DY178" s="20"/>
      <c r="DZ178" s="20"/>
      <c r="EA178" s="20"/>
      <c r="EB178" s="20"/>
      <c r="EC178" s="20"/>
      <c r="ED178" s="20"/>
      <c r="EE178" s="20"/>
      <c r="EF178" s="20"/>
      <c r="EG178" s="20"/>
      <c r="EH178" s="20"/>
      <c r="EI178" s="20"/>
      <c r="EJ178" s="20"/>
      <c r="EK178" s="20"/>
      <c r="EL178" s="20"/>
      <c r="EM178" s="20"/>
      <c r="EN178" s="20"/>
      <c r="EO178" s="20"/>
      <c r="EP178" s="20"/>
      <c r="EQ178" s="20"/>
      <c r="ER178" s="20"/>
      <c r="ES178" s="20"/>
      <c r="ET178" s="20"/>
      <c r="EU178" s="20"/>
      <c r="EV178" s="20"/>
      <c r="EW178" s="20"/>
      <c r="EX178" s="20"/>
      <c r="EY178" s="20"/>
      <c r="EZ178" s="20"/>
      <c r="FA178" s="20"/>
      <c r="FB178" s="20"/>
      <c r="FC178" s="20"/>
      <c r="FD178" s="20"/>
      <c r="FE178" s="20"/>
      <c r="FF178" s="20"/>
      <c r="FG178" s="20"/>
      <c r="FH178" s="20"/>
      <c r="FI178" s="20"/>
      <c r="FJ178" s="20"/>
      <c r="FK178" s="20"/>
      <c r="FL178" s="20"/>
      <c r="FM178" s="20"/>
      <c r="FN178" s="20"/>
      <c r="FO178" s="20"/>
      <c r="FP178" s="20"/>
      <c r="FQ178" s="20"/>
      <c r="FR178" s="20"/>
      <c r="FS178" s="20"/>
      <c r="FT178" s="20"/>
      <c r="FU178" s="20"/>
      <c r="FV178" s="20"/>
      <c r="FW178" s="20"/>
      <c r="FX178" s="20"/>
      <c r="FY178" s="20"/>
      <c r="FZ178" s="20"/>
      <c r="GA178" s="20"/>
      <c r="GB178" s="20"/>
      <c r="GC178" s="20"/>
      <c r="GD178" s="20"/>
      <c r="GE178" s="20"/>
      <c r="GF178" s="20"/>
    </row>
    <row r="179" spans="1:188" ht="13" x14ac:dyDescent="0.15">
      <c r="A179" s="19">
        <v>43250</v>
      </c>
      <c r="B179" s="20" t="s">
        <v>400</v>
      </c>
      <c r="C179" s="20"/>
      <c r="D179" s="20"/>
      <c r="E179" s="20"/>
      <c r="F179" s="21"/>
      <c r="G179" s="21"/>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c r="DU179" s="20"/>
      <c r="DV179" s="20"/>
      <c r="DW179" s="20"/>
      <c r="DX179" s="20"/>
      <c r="DY179" s="20"/>
      <c r="DZ179" s="20"/>
      <c r="EA179" s="20"/>
      <c r="EB179" s="20"/>
      <c r="EC179" s="20"/>
      <c r="ED179" s="20"/>
      <c r="EE179" s="20"/>
      <c r="EF179" s="20"/>
      <c r="EG179" s="20"/>
      <c r="EH179" s="20"/>
      <c r="EI179" s="20"/>
      <c r="EJ179" s="20"/>
      <c r="EK179" s="20"/>
      <c r="EL179" s="20"/>
      <c r="EM179" s="20"/>
      <c r="EN179" s="20"/>
      <c r="EO179" s="20"/>
      <c r="EP179" s="20"/>
      <c r="EQ179" s="20"/>
      <c r="ER179" s="20"/>
      <c r="ES179" s="20"/>
      <c r="ET179" s="20"/>
      <c r="EU179" s="20"/>
      <c r="EV179" s="20"/>
      <c r="EW179" s="20"/>
      <c r="EX179" s="20"/>
      <c r="EY179" s="20"/>
      <c r="EZ179" s="20"/>
      <c r="FA179" s="20"/>
      <c r="FB179" s="20"/>
      <c r="FC179" s="20"/>
      <c r="FD179" s="20"/>
      <c r="FE179" s="20"/>
      <c r="FF179" s="20"/>
      <c r="FG179" s="20"/>
      <c r="FH179" s="20"/>
      <c r="FI179" s="20"/>
      <c r="FJ179" s="20"/>
      <c r="FK179" s="20"/>
      <c r="FL179" s="20"/>
      <c r="FM179" s="20"/>
      <c r="FN179" s="20"/>
      <c r="FO179" s="20"/>
      <c r="FP179" s="20"/>
      <c r="FQ179" s="20"/>
      <c r="FR179" s="20"/>
      <c r="FS179" s="20"/>
      <c r="FT179" s="20"/>
      <c r="FU179" s="20"/>
      <c r="FV179" s="20"/>
      <c r="FW179" s="20"/>
      <c r="FX179" s="20"/>
      <c r="FY179" s="20"/>
      <c r="FZ179" s="20"/>
      <c r="GA179" s="20"/>
      <c r="GB179" s="20"/>
      <c r="GC179" s="20"/>
      <c r="GD179" s="20"/>
      <c r="GE179" s="20"/>
      <c r="GF179" s="20"/>
    </row>
    <row r="180" spans="1:188" ht="13" x14ac:dyDescent="0.15">
      <c r="A180" s="19">
        <v>43251</v>
      </c>
      <c r="B180" s="20" t="s">
        <v>337</v>
      </c>
      <c r="C180" s="20"/>
      <c r="D180" s="20"/>
      <c r="E180" s="20"/>
      <c r="F180" s="21"/>
      <c r="G180" s="21"/>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c r="DU180" s="20"/>
      <c r="DV180" s="20"/>
      <c r="DW180" s="20"/>
      <c r="DX180" s="20"/>
      <c r="DY180" s="20"/>
      <c r="DZ180" s="20"/>
      <c r="EA180" s="20"/>
      <c r="EB180" s="20"/>
      <c r="EC180" s="20"/>
      <c r="ED180" s="20"/>
      <c r="EE180" s="20"/>
      <c r="EF180" s="20"/>
      <c r="EG180" s="20"/>
      <c r="EH180" s="20"/>
      <c r="EI180" s="20"/>
      <c r="EJ180" s="20"/>
      <c r="EK180" s="20"/>
      <c r="EL180" s="20"/>
      <c r="EM180" s="20"/>
      <c r="EN180" s="20"/>
      <c r="EO180" s="20"/>
      <c r="EP180" s="20"/>
      <c r="EQ180" s="20"/>
      <c r="ER180" s="20"/>
      <c r="ES180" s="20"/>
      <c r="ET180" s="20"/>
      <c r="EU180" s="20"/>
      <c r="EV180" s="20"/>
      <c r="EW180" s="20"/>
      <c r="EX180" s="20"/>
      <c r="EY180" s="20"/>
      <c r="EZ180" s="20"/>
      <c r="FA180" s="20"/>
      <c r="FB180" s="20"/>
      <c r="FC180" s="20"/>
      <c r="FD180" s="20"/>
      <c r="FE180" s="20"/>
      <c r="FF180" s="20"/>
      <c r="FG180" s="20"/>
      <c r="FH180" s="20"/>
      <c r="FI180" s="20"/>
      <c r="FJ180" s="20"/>
      <c r="FK180" s="20"/>
      <c r="FL180" s="20"/>
      <c r="FM180" s="20"/>
      <c r="FN180" s="20"/>
      <c r="FO180" s="20"/>
      <c r="FP180" s="20"/>
      <c r="FQ180" s="20"/>
      <c r="FR180" s="20"/>
      <c r="FS180" s="20"/>
      <c r="FT180" s="20"/>
      <c r="FU180" s="20"/>
      <c r="FV180" s="20"/>
      <c r="FW180" s="20"/>
      <c r="FX180" s="20"/>
      <c r="FY180" s="20"/>
      <c r="FZ180" s="20"/>
      <c r="GA180" s="20"/>
      <c r="GB180" s="20"/>
      <c r="GC180" s="20"/>
      <c r="GD180" s="20"/>
      <c r="GE180" s="20"/>
      <c r="GF180" s="20"/>
    </row>
    <row r="181" spans="1:188" ht="13" x14ac:dyDescent="0.15">
      <c r="A181" s="24">
        <v>43311</v>
      </c>
      <c r="B181" s="25" t="s">
        <v>246</v>
      </c>
      <c r="C181" s="25">
        <v>21.2882</v>
      </c>
      <c r="D181" s="25">
        <v>-157.66799900000001</v>
      </c>
      <c r="E181" s="25" t="s">
        <v>353</v>
      </c>
      <c r="F181" s="26">
        <v>0.39027777777777778</v>
      </c>
      <c r="G181" s="26">
        <v>0.44791666666666669</v>
      </c>
      <c r="H181" s="25">
        <v>6</v>
      </c>
      <c r="I181" s="25">
        <v>17</v>
      </c>
      <c r="J181" s="25" t="s">
        <v>198</v>
      </c>
      <c r="K181" s="25">
        <v>6</v>
      </c>
      <c r="L181" s="25">
        <v>26</v>
      </c>
      <c r="M181" s="25" t="s">
        <v>436</v>
      </c>
      <c r="N181" s="25"/>
      <c r="O181" s="25"/>
      <c r="P181" s="25"/>
      <c r="Q181" s="25">
        <v>1</v>
      </c>
      <c r="R181" s="25">
        <v>1</v>
      </c>
      <c r="S181" s="25"/>
      <c r="T181" s="25"/>
      <c r="U181" s="25"/>
      <c r="V181" s="25"/>
      <c r="W181" s="25"/>
      <c r="X181" s="25"/>
      <c r="Y181" s="25"/>
      <c r="Z181" s="25"/>
      <c r="AA181" s="25"/>
      <c r="AB181" s="25">
        <v>1</v>
      </c>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v>1</v>
      </c>
      <c r="BH181" s="25"/>
      <c r="BI181" s="25"/>
      <c r="BJ181" s="25">
        <v>1</v>
      </c>
      <c r="BK181" s="25">
        <v>1</v>
      </c>
      <c r="BL181" s="25">
        <v>1</v>
      </c>
      <c r="BM181" s="25">
        <v>1</v>
      </c>
      <c r="BN181" s="25"/>
      <c r="BO181" s="25"/>
      <c r="BP181" s="25"/>
      <c r="BQ181" s="25"/>
      <c r="BR181" s="25"/>
      <c r="BS181" s="25"/>
      <c r="BT181" s="25"/>
      <c r="BU181" s="25"/>
      <c r="BV181" s="25"/>
      <c r="BW181" s="25"/>
      <c r="BX181" s="25"/>
      <c r="BY181" s="25"/>
      <c r="BZ181" s="25">
        <v>1</v>
      </c>
      <c r="CA181" s="25"/>
      <c r="CB181" s="25">
        <v>1</v>
      </c>
      <c r="CC181" s="25"/>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v>1</v>
      </c>
      <c r="DG181" s="25"/>
      <c r="DH181" s="25"/>
      <c r="DI181" s="25"/>
      <c r="DJ181" s="25"/>
      <c r="DK181" s="25"/>
      <c r="DL181" s="25">
        <v>1</v>
      </c>
      <c r="DM181" s="25"/>
      <c r="DN181" s="25">
        <v>1</v>
      </c>
      <c r="DO181" s="25"/>
      <c r="DP181" s="25"/>
      <c r="DQ181" s="25"/>
      <c r="DR181" s="25"/>
      <c r="DS181" s="25"/>
      <c r="DT181" s="25"/>
      <c r="DU181" s="25"/>
      <c r="DV181" s="25"/>
      <c r="DW181" s="25"/>
      <c r="DX181" s="25"/>
      <c r="DY181" s="25">
        <v>1</v>
      </c>
      <c r="DZ181" s="25"/>
      <c r="EA181" s="25"/>
      <c r="EB181" s="25"/>
      <c r="EC181" s="25"/>
      <c r="ED181" s="25"/>
      <c r="EE181" s="25"/>
      <c r="EF181" s="25"/>
      <c r="EG181" s="25"/>
      <c r="EH181" s="25"/>
      <c r="EI181" s="25">
        <v>1</v>
      </c>
      <c r="EJ181" s="25"/>
      <c r="EK181" s="25"/>
      <c r="EL181" s="25"/>
      <c r="EM181" s="25"/>
      <c r="EN181" s="25"/>
      <c r="EO181" s="25"/>
      <c r="EP181" s="25"/>
      <c r="EQ181" s="25"/>
      <c r="ER181" s="25"/>
      <c r="ES181" s="25"/>
      <c r="ET181" s="25"/>
      <c r="EU181" s="25"/>
      <c r="EV181" s="25"/>
      <c r="EW181" s="25"/>
      <c r="EX181" s="25"/>
      <c r="EY181" s="25">
        <v>1</v>
      </c>
      <c r="EZ181" s="25"/>
      <c r="FA181" s="25">
        <v>1</v>
      </c>
      <c r="FB181" s="25"/>
      <c r="FC181" s="25"/>
      <c r="FD181" s="25"/>
      <c r="FE181" s="25"/>
      <c r="FF181" s="25"/>
      <c r="FG181" s="25"/>
      <c r="FH181" s="25"/>
      <c r="FI181" s="25"/>
      <c r="FJ181" s="25"/>
      <c r="FK181" s="25"/>
      <c r="FL181" s="25">
        <v>1</v>
      </c>
      <c r="FM181" s="25"/>
      <c r="FN181" s="25"/>
      <c r="FO181" s="25">
        <v>1</v>
      </c>
      <c r="FP181" s="25"/>
      <c r="FQ181" s="25">
        <v>1</v>
      </c>
      <c r="FR181" s="25">
        <v>1</v>
      </c>
      <c r="FS181" s="25"/>
      <c r="FT181" s="25"/>
      <c r="FU181" s="25"/>
      <c r="FV181" s="25">
        <v>1</v>
      </c>
      <c r="FW181" s="25"/>
      <c r="FX181" s="25"/>
      <c r="FY181" s="25"/>
      <c r="FZ181" s="25"/>
      <c r="GA181" s="25"/>
      <c r="GB181" s="25"/>
      <c r="GC181" s="25"/>
      <c r="GD181" s="25"/>
      <c r="GE181" s="25"/>
      <c r="GF181" s="25">
        <v>1</v>
      </c>
    </row>
    <row r="182" spans="1:188" ht="13" x14ac:dyDescent="0.15">
      <c r="A182" s="27">
        <v>43416</v>
      </c>
      <c r="B182" s="28" t="s">
        <v>216</v>
      </c>
      <c r="C182" s="28">
        <v>21.3002</v>
      </c>
      <c r="D182" s="28">
        <v>-157.882599</v>
      </c>
      <c r="E182" s="28" t="s">
        <v>534</v>
      </c>
      <c r="F182" s="29">
        <v>0.64236111111111116</v>
      </c>
      <c r="G182" s="29">
        <v>0.67013888888888884</v>
      </c>
      <c r="H182" s="28">
        <v>5</v>
      </c>
      <c r="I182" s="28">
        <v>20</v>
      </c>
      <c r="J182" s="28" t="s">
        <v>198</v>
      </c>
      <c r="K182" s="28">
        <v>5</v>
      </c>
      <c r="L182" s="28">
        <v>5</v>
      </c>
      <c r="M182" s="28" t="s">
        <v>535</v>
      </c>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v>1</v>
      </c>
      <c r="BM182" s="28"/>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c r="CP182" s="28"/>
      <c r="CQ182" s="28"/>
      <c r="CR182" s="28"/>
      <c r="CS182" s="28"/>
      <c r="CT182" s="28"/>
      <c r="CU182" s="28"/>
      <c r="CV182" s="28"/>
      <c r="CW182" s="28"/>
      <c r="CX182" s="28"/>
      <c r="CY182" s="28"/>
      <c r="CZ182" s="28"/>
      <c r="DA182" s="28"/>
      <c r="DB182" s="28"/>
      <c r="DC182" s="28"/>
      <c r="DD182" s="28"/>
      <c r="DE182" s="28"/>
      <c r="DF182" s="28"/>
      <c r="DG182" s="28"/>
      <c r="DH182" s="28"/>
      <c r="DI182" s="28"/>
      <c r="DJ182" s="28"/>
      <c r="DK182" s="28"/>
      <c r="DL182" s="28"/>
      <c r="DM182" s="28"/>
      <c r="DN182" s="28"/>
      <c r="DO182" s="28"/>
      <c r="DP182" s="28"/>
      <c r="DQ182" s="28"/>
      <c r="DR182" s="28"/>
      <c r="DS182" s="28"/>
      <c r="DT182" s="28"/>
      <c r="DU182" s="28"/>
      <c r="DV182" s="28"/>
      <c r="DW182" s="28"/>
      <c r="DX182" s="28"/>
      <c r="DY182" s="28"/>
      <c r="DZ182" s="28"/>
      <c r="EA182" s="28"/>
      <c r="EB182" s="28">
        <v>1</v>
      </c>
      <c r="EC182" s="28"/>
      <c r="ED182" s="28"/>
      <c r="EE182" s="28"/>
      <c r="EF182" s="28"/>
      <c r="EG182" s="28"/>
      <c r="EH182" s="28"/>
      <c r="EI182" s="28"/>
      <c r="EJ182" s="28"/>
      <c r="EK182" s="28"/>
      <c r="EL182" s="28"/>
      <c r="EM182" s="28"/>
      <c r="EN182" s="28"/>
      <c r="EO182" s="28"/>
      <c r="EP182" s="28"/>
      <c r="EQ182" s="28"/>
      <c r="ER182" s="28"/>
      <c r="ES182" s="28"/>
      <c r="ET182" s="28"/>
      <c r="EU182" s="28"/>
      <c r="EV182" s="28"/>
      <c r="EW182" s="28"/>
      <c r="EX182" s="28"/>
      <c r="EY182" s="28"/>
      <c r="EZ182" s="28"/>
      <c r="FA182" s="28"/>
      <c r="FB182" s="28"/>
      <c r="FC182" s="28"/>
      <c r="FD182" s="28"/>
      <c r="FE182" s="28"/>
      <c r="FF182" s="28"/>
      <c r="FG182" s="28"/>
      <c r="FH182" s="28"/>
      <c r="FI182" s="28"/>
      <c r="FJ182" s="28"/>
      <c r="FK182" s="28"/>
      <c r="FL182" s="28"/>
      <c r="FM182" s="28"/>
      <c r="FN182" s="28"/>
      <c r="FO182" s="28"/>
      <c r="FP182" s="28"/>
      <c r="FQ182" s="28"/>
      <c r="FR182" s="28">
        <v>1</v>
      </c>
      <c r="FS182" s="28"/>
      <c r="FT182" s="28"/>
      <c r="FU182" s="28"/>
      <c r="FV182" s="28"/>
      <c r="FW182" s="28"/>
      <c r="FX182" s="28"/>
      <c r="FY182" s="28"/>
      <c r="FZ182" s="28"/>
      <c r="GA182" s="28"/>
      <c r="GB182" s="28"/>
      <c r="GC182" s="28"/>
      <c r="GD182" s="28"/>
      <c r="GE182" s="28"/>
      <c r="GF182" s="28"/>
    </row>
    <row r="183" spans="1:188" ht="13" x14ac:dyDescent="0.15">
      <c r="A183" s="13">
        <v>43485</v>
      </c>
      <c r="B183" s="3" t="s">
        <v>201</v>
      </c>
      <c r="C183" s="3">
        <v>21.25544</v>
      </c>
      <c r="D183" s="3">
        <v>-157.81030000000001</v>
      </c>
      <c r="E183" s="3" t="s">
        <v>418</v>
      </c>
      <c r="F183" s="14">
        <v>0.40625</v>
      </c>
      <c r="G183" s="14">
        <v>0.44791666666666669</v>
      </c>
      <c r="H183" s="3">
        <v>6</v>
      </c>
      <c r="I183" s="3">
        <v>10</v>
      </c>
      <c r="J183" s="3" t="s">
        <v>318</v>
      </c>
      <c r="K183" s="3">
        <v>10</v>
      </c>
      <c r="L183" s="3">
        <v>52</v>
      </c>
      <c r="M183" s="3" t="s">
        <v>438</v>
      </c>
      <c r="Q183" s="3">
        <v>1</v>
      </c>
      <c r="S183" s="3">
        <v>1</v>
      </c>
      <c r="AE183" s="3">
        <v>1</v>
      </c>
      <c r="AG183" s="3"/>
      <c r="AH183" s="3">
        <v>1</v>
      </c>
      <c r="BE183" s="3"/>
      <c r="BF183" s="3"/>
      <c r="BG183" s="3"/>
      <c r="BH183" s="3"/>
      <c r="BI183" s="3"/>
      <c r="BJ183" s="3"/>
      <c r="BK183" s="3"/>
      <c r="BL183" s="3">
        <v>1</v>
      </c>
      <c r="BP183" s="3">
        <v>1</v>
      </c>
      <c r="BQ183" s="3"/>
      <c r="BR183" s="3"/>
      <c r="BS183" s="3"/>
      <c r="BT183" s="3"/>
      <c r="BU183" s="3">
        <v>1</v>
      </c>
      <c r="BV183" s="3"/>
      <c r="BX183" s="3"/>
      <c r="BY183" s="3">
        <v>1</v>
      </c>
      <c r="BZ183" s="3"/>
      <c r="CA183" s="3">
        <v>1</v>
      </c>
      <c r="CH183" s="3"/>
      <c r="CI183" s="3"/>
      <c r="CJ183" s="3"/>
      <c r="CK183" s="3"/>
      <c r="CL183" s="3"/>
      <c r="CM183" s="3"/>
      <c r="CN183" s="3"/>
      <c r="CO183" s="3"/>
      <c r="CP183" s="3"/>
      <c r="CQ183" s="3"/>
      <c r="CR183" s="3">
        <v>1</v>
      </c>
      <c r="DA183" s="3"/>
      <c r="DB183" s="3">
        <v>1</v>
      </c>
      <c r="DC183" s="3"/>
      <c r="DD183" s="3"/>
      <c r="DE183" s="3"/>
      <c r="DF183" s="3">
        <v>1</v>
      </c>
      <c r="DH183" s="3"/>
      <c r="DI183" s="3"/>
      <c r="DJ183" s="3"/>
      <c r="DK183" s="3"/>
      <c r="DL183" s="3">
        <v>1</v>
      </c>
      <c r="DM183" s="3">
        <v>1</v>
      </c>
      <c r="DN183" s="3"/>
      <c r="DO183" s="3">
        <v>1</v>
      </c>
      <c r="DP183" s="3"/>
      <c r="DQ183" s="3"/>
      <c r="DR183" s="3">
        <v>1</v>
      </c>
      <c r="DS183" s="3"/>
      <c r="DT183" s="3"/>
      <c r="DU183" s="3">
        <v>1</v>
      </c>
      <c r="DV183" s="3"/>
      <c r="DW183" s="3"/>
      <c r="DX183" s="3"/>
      <c r="DY183" s="3"/>
      <c r="DZ183" s="3">
        <v>1</v>
      </c>
      <c r="EA183" s="3"/>
      <c r="EB183" s="3"/>
      <c r="EC183" s="3"/>
      <c r="ED183" s="3"/>
      <c r="EE183" s="3"/>
      <c r="EF183" s="3"/>
      <c r="EG183" s="3"/>
      <c r="EH183" s="3"/>
      <c r="EI183" s="3">
        <v>1</v>
      </c>
      <c r="EJ183" s="3"/>
      <c r="EK183" s="3"/>
      <c r="EL183" s="3"/>
      <c r="EM183" s="3"/>
      <c r="EN183" s="3"/>
      <c r="EO183" s="3"/>
      <c r="EP183" s="3"/>
      <c r="EQ183" s="3"/>
      <c r="ER183" s="3"/>
      <c r="ES183" s="3"/>
      <c r="ET183" s="3"/>
      <c r="EU183" s="3"/>
      <c r="EV183" s="3"/>
      <c r="EW183" s="3"/>
      <c r="EX183" s="3"/>
      <c r="EY183" s="3"/>
      <c r="EZ183" s="3"/>
      <c r="FA183" s="3">
        <v>1</v>
      </c>
      <c r="FB183" s="3">
        <v>1</v>
      </c>
      <c r="FF183" s="3"/>
      <c r="FG183" s="3">
        <v>1</v>
      </c>
      <c r="FH183" s="3">
        <v>1</v>
      </c>
      <c r="FI183" s="3"/>
      <c r="FJ183" s="3"/>
      <c r="FK183" s="3"/>
      <c r="FL183" s="3">
        <v>1</v>
      </c>
      <c r="FM183" s="3"/>
      <c r="FN183" s="3"/>
      <c r="FO183" s="3"/>
      <c r="FP183" s="3"/>
      <c r="FQ183" s="3">
        <v>1</v>
      </c>
      <c r="FR183" s="3">
        <v>1</v>
      </c>
      <c r="GC183" s="3"/>
      <c r="GD183" s="3"/>
      <c r="GE183" s="3">
        <v>1</v>
      </c>
    </row>
    <row r="184" spans="1:188" ht="13" x14ac:dyDescent="0.15">
      <c r="A184" s="27">
        <v>43505</v>
      </c>
      <c r="B184" s="28" t="s">
        <v>266</v>
      </c>
      <c r="C184" s="28">
        <v>22.060683999999998</v>
      </c>
      <c r="D184" s="28">
        <v>-159.318512</v>
      </c>
      <c r="E184" s="28" t="s">
        <v>536</v>
      </c>
      <c r="F184" s="29">
        <v>1.1574074074074073E-5</v>
      </c>
      <c r="G184" s="29">
        <v>2.3148148148148147E-5</v>
      </c>
      <c r="H184" s="28">
        <v>3</v>
      </c>
      <c r="I184" s="28">
        <v>14</v>
      </c>
      <c r="J184" s="28" t="s">
        <v>198</v>
      </c>
      <c r="K184" s="28">
        <v>2</v>
      </c>
      <c r="L184" s="28">
        <v>2</v>
      </c>
      <c r="M184" s="28" t="s">
        <v>537</v>
      </c>
      <c r="N184" s="28"/>
      <c r="O184" s="28"/>
      <c r="P184" s="28"/>
      <c r="Q184" s="28">
        <v>1</v>
      </c>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v>1</v>
      </c>
      <c r="BM184" s="28"/>
      <c r="BN184" s="28"/>
      <c r="BO184" s="28"/>
      <c r="BP184" s="28"/>
      <c r="BQ184" s="28"/>
      <c r="BR184" s="28"/>
      <c r="BS184" s="28"/>
      <c r="BT184" s="28"/>
      <c r="BU184" s="28"/>
      <c r="BV184" s="28">
        <v>1</v>
      </c>
      <c r="BW184" s="28"/>
      <c r="BX184" s="28"/>
      <c r="BY184" s="28"/>
      <c r="BZ184" s="28"/>
      <c r="CA184" s="28"/>
      <c r="CB184" s="28"/>
      <c r="CC184" s="28"/>
      <c r="CD184" s="28"/>
      <c r="CE184" s="28"/>
      <c r="CF184" s="28"/>
      <c r="CG184" s="28"/>
      <c r="CH184" s="28"/>
      <c r="CI184" s="28"/>
      <c r="CJ184" s="28"/>
      <c r="CK184" s="28"/>
      <c r="CL184" s="28"/>
      <c r="CM184" s="28"/>
      <c r="CN184" s="28"/>
      <c r="CO184" s="28"/>
      <c r="CP184" s="28"/>
      <c r="CQ184" s="28"/>
      <c r="CR184" s="28"/>
      <c r="CS184" s="28"/>
      <c r="CT184" s="28"/>
      <c r="CU184" s="28"/>
      <c r="CV184" s="28"/>
      <c r="CW184" s="28"/>
      <c r="CX184" s="28"/>
      <c r="CY184" s="28"/>
      <c r="CZ184" s="28"/>
      <c r="DA184" s="28"/>
      <c r="DB184" s="28"/>
      <c r="DC184" s="28"/>
      <c r="DD184" s="28"/>
      <c r="DE184" s="28"/>
      <c r="DF184" s="28"/>
      <c r="DG184" s="28"/>
      <c r="DH184" s="28"/>
      <c r="DI184" s="28"/>
      <c r="DJ184" s="28"/>
      <c r="DK184" s="28">
        <v>1</v>
      </c>
      <c r="DL184" s="28"/>
      <c r="DM184" s="28"/>
      <c r="DN184" s="28"/>
      <c r="DO184" s="28"/>
      <c r="DP184" s="28"/>
      <c r="DQ184" s="28"/>
      <c r="DR184" s="28"/>
      <c r="DS184" s="28"/>
      <c r="DT184" s="28"/>
      <c r="DU184" s="28"/>
      <c r="DV184" s="28"/>
      <c r="DW184" s="28"/>
      <c r="DX184" s="28"/>
      <c r="DY184" s="28"/>
      <c r="DZ184" s="28"/>
      <c r="EA184" s="28"/>
      <c r="EB184" s="28"/>
      <c r="EC184" s="28"/>
      <c r="ED184" s="28"/>
      <c r="EE184" s="28"/>
      <c r="EF184" s="28"/>
      <c r="EG184" s="28"/>
      <c r="EH184" s="28"/>
      <c r="EI184" s="28"/>
      <c r="EJ184" s="28"/>
      <c r="EK184" s="28"/>
      <c r="EL184" s="28"/>
      <c r="EM184" s="28"/>
      <c r="EN184" s="28"/>
      <c r="EO184" s="28"/>
      <c r="EP184" s="28"/>
      <c r="EQ184" s="28"/>
      <c r="ER184" s="28"/>
      <c r="ES184" s="28"/>
      <c r="ET184" s="28"/>
      <c r="EU184" s="28"/>
      <c r="EV184" s="28"/>
      <c r="EW184" s="28"/>
      <c r="EX184" s="28"/>
      <c r="EY184" s="28"/>
      <c r="EZ184" s="28"/>
      <c r="FA184" s="28"/>
      <c r="FB184" s="28"/>
      <c r="FC184" s="28"/>
      <c r="FD184" s="28"/>
      <c r="FE184" s="28"/>
      <c r="FF184" s="28"/>
      <c r="FG184" s="28"/>
      <c r="FH184" s="28">
        <v>1</v>
      </c>
      <c r="FI184" s="28"/>
      <c r="FJ184" s="28"/>
      <c r="FK184" s="28"/>
      <c r="FL184" s="28"/>
      <c r="FM184" s="28"/>
      <c r="FN184" s="28"/>
      <c r="FO184" s="28"/>
      <c r="FP184" s="28"/>
      <c r="FQ184" s="28">
        <v>1</v>
      </c>
      <c r="FR184" s="28">
        <v>1</v>
      </c>
      <c r="FS184" s="28"/>
      <c r="FT184" s="28"/>
      <c r="FU184" s="28"/>
      <c r="FV184" s="28"/>
      <c r="FW184" s="28"/>
      <c r="FX184" s="28"/>
      <c r="FY184" s="28"/>
      <c r="FZ184" s="28"/>
      <c r="GA184" s="28"/>
      <c r="GB184" s="28"/>
      <c r="GC184" s="28"/>
      <c r="GD184" s="28"/>
      <c r="GE184" s="28"/>
      <c r="GF184" s="28"/>
    </row>
    <row r="185" spans="1:188" ht="13" x14ac:dyDescent="0.15">
      <c r="A185" s="27">
        <v>43515</v>
      </c>
      <c r="B185" s="28" t="s">
        <v>244</v>
      </c>
      <c r="C185" s="28">
        <v>21.310611999999999</v>
      </c>
      <c r="D185" s="28">
        <v>-158.00441000000001</v>
      </c>
      <c r="E185" s="28" t="s">
        <v>278</v>
      </c>
      <c r="F185" s="29">
        <v>0.38541666666666669</v>
      </c>
      <c r="G185" s="29">
        <v>0.42708333333333331</v>
      </c>
      <c r="H185" s="28">
        <v>6</v>
      </c>
      <c r="I185" s="28">
        <v>5</v>
      </c>
      <c r="J185" s="28" t="s">
        <v>198</v>
      </c>
      <c r="K185" s="28">
        <v>5</v>
      </c>
      <c r="L185" s="28">
        <v>24</v>
      </c>
      <c r="M185" s="28" t="s">
        <v>538</v>
      </c>
      <c r="N185" s="28"/>
      <c r="O185" s="28"/>
      <c r="P185" s="28"/>
      <c r="Q185" s="28"/>
      <c r="R185" s="28"/>
      <c r="S185" s="28"/>
      <c r="T185" s="28"/>
      <c r="U185" s="28"/>
      <c r="V185" s="28"/>
      <c r="W185" s="28"/>
      <c r="X185" s="28"/>
      <c r="Y185" s="28"/>
      <c r="Z185" s="28"/>
      <c r="AA185" s="28"/>
      <c r="AB185" s="28"/>
      <c r="AC185" s="28"/>
      <c r="AD185" s="28">
        <v>1</v>
      </c>
      <c r="AE185" s="28"/>
      <c r="AF185" s="28"/>
      <c r="AG185" s="28"/>
      <c r="AH185" s="28"/>
      <c r="AI185" s="28"/>
      <c r="AJ185" s="28"/>
      <c r="AK185" s="28"/>
      <c r="AL185" s="28">
        <v>1</v>
      </c>
      <c r="AM185" s="28"/>
      <c r="AN185" s="28"/>
      <c r="AO185" s="28"/>
      <c r="AP185" s="28"/>
      <c r="AQ185" s="28"/>
      <c r="AR185" s="28"/>
      <c r="AS185" s="28"/>
      <c r="AT185" s="28"/>
      <c r="AU185" s="28"/>
      <c r="AV185" s="28"/>
      <c r="AW185" s="28"/>
      <c r="AX185" s="28"/>
      <c r="AY185" s="28"/>
      <c r="AZ185" s="28"/>
      <c r="BA185" s="28">
        <v>1</v>
      </c>
      <c r="BB185" s="28"/>
      <c r="BC185" s="28"/>
      <c r="BD185" s="28">
        <v>1</v>
      </c>
      <c r="BE185" s="28"/>
      <c r="BF185" s="28"/>
      <c r="BG185" s="28"/>
      <c r="BH185" s="28"/>
      <c r="BI185" s="28"/>
      <c r="BJ185" s="28"/>
      <c r="BK185" s="28">
        <v>1</v>
      </c>
      <c r="BL185" s="28">
        <v>1</v>
      </c>
      <c r="BM185" s="28"/>
      <c r="BN185" s="28"/>
      <c r="BO185" s="28"/>
      <c r="BP185" s="28"/>
      <c r="BQ185" s="28"/>
      <c r="BR185" s="28"/>
      <c r="BS185" s="28"/>
      <c r="BT185" s="28"/>
      <c r="BU185" s="28"/>
      <c r="BV185" s="28"/>
      <c r="BW185" s="28"/>
      <c r="BX185" s="28"/>
      <c r="BY185" s="28"/>
      <c r="BZ185" s="28"/>
      <c r="CA185" s="28"/>
      <c r="CB185" s="28"/>
      <c r="CC185" s="28"/>
      <c r="CD185" s="28"/>
      <c r="CE185" s="28"/>
      <c r="CF185" s="28"/>
      <c r="CG185" s="28"/>
      <c r="CH185" s="28"/>
      <c r="CI185" s="28"/>
      <c r="CJ185" s="28"/>
      <c r="CK185" s="28"/>
      <c r="CL185" s="28"/>
      <c r="CM185" s="28"/>
      <c r="CN185" s="28"/>
      <c r="CO185" s="28"/>
      <c r="CP185" s="28"/>
      <c r="CQ185" s="28"/>
      <c r="CR185" s="28"/>
      <c r="CS185" s="28"/>
      <c r="CT185" s="28"/>
      <c r="CU185" s="28"/>
      <c r="CV185" s="28"/>
      <c r="CW185" s="28"/>
      <c r="CX185" s="28"/>
      <c r="CY185" s="28"/>
      <c r="CZ185" s="28"/>
      <c r="DA185" s="28"/>
      <c r="DB185" s="28"/>
      <c r="DC185" s="28"/>
      <c r="DD185" s="28"/>
      <c r="DE185" s="28"/>
      <c r="DF185" s="28">
        <v>1</v>
      </c>
      <c r="DG185" s="28"/>
      <c r="DH185" s="28"/>
      <c r="DI185" s="28"/>
      <c r="DJ185" s="28"/>
      <c r="DK185" s="28"/>
      <c r="DL185" s="28"/>
      <c r="DM185" s="28"/>
      <c r="DN185" s="28">
        <v>1</v>
      </c>
      <c r="DO185" s="28"/>
      <c r="DP185" s="28"/>
      <c r="DQ185" s="28"/>
      <c r="DR185" s="28"/>
      <c r="DS185" s="28"/>
      <c r="DT185" s="28"/>
      <c r="DU185" s="28"/>
      <c r="DV185" s="28"/>
      <c r="DW185" s="28"/>
      <c r="DX185" s="28"/>
      <c r="DY185" s="28"/>
      <c r="DZ185" s="28"/>
      <c r="EA185" s="28"/>
      <c r="EB185" s="28"/>
      <c r="EC185" s="28"/>
      <c r="ED185" s="28"/>
      <c r="EE185" s="28"/>
      <c r="EF185" s="28"/>
      <c r="EG185" s="28"/>
      <c r="EH185" s="28"/>
      <c r="EI185" s="28">
        <v>1</v>
      </c>
      <c r="EJ185" s="28"/>
      <c r="EK185" s="28"/>
      <c r="EL185" s="28"/>
      <c r="EM185" s="28"/>
      <c r="EN185" s="28">
        <v>1</v>
      </c>
      <c r="EO185" s="28"/>
      <c r="EP185" s="28"/>
      <c r="EQ185" s="28"/>
      <c r="ER185" s="28"/>
      <c r="ES185" s="28"/>
      <c r="ET185" s="28"/>
      <c r="EU185" s="28"/>
      <c r="EV185" s="28"/>
      <c r="EW185" s="28"/>
      <c r="EX185" s="28"/>
      <c r="EY185" s="28"/>
      <c r="EZ185" s="28"/>
      <c r="FA185" s="28"/>
      <c r="FB185" s="28"/>
      <c r="FC185" s="28"/>
      <c r="FD185" s="28"/>
      <c r="FE185" s="28"/>
      <c r="FF185" s="28"/>
      <c r="FG185" s="28"/>
      <c r="FH185" s="28"/>
      <c r="FI185" s="28"/>
      <c r="FJ185" s="28"/>
      <c r="FK185" s="28"/>
      <c r="FL185" s="28"/>
      <c r="FM185" s="28"/>
      <c r="FN185" s="28"/>
      <c r="FO185" s="28"/>
      <c r="FP185" s="28"/>
      <c r="FQ185" s="28"/>
      <c r="FR185" s="28">
        <v>1</v>
      </c>
      <c r="FS185" s="28"/>
      <c r="FT185" s="28"/>
      <c r="FU185" s="28"/>
      <c r="FV185" s="28"/>
      <c r="FW185" s="28"/>
      <c r="FX185" s="28"/>
      <c r="FY185" s="28"/>
      <c r="FZ185" s="28"/>
      <c r="GA185" s="28"/>
      <c r="GB185" s="28"/>
      <c r="GC185" s="28"/>
      <c r="GD185" s="28"/>
      <c r="GE185" s="28"/>
      <c r="GF185" s="28"/>
    </row>
    <row r="186" spans="1:188" ht="13" x14ac:dyDescent="0.15">
      <c r="A186" s="27">
        <v>43515</v>
      </c>
      <c r="B186" s="28" t="s">
        <v>266</v>
      </c>
      <c r="C186" s="28">
        <v>22.060683999999998</v>
      </c>
      <c r="D186" s="28">
        <v>-159.318512</v>
      </c>
      <c r="E186" s="28" t="s">
        <v>418</v>
      </c>
      <c r="F186" s="29">
        <v>0.4201388888888889</v>
      </c>
      <c r="G186" s="29">
        <v>0.51041666666666663</v>
      </c>
      <c r="H186" s="28">
        <v>4</v>
      </c>
      <c r="I186" s="28">
        <v>16</v>
      </c>
      <c r="J186" s="28" t="s">
        <v>217</v>
      </c>
      <c r="K186" s="28">
        <v>3</v>
      </c>
      <c r="L186" s="28">
        <v>10</v>
      </c>
      <c r="M186" s="28" t="s">
        <v>539</v>
      </c>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v>1</v>
      </c>
      <c r="BB186" s="28"/>
      <c r="BC186" s="28"/>
      <c r="BD186" s="28"/>
      <c r="BE186" s="28"/>
      <c r="BF186" s="28"/>
      <c r="BG186" s="28"/>
      <c r="BH186" s="28"/>
      <c r="BI186" s="28"/>
      <c r="BJ186" s="28"/>
      <c r="BK186" s="28"/>
      <c r="BL186" s="28">
        <v>1</v>
      </c>
      <c r="BM186" s="28"/>
      <c r="BN186" s="28"/>
      <c r="BO186" s="28"/>
      <c r="BP186" s="28"/>
      <c r="BQ186" s="28"/>
      <c r="BR186" s="28"/>
      <c r="BS186" s="28"/>
      <c r="BT186" s="28"/>
      <c r="BU186" s="28">
        <v>1</v>
      </c>
      <c r="BV186" s="28"/>
      <c r="BW186" s="28"/>
      <c r="BX186" s="28"/>
      <c r="BY186" s="28">
        <v>1</v>
      </c>
      <c r="BZ186" s="28"/>
      <c r="CA186" s="28"/>
      <c r="CB186" s="28"/>
      <c r="CC186" s="28"/>
      <c r="CD186" s="28"/>
      <c r="CE186" s="28"/>
      <c r="CF186" s="28"/>
      <c r="CG186" s="28"/>
      <c r="CH186" s="28"/>
      <c r="CI186" s="28"/>
      <c r="CJ186" s="28"/>
      <c r="CK186" s="28"/>
      <c r="CL186" s="28"/>
      <c r="CM186" s="28"/>
      <c r="CN186" s="28"/>
      <c r="CO186" s="28"/>
      <c r="CP186" s="28"/>
      <c r="CQ186" s="28"/>
      <c r="CR186" s="28"/>
      <c r="CS186" s="28"/>
      <c r="CT186" s="28"/>
      <c r="CU186" s="28"/>
      <c r="CV186" s="28"/>
      <c r="CW186" s="28"/>
      <c r="CX186" s="28"/>
      <c r="CY186" s="28"/>
      <c r="CZ186" s="28"/>
      <c r="DA186" s="28"/>
      <c r="DB186" s="28"/>
      <c r="DC186" s="28"/>
      <c r="DD186" s="28"/>
      <c r="DE186" s="28"/>
      <c r="DF186" s="28">
        <v>1</v>
      </c>
      <c r="DG186" s="28"/>
      <c r="DH186" s="28"/>
      <c r="DI186" s="28"/>
      <c r="DJ186" s="28"/>
      <c r="DK186" s="28"/>
      <c r="DL186" s="28">
        <v>1</v>
      </c>
      <c r="DM186" s="28"/>
      <c r="DN186" s="28"/>
      <c r="DO186" s="28"/>
      <c r="DP186" s="28"/>
      <c r="DQ186" s="28"/>
      <c r="DR186" s="28">
        <v>1</v>
      </c>
      <c r="DS186" s="28"/>
      <c r="DT186" s="28"/>
      <c r="DU186" s="28">
        <v>1</v>
      </c>
      <c r="DV186" s="28"/>
      <c r="DW186" s="28"/>
      <c r="DX186" s="28"/>
      <c r="DY186" s="28"/>
      <c r="DZ186" s="28"/>
      <c r="EA186" s="28"/>
      <c r="EB186" s="28"/>
      <c r="EC186" s="28"/>
      <c r="ED186" s="28"/>
      <c r="EE186" s="28"/>
      <c r="EF186" s="28"/>
      <c r="EG186" s="28"/>
      <c r="EH186" s="28"/>
      <c r="EI186" s="28">
        <v>1</v>
      </c>
      <c r="EJ186" s="28"/>
      <c r="EK186" s="28"/>
      <c r="EL186" s="28"/>
      <c r="EM186" s="28"/>
      <c r="EN186" s="28"/>
      <c r="EO186" s="28"/>
      <c r="EP186" s="28"/>
      <c r="EQ186" s="28"/>
      <c r="ER186" s="28"/>
      <c r="ES186" s="28"/>
      <c r="ET186" s="28"/>
      <c r="EU186" s="28"/>
      <c r="EV186" s="28"/>
      <c r="EW186" s="28"/>
      <c r="EX186" s="28"/>
      <c r="EY186" s="28"/>
      <c r="EZ186" s="28"/>
      <c r="FA186" s="28">
        <v>1</v>
      </c>
      <c r="FB186" s="28"/>
      <c r="FC186" s="28"/>
      <c r="FD186" s="28"/>
      <c r="FE186" s="28">
        <v>1</v>
      </c>
      <c r="FF186" s="28"/>
      <c r="FG186" s="28"/>
      <c r="FH186" s="28"/>
      <c r="FI186" s="28"/>
      <c r="FJ186" s="28"/>
      <c r="FK186" s="28"/>
      <c r="FL186" s="28"/>
      <c r="FM186" s="28"/>
      <c r="FN186" s="28"/>
      <c r="FO186" s="28"/>
      <c r="FP186" s="28"/>
      <c r="FQ186" s="28">
        <v>1</v>
      </c>
      <c r="FR186" s="28">
        <v>1</v>
      </c>
      <c r="FS186" s="28"/>
      <c r="FT186" s="28"/>
      <c r="FU186" s="28"/>
      <c r="FV186" s="28"/>
      <c r="FW186" s="28"/>
      <c r="FX186" s="28"/>
      <c r="FY186" s="28"/>
      <c r="FZ186" s="28"/>
      <c r="GA186" s="28"/>
      <c r="GB186" s="28"/>
      <c r="GC186" s="28"/>
      <c r="GD186" s="28"/>
      <c r="GE186" s="28"/>
      <c r="GF186" s="28"/>
    </row>
    <row r="187" spans="1:188" ht="13" x14ac:dyDescent="0.15">
      <c r="A187" s="19">
        <v>43516</v>
      </c>
      <c r="B187" s="20" t="s">
        <v>216</v>
      </c>
      <c r="C187" s="20"/>
      <c r="D187" s="20"/>
      <c r="E187" s="20"/>
      <c r="F187" s="21"/>
      <c r="G187" s="21"/>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c r="DU187" s="20"/>
      <c r="DV187" s="20"/>
      <c r="DW187" s="20"/>
      <c r="DX187" s="20"/>
      <c r="DY187" s="20"/>
      <c r="DZ187" s="20"/>
      <c r="EA187" s="20"/>
      <c r="EB187" s="20"/>
      <c r="EC187" s="20"/>
      <c r="ED187" s="20"/>
      <c r="EE187" s="20"/>
      <c r="EF187" s="20"/>
      <c r="EG187" s="20"/>
      <c r="EH187" s="20"/>
      <c r="EI187" s="20"/>
      <c r="EJ187" s="20"/>
      <c r="EK187" s="20"/>
      <c r="EL187" s="20"/>
      <c r="EM187" s="20"/>
      <c r="EN187" s="20"/>
      <c r="EO187" s="20"/>
      <c r="EP187" s="20"/>
      <c r="EQ187" s="20"/>
      <c r="ER187" s="20"/>
      <c r="ES187" s="20"/>
      <c r="ET187" s="20"/>
      <c r="EU187" s="20"/>
      <c r="EV187" s="20"/>
      <c r="EW187" s="20"/>
      <c r="EX187" s="20"/>
      <c r="EY187" s="20"/>
      <c r="EZ187" s="20"/>
      <c r="FA187" s="20"/>
      <c r="FB187" s="20"/>
      <c r="FC187" s="20"/>
      <c r="FD187" s="20"/>
      <c r="FE187" s="20"/>
      <c r="FF187" s="20"/>
      <c r="FG187" s="20"/>
      <c r="FH187" s="20"/>
      <c r="FI187" s="20"/>
      <c r="FJ187" s="20"/>
      <c r="FK187" s="20"/>
      <c r="FL187" s="20"/>
      <c r="FM187" s="20"/>
      <c r="FN187" s="20"/>
      <c r="FO187" s="20"/>
      <c r="FP187" s="20"/>
      <c r="FQ187" s="20"/>
      <c r="FR187" s="20"/>
      <c r="FS187" s="20"/>
      <c r="FT187" s="20"/>
      <c r="FU187" s="20"/>
      <c r="FV187" s="20"/>
      <c r="FW187" s="20"/>
      <c r="FX187" s="20"/>
      <c r="FY187" s="20"/>
      <c r="FZ187" s="20"/>
      <c r="GA187" s="20"/>
      <c r="GB187" s="20"/>
      <c r="GC187" s="20"/>
      <c r="GD187" s="20"/>
      <c r="GE187" s="20"/>
      <c r="GF187" s="20"/>
    </row>
    <row r="188" spans="1:188" ht="13" x14ac:dyDescent="0.15">
      <c r="A188" s="27">
        <v>43516</v>
      </c>
      <c r="B188" s="28" t="s">
        <v>244</v>
      </c>
      <c r="C188" s="28">
        <v>21.310611999999999</v>
      </c>
      <c r="D188" s="28">
        <v>-158.00441000000001</v>
      </c>
      <c r="E188" s="28" t="s">
        <v>278</v>
      </c>
      <c r="F188" s="29">
        <v>0.39444444444444443</v>
      </c>
      <c r="G188" s="29">
        <v>0.47916666666666669</v>
      </c>
      <c r="H188" s="28">
        <v>8</v>
      </c>
      <c r="I188" s="28">
        <v>10</v>
      </c>
      <c r="J188" s="28" t="s">
        <v>314</v>
      </c>
      <c r="K188" s="28">
        <v>6</v>
      </c>
      <c r="L188" s="28">
        <v>6</v>
      </c>
      <c r="M188" s="28" t="s">
        <v>540</v>
      </c>
      <c r="N188" s="28"/>
      <c r="O188" s="28"/>
      <c r="P188" s="28"/>
      <c r="Q188" s="28"/>
      <c r="R188" s="28"/>
      <c r="S188" s="28"/>
      <c r="T188" s="28"/>
      <c r="U188" s="28"/>
      <c r="V188" s="28"/>
      <c r="W188" s="28"/>
      <c r="X188" s="28"/>
      <c r="Y188" s="28"/>
      <c r="Z188" s="28"/>
      <c r="AA188" s="28"/>
      <c r="AB188" s="28"/>
      <c r="AC188" s="28"/>
      <c r="AD188" s="28">
        <v>1</v>
      </c>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v>1</v>
      </c>
      <c r="BE188" s="28"/>
      <c r="BF188" s="28"/>
      <c r="BG188" s="28"/>
      <c r="BH188" s="28"/>
      <c r="BI188" s="28"/>
      <c r="BJ188" s="28"/>
      <c r="BK188" s="28"/>
      <c r="BL188" s="28">
        <v>1</v>
      </c>
      <c r="BM188" s="28"/>
      <c r="BN188" s="28"/>
      <c r="BO188" s="28"/>
      <c r="BP188" s="28"/>
      <c r="BQ188" s="28"/>
      <c r="BR188" s="28"/>
      <c r="BS188" s="28"/>
      <c r="BT188" s="28"/>
      <c r="BU188" s="28">
        <v>1</v>
      </c>
      <c r="BV188" s="28"/>
      <c r="BW188" s="28"/>
      <c r="BX188" s="28"/>
      <c r="BY188" s="28"/>
      <c r="BZ188" s="28"/>
      <c r="CA188" s="28"/>
      <c r="CB188" s="28"/>
      <c r="CC188" s="28"/>
      <c r="CD188" s="28"/>
      <c r="CE188" s="28"/>
      <c r="CF188" s="28"/>
      <c r="CG188" s="28"/>
      <c r="CH188" s="28"/>
      <c r="CI188" s="28"/>
      <c r="CJ188" s="28"/>
      <c r="CK188" s="28"/>
      <c r="CL188" s="28"/>
      <c r="CM188" s="28"/>
      <c r="CN188" s="28"/>
      <c r="CO188" s="28"/>
      <c r="CP188" s="28"/>
      <c r="CQ188" s="28"/>
      <c r="CR188" s="28"/>
      <c r="CS188" s="28"/>
      <c r="CT188" s="28"/>
      <c r="CU188" s="28"/>
      <c r="CV188" s="28"/>
      <c r="CW188" s="28"/>
      <c r="CX188" s="28"/>
      <c r="CY188" s="28"/>
      <c r="CZ188" s="28"/>
      <c r="DA188" s="28"/>
      <c r="DB188" s="28"/>
      <c r="DC188" s="28"/>
      <c r="DD188" s="28"/>
      <c r="DE188" s="28"/>
      <c r="DF188" s="28">
        <v>1</v>
      </c>
      <c r="DG188" s="28"/>
      <c r="DH188" s="28"/>
      <c r="DI188" s="28"/>
      <c r="DJ188" s="28"/>
      <c r="DK188" s="28">
        <v>1</v>
      </c>
      <c r="DL188" s="28"/>
      <c r="DM188" s="28"/>
      <c r="DN188" s="28">
        <v>1</v>
      </c>
      <c r="DO188" s="28"/>
      <c r="DP188" s="28"/>
      <c r="DQ188" s="28"/>
      <c r="DR188" s="28"/>
      <c r="DS188" s="28"/>
      <c r="DT188" s="28"/>
      <c r="DU188" s="28"/>
      <c r="DV188" s="28"/>
      <c r="DW188" s="28"/>
      <c r="DX188" s="28"/>
      <c r="DY188" s="28"/>
      <c r="DZ188" s="28"/>
      <c r="EA188" s="28"/>
      <c r="EB188" s="28"/>
      <c r="EC188" s="28"/>
      <c r="ED188" s="28"/>
      <c r="EE188" s="28"/>
      <c r="EF188" s="28"/>
      <c r="EG188" s="28"/>
      <c r="EH188" s="28"/>
      <c r="EI188" s="28">
        <v>1</v>
      </c>
      <c r="EJ188" s="28"/>
      <c r="EK188" s="28"/>
      <c r="EL188" s="28"/>
      <c r="EM188" s="28"/>
      <c r="EN188" s="28">
        <v>1</v>
      </c>
      <c r="EO188" s="28"/>
      <c r="EP188" s="28"/>
      <c r="EQ188" s="28"/>
      <c r="ER188" s="28"/>
      <c r="ES188" s="28"/>
      <c r="ET188" s="28"/>
      <c r="EU188" s="28"/>
      <c r="EV188" s="28"/>
      <c r="EW188" s="28"/>
      <c r="EX188" s="28"/>
      <c r="EY188" s="28"/>
      <c r="EZ188" s="28"/>
      <c r="FA188" s="28"/>
      <c r="FB188" s="28"/>
      <c r="FC188" s="28"/>
      <c r="FD188" s="28"/>
      <c r="FE188" s="28"/>
      <c r="FF188" s="28"/>
      <c r="FG188" s="28"/>
      <c r="FH188" s="28"/>
      <c r="FI188" s="28"/>
      <c r="FJ188" s="28"/>
      <c r="FK188" s="28"/>
      <c r="FL188" s="28"/>
      <c r="FM188" s="28"/>
      <c r="FN188" s="28"/>
      <c r="FO188" s="28"/>
      <c r="FP188" s="28"/>
      <c r="FQ188" s="28"/>
      <c r="FR188" s="28"/>
      <c r="FS188" s="28"/>
      <c r="FT188" s="28"/>
      <c r="FU188" s="28"/>
      <c r="FV188" s="28">
        <v>1</v>
      </c>
      <c r="FW188" s="28"/>
      <c r="FX188" s="28"/>
      <c r="FY188" s="28"/>
      <c r="FZ188" s="28"/>
      <c r="GA188" s="28"/>
      <c r="GB188" s="28"/>
      <c r="GC188" s="28"/>
      <c r="GD188" s="28"/>
      <c r="GE188" s="28"/>
      <c r="GF188" s="28"/>
    </row>
    <row r="189" spans="1:188" ht="13" x14ac:dyDescent="0.15">
      <c r="A189" s="13">
        <v>43517</v>
      </c>
      <c r="B189" s="3" t="s">
        <v>440</v>
      </c>
      <c r="C189" s="3">
        <v>21.311893000000001</v>
      </c>
      <c r="D189" s="3">
        <v>-157.89514199999999</v>
      </c>
      <c r="E189" s="3" t="s">
        <v>418</v>
      </c>
      <c r="F189" s="14">
        <v>0.45833333333333331</v>
      </c>
      <c r="G189" s="14">
        <v>0.49027777777777776</v>
      </c>
      <c r="H189" s="3">
        <v>5</v>
      </c>
      <c r="I189" s="3">
        <v>10</v>
      </c>
      <c r="J189" s="3" t="s">
        <v>318</v>
      </c>
      <c r="K189" s="3">
        <v>5</v>
      </c>
      <c r="L189" s="3">
        <v>25</v>
      </c>
      <c r="AG189" s="3"/>
      <c r="AH189" s="3">
        <v>1</v>
      </c>
      <c r="AS189" s="3"/>
      <c r="AT189" s="3"/>
      <c r="AU189" s="3"/>
      <c r="AV189" s="3"/>
      <c r="AW189" s="3"/>
      <c r="AX189" s="3"/>
      <c r="AY189" s="3">
        <v>1</v>
      </c>
      <c r="AZ189" s="3"/>
      <c r="BA189" s="3"/>
      <c r="BB189" s="3"/>
      <c r="BC189" s="3"/>
      <c r="BD189" s="3">
        <v>1</v>
      </c>
      <c r="BE189" s="3"/>
      <c r="BF189" s="3"/>
      <c r="BG189" s="3"/>
      <c r="BH189" s="3"/>
      <c r="BI189" s="3"/>
      <c r="BJ189" s="3"/>
      <c r="BK189" s="3">
        <v>1</v>
      </c>
      <c r="BL189" s="3">
        <v>1</v>
      </c>
      <c r="BQ189" s="3"/>
      <c r="BR189" s="3"/>
      <c r="BS189" s="3"/>
      <c r="BT189" s="3"/>
      <c r="BU189" s="3">
        <v>1</v>
      </c>
      <c r="BV189" s="3"/>
      <c r="BX189" s="3"/>
      <c r="BY189" s="3">
        <v>1</v>
      </c>
      <c r="CU189" s="3"/>
      <c r="CV189" s="3"/>
      <c r="CW189" s="3"/>
      <c r="CX189" s="3"/>
      <c r="CY189" s="3"/>
      <c r="CZ189" s="3">
        <v>1</v>
      </c>
      <c r="DP189" s="3"/>
      <c r="DQ189" s="3"/>
      <c r="DR189" s="3">
        <v>1</v>
      </c>
      <c r="EJ189" s="3"/>
      <c r="EK189" s="3"/>
      <c r="EL189" s="3"/>
      <c r="EM189" s="3"/>
      <c r="EN189" s="3"/>
      <c r="EO189" s="3"/>
      <c r="EP189" s="3"/>
      <c r="EQ189" s="3"/>
      <c r="ER189" s="3"/>
      <c r="ES189" s="3"/>
      <c r="ET189" s="3"/>
      <c r="EU189" s="3"/>
      <c r="EV189" s="3"/>
      <c r="EW189" s="3"/>
      <c r="EX189" s="3"/>
      <c r="EY189" s="3"/>
      <c r="EZ189" s="3"/>
      <c r="FA189" s="3">
        <v>1</v>
      </c>
      <c r="FD189" s="3">
        <v>1</v>
      </c>
      <c r="FR189" s="3">
        <v>1</v>
      </c>
      <c r="FY189" s="3">
        <v>1</v>
      </c>
      <c r="GF189" s="3">
        <v>1</v>
      </c>
    </row>
    <row r="190" spans="1:188" ht="13" x14ac:dyDescent="0.15">
      <c r="A190" s="13">
        <v>43519</v>
      </c>
      <c r="B190" s="3" t="s">
        <v>266</v>
      </c>
      <c r="C190" s="23">
        <v>22.060683999999998</v>
      </c>
      <c r="D190" s="23">
        <v>-159.318512</v>
      </c>
      <c r="E190" s="3" t="s">
        <v>297</v>
      </c>
      <c r="F190" s="14">
        <v>0.36875000000000002</v>
      </c>
      <c r="G190" s="14">
        <v>0.40625</v>
      </c>
      <c r="H190" s="3">
        <v>4</v>
      </c>
      <c r="I190" s="3">
        <v>20</v>
      </c>
      <c r="J190" s="3" t="s">
        <v>198</v>
      </c>
      <c r="K190" s="3">
        <v>5</v>
      </c>
      <c r="L190" s="3">
        <v>19</v>
      </c>
      <c r="M190" s="3" t="s">
        <v>441</v>
      </c>
      <c r="Q190" s="3">
        <v>1</v>
      </c>
      <c r="Z190" s="3"/>
      <c r="AA190" s="3">
        <v>1</v>
      </c>
      <c r="AC190" s="3">
        <v>1</v>
      </c>
      <c r="AF190" s="3"/>
      <c r="AV190" s="3"/>
      <c r="AW190" s="3">
        <v>1</v>
      </c>
      <c r="AZ190" s="3"/>
      <c r="BA190" s="3">
        <v>1</v>
      </c>
      <c r="BE190" s="3"/>
      <c r="BF190" s="3"/>
      <c r="BG190" s="3"/>
      <c r="BH190" s="3"/>
      <c r="BI190" s="3"/>
      <c r="BJ190" s="3"/>
      <c r="BL190" s="3">
        <v>1</v>
      </c>
      <c r="BM190" s="3">
        <v>1</v>
      </c>
      <c r="BP190" s="3"/>
      <c r="BQ190" s="3"/>
      <c r="BU190" s="3">
        <v>1</v>
      </c>
      <c r="CB190" s="3"/>
      <c r="CC190" s="3"/>
      <c r="CD190" s="3"/>
      <c r="CE190" s="3"/>
      <c r="CH190" s="3"/>
      <c r="CI190" s="3"/>
      <c r="CJ190" s="3"/>
      <c r="CK190" s="3"/>
      <c r="CL190" s="3"/>
      <c r="CM190" s="3"/>
      <c r="CN190" s="3"/>
      <c r="DL190" s="3">
        <v>1</v>
      </c>
      <c r="DM190" s="3">
        <v>1</v>
      </c>
      <c r="DQ190" s="3"/>
      <c r="DR190" s="3">
        <v>1</v>
      </c>
      <c r="DS190" s="3"/>
      <c r="DV190" s="3"/>
      <c r="DW190" s="3"/>
      <c r="EA190" s="3"/>
      <c r="EB190" s="3"/>
      <c r="EC190" s="3"/>
      <c r="EH190" s="3"/>
      <c r="EI190" s="3">
        <v>1</v>
      </c>
      <c r="EJ190" s="3"/>
      <c r="EK190" s="3"/>
      <c r="EL190" s="3"/>
      <c r="EM190" s="3"/>
      <c r="EN190" s="3"/>
      <c r="EO190" s="3"/>
      <c r="EP190" s="3"/>
      <c r="EQ190" s="3"/>
      <c r="FA190" s="3">
        <v>1</v>
      </c>
      <c r="FH190" s="3">
        <v>1</v>
      </c>
      <c r="FI190" s="3"/>
      <c r="FJ190" s="3"/>
      <c r="FK190" s="3"/>
      <c r="FL190" s="3"/>
      <c r="FQ190" s="3">
        <v>1</v>
      </c>
      <c r="FR190" s="3">
        <v>1</v>
      </c>
      <c r="GA190" s="3">
        <v>1</v>
      </c>
    </row>
    <row r="191" spans="1:188" ht="13" x14ac:dyDescent="0.15">
      <c r="A191" s="13">
        <v>43519</v>
      </c>
      <c r="B191" s="3" t="s">
        <v>266</v>
      </c>
      <c r="C191" s="23">
        <v>22.060683999999998</v>
      </c>
      <c r="D191" s="23">
        <v>-159.318512</v>
      </c>
      <c r="E191" s="3" t="s">
        <v>347</v>
      </c>
      <c r="F191" s="14">
        <v>0.53472222222222221</v>
      </c>
      <c r="G191" s="14">
        <v>0.60416666666666663</v>
      </c>
      <c r="H191" s="3">
        <v>3</v>
      </c>
      <c r="I191" s="3">
        <v>20</v>
      </c>
      <c r="J191" s="3" t="s">
        <v>198</v>
      </c>
      <c r="K191" s="3">
        <v>20</v>
      </c>
      <c r="L191" s="3">
        <v>10</v>
      </c>
      <c r="M191" s="3" t="s">
        <v>442</v>
      </c>
      <c r="N191" s="3" t="s">
        <v>443</v>
      </c>
      <c r="AF191" s="3"/>
      <c r="AV191" s="3"/>
      <c r="AW191" s="3">
        <v>1</v>
      </c>
      <c r="BE191" s="3"/>
      <c r="BF191" s="3"/>
      <c r="BG191" s="3"/>
      <c r="BH191" s="3"/>
      <c r="BI191" s="3"/>
      <c r="BJ191" s="3">
        <v>1</v>
      </c>
      <c r="BL191" s="3">
        <v>1</v>
      </c>
      <c r="BP191" s="3"/>
      <c r="BQ191" s="3"/>
      <c r="BU191" s="3">
        <v>1</v>
      </c>
      <c r="CB191" s="3"/>
      <c r="CC191" s="3"/>
      <c r="CD191" s="3"/>
      <c r="CE191" s="3"/>
      <c r="CH191" s="3"/>
      <c r="CI191" s="3"/>
      <c r="CJ191" s="3"/>
      <c r="CK191" s="3"/>
      <c r="CL191" s="3"/>
      <c r="CM191" s="3"/>
      <c r="CN191" s="3"/>
      <c r="DL191" s="3">
        <v>1</v>
      </c>
      <c r="DQ191" s="3"/>
      <c r="DR191" s="3">
        <v>1</v>
      </c>
      <c r="DS191" s="3"/>
      <c r="DV191" s="3"/>
      <c r="DW191" s="3"/>
      <c r="EA191" s="3"/>
      <c r="EB191" s="3"/>
      <c r="EC191" s="3"/>
      <c r="EH191" s="3"/>
      <c r="EI191" s="3">
        <v>1</v>
      </c>
      <c r="EJ191" s="3"/>
      <c r="EK191" s="3"/>
      <c r="EL191" s="3"/>
      <c r="EM191" s="3"/>
      <c r="EN191" s="3"/>
      <c r="EO191" s="3"/>
      <c r="EP191" s="3"/>
      <c r="EQ191" s="3"/>
      <c r="FH191" s="3">
        <v>1</v>
      </c>
      <c r="FI191" s="3"/>
      <c r="FJ191" s="3"/>
      <c r="FK191" s="3"/>
      <c r="FL191" s="3"/>
      <c r="FQ191" s="3">
        <v>1</v>
      </c>
      <c r="FR191" s="3">
        <v>1</v>
      </c>
    </row>
    <row r="192" spans="1:188" ht="13" x14ac:dyDescent="0.15">
      <c r="A192" s="13">
        <v>43520</v>
      </c>
      <c r="B192" s="3" t="s">
        <v>293</v>
      </c>
      <c r="C192" s="3">
        <v>19.738602</v>
      </c>
      <c r="D192" s="3">
        <v>-155.03887900000001</v>
      </c>
      <c r="E192" s="3" t="s">
        <v>418</v>
      </c>
      <c r="F192" s="14">
        <v>0.55208333333333337</v>
      </c>
      <c r="G192" s="14">
        <v>0.59375</v>
      </c>
      <c r="H192" s="3">
        <v>3</v>
      </c>
      <c r="I192" s="3">
        <v>13</v>
      </c>
      <c r="J192" s="3" t="s">
        <v>198</v>
      </c>
      <c r="K192" s="3">
        <v>11</v>
      </c>
      <c r="L192" s="3">
        <v>25</v>
      </c>
      <c r="M192" s="3" t="s">
        <v>444</v>
      </c>
      <c r="AF192" s="3">
        <v>1</v>
      </c>
      <c r="BE192" s="3"/>
      <c r="BF192" s="3"/>
      <c r="BG192" s="3"/>
      <c r="BH192" s="3"/>
      <c r="BI192" s="3"/>
      <c r="BJ192" s="3">
        <v>1</v>
      </c>
      <c r="BL192" s="3">
        <v>1</v>
      </c>
      <c r="BP192" s="3">
        <v>1</v>
      </c>
      <c r="BQ192" s="3">
        <v>1</v>
      </c>
      <c r="CB192" s="3">
        <v>1</v>
      </c>
      <c r="CC192" s="3"/>
      <c r="CD192" s="3"/>
      <c r="CE192" s="3">
        <v>1</v>
      </c>
      <c r="CH192" s="3"/>
      <c r="CI192" s="3"/>
      <c r="CJ192" s="3"/>
      <c r="CK192" s="3"/>
      <c r="CL192" s="3"/>
      <c r="CM192" s="3"/>
      <c r="CN192" s="3">
        <v>1</v>
      </c>
      <c r="DS192" s="3"/>
      <c r="DV192" s="3"/>
      <c r="DW192" s="3">
        <v>1</v>
      </c>
      <c r="EA192" s="3"/>
      <c r="EB192" s="3"/>
      <c r="EC192" s="3">
        <v>1</v>
      </c>
      <c r="EJ192" s="3"/>
      <c r="EK192" s="3"/>
      <c r="EL192" s="3"/>
      <c r="EM192" s="3"/>
      <c r="EN192" s="3"/>
      <c r="EO192" s="3">
        <v>1</v>
      </c>
      <c r="EP192" s="3"/>
      <c r="EQ192" s="3">
        <v>1</v>
      </c>
      <c r="FI192" s="3"/>
      <c r="FJ192" s="3"/>
      <c r="FK192" s="3"/>
      <c r="FL192" s="3">
        <v>1</v>
      </c>
      <c r="FR192" s="3">
        <v>1</v>
      </c>
    </row>
    <row r="193" spans="1:188" ht="13" x14ac:dyDescent="0.15">
      <c r="A193" s="24">
        <v>43525</v>
      </c>
      <c r="B193" s="25" t="s">
        <v>244</v>
      </c>
      <c r="C193" s="25">
        <v>21.310611999999999</v>
      </c>
      <c r="D193" s="25">
        <v>-158.00441000000001</v>
      </c>
      <c r="E193" s="25" t="s">
        <v>278</v>
      </c>
      <c r="F193" s="26">
        <v>0.38541666666666669</v>
      </c>
      <c r="G193" s="26">
        <v>0.47222222222222221</v>
      </c>
      <c r="H193" s="25">
        <v>8</v>
      </c>
      <c r="I193" s="25">
        <v>10</v>
      </c>
      <c r="J193" s="25" t="s">
        <v>318</v>
      </c>
      <c r="K193" s="25">
        <v>6</v>
      </c>
      <c r="L193" s="25">
        <v>32</v>
      </c>
      <c r="M193" s="25" t="s">
        <v>445</v>
      </c>
      <c r="N193" s="25"/>
      <c r="O193" s="25"/>
      <c r="P193" s="25"/>
      <c r="Q193" s="25">
        <v>1</v>
      </c>
      <c r="R193" s="25"/>
      <c r="S193" s="25"/>
      <c r="T193" s="25"/>
      <c r="U193" s="25"/>
      <c r="V193" s="25"/>
      <c r="W193" s="25"/>
      <c r="X193" s="25"/>
      <c r="Y193" s="25"/>
      <c r="Z193" s="25"/>
      <c r="AA193" s="25">
        <v>1</v>
      </c>
      <c r="AB193" s="25"/>
      <c r="AC193" s="25"/>
      <c r="AD193" s="25">
        <v>1</v>
      </c>
      <c r="AE193" s="25"/>
      <c r="AF193" s="25"/>
      <c r="AG193" s="25"/>
      <c r="AH193" s="25"/>
      <c r="AI193" s="25"/>
      <c r="AJ193" s="25"/>
      <c r="AK193" s="25"/>
      <c r="AL193" s="25">
        <v>1</v>
      </c>
      <c r="AM193" s="25"/>
      <c r="AN193" s="25"/>
      <c r="AO193" s="25"/>
      <c r="AP193" s="25"/>
      <c r="AQ193" s="25"/>
      <c r="AR193" s="25"/>
      <c r="AS193" s="25">
        <v>1</v>
      </c>
      <c r="AT193" s="25"/>
      <c r="AU193" s="25"/>
      <c r="AV193" s="25"/>
      <c r="AW193" s="25"/>
      <c r="AX193" s="25"/>
      <c r="AY193" s="25"/>
      <c r="AZ193" s="25"/>
      <c r="BA193" s="25">
        <v>1</v>
      </c>
      <c r="BB193" s="25"/>
      <c r="BC193" s="25">
        <v>1</v>
      </c>
      <c r="BD193" s="25">
        <v>1</v>
      </c>
      <c r="BE193" s="25"/>
      <c r="BF193" s="25"/>
      <c r="BG193" s="25"/>
      <c r="BH193" s="25"/>
      <c r="BI193" s="25"/>
      <c r="BJ193" s="25">
        <v>1</v>
      </c>
      <c r="BK193" s="25"/>
      <c r="BL193" s="25">
        <v>1</v>
      </c>
      <c r="BM193" s="25"/>
      <c r="BN193" s="25"/>
      <c r="BO193" s="25"/>
      <c r="BP193" s="25"/>
      <c r="BQ193" s="25"/>
      <c r="BR193" s="25"/>
      <c r="BS193" s="25"/>
      <c r="BT193" s="25"/>
      <c r="BU193" s="25">
        <v>1</v>
      </c>
      <c r="BV193" s="25"/>
      <c r="BW193" s="25">
        <v>1</v>
      </c>
      <c r="BX193" s="25"/>
      <c r="BY193" s="25"/>
      <c r="BZ193" s="25"/>
      <c r="CA193" s="25"/>
      <c r="CB193" s="25"/>
      <c r="CC193" s="25"/>
      <c r="CD193" s="25"/>
      <c r="CE193" s="25"/>
      <c r="CF193" s="25"/>
      <c r="CG193" s="25"/>
      <c r="CH193" s="25"/>
      <c r="CI193" s="25"/>
      <c r="CJ193" s="25"/>
      <c r="CK193" s="25"/>
      <c r="CL193" s="25">
        <v>1</v>
      </c>
      <c r="CM193" s="25"/>
      <c r="CN193" s="25"/>
      <c r="CO193" s="25"/>
      <c r="CP193" s="25"/>
      <c r="CQ193" s="25"/>
      <c r="CR193" s="25"/>
      <c r="CS193" s="25"/>
      <c r="CT193" s="25"/>
      <c r="CU193" s="25"/>
      <c r="CV193" s="25"/>
      <c r="CW193" s="25"/>
      <c r="CX193" s="25"/>
      <c r="CY193" s="25"/>
      <c r="CZ193" s="25"/>
      <c r="DA193" s="25"/>
      <c r="DB193" s="25">
        <v>1</v>
      </c>
      <c r="DC193" s="25"/>
      <c r="DD193" s="25">
        <v>1</v>
      </c>
      <c r="DE193" s="25"/>
      <c r="DF193" s="25">
        <v>1</v>
      </c>
      <c r="DG193" s="25"/>
      <c r="DH193" s="25"/>
      <c r="DI193" s="25"/>
      <c r="DJ193" s="25"/>
      <c r="DK193" s="25"/>
      <c r="DL193" s="25">
        <v>1</v>
      </c>
      <c r="DM193" s="25"/>
      <c r="DN193" s="25"/>
      <c r="DO193" s="25"/>
      <c r="DP193" s="25"/>
      <c r="DQ193" s="25"/>
      <c r="DR193" s="25"/>
      <c r="DS193" s="25"/>
      <c r="DT193" s="25"/>
      <c r="DU193" s="25"/>
      <c r="DV193" s="25"/>
      <c r="DW193" s="25"/>
      <c r="DX193" s="25"/>
      <c r="DY193" s="25"/>
      <c r="DZ193" s="25"/>
      <c r="EA193" s="25"/>
      <c r="EB193" s="25">
        <v>1</v>
      </c>
      <c r="EC193" s="25">
        <v>1</v>
      </c>
      <c r="ED193" s="25"/>
      <c r="EE193" s="25"/>
      <c r="EF193" s="25"/>
      <c r="EG193" s="25"/>
      <c r="EH193" s="25"/>
      <c r="EI193" s="25">
        <v>1</v>
      </c>
      <c r="EJ193" s="25">
        <v>1</v>
      </c>
      <c r="EK193" s="25"/>
      <c r="EL193" s="25"/>
      <c r="EM193" s="25"/>
      <c r="EN193" s="25">
        <v>1</v>
      </c>
      <c r="EO193" s="25"/>
      <c r="EP193" s="25"/>
      <c r="EQ193" s="25"/>
      <c r="ER193" s="25"/>
      <c r="ES193" s="25"/>
      <c r="ET193" s="25"/>
      <c r="EU193" s="25"/>
      <c r="EV193" s="25">
        <v>1</v>
      </c>
      <c r="EW193" s="25">
        <v>1</v>
      </c>
      <c r="EX193" s="25"/>
      <c r="EY193" s="25"/>
      <c r="EZ193" s="25"/>
      <c r="FA193" s="25"/>
      <c r="FB193" s="25"/>
      <c r="FC193" s="25"/>
      <c r="FD193" s="25"/>
      <c r="FE193" s="25"/>
      <c r="FF193" s="25"/>
      <c r="FG193" s="25"/>
      <c r="FH193" s="25"/>
      <c r="FI193" s="25"/>
      <c r="FJ193" s="25"/>
      <c r="FK193" s="25">
        <v>1</v>
      </c>
      <c r="FL193" s="25"/>
      <c r="FM193" s="25"/>
      <c r="FN193" s="25"/>
      <c r="FO193" s="25"/>
      <c r="FP193" s="25">
        <v>1</v>
      </c>
      <c r="FQ193" s="25"/>
      <c r="FR193" s="25">
        <v>1</v>
      </c>
      <c r="FS193" s="25"/>
      <c r="FT193" s="25"/>
      <c r="FU193" s="25"/>
      <c r="FV193" s="25"/>
      <c r="FW193" s="25"/>
      <c r="FX193" s="25"/>
      <c r="FY193" s="25"/>
      <c r="FZ193" s="25"/>
      <c r="GA193" s="25"/>
      <c r="GB193" s="25"/>
      <c r="GC193" s="25"/>
      <c r="GD193" s="25"/>
      <c r="GE193" s="25"/>
      <c r="GF193" s="25"/>
    </row>
    <row r="194" spans="1:188" ht="13" x14ac:dyDescent="0.15">
      <c r="A194" s="24">
        <v>43528</v>
      </c>
      <c r="B194" s="25" t="s">
        <v>400</v>
      </c>
      <c r="C194" s="25">
        <v>21.900562000000001</v>
      </c>
      <c r="D194" s="25">
        <v>-159.60981799999999</v>
      </c>
      <c r="E194" s="25" t="s">
        <v>401</v>
      </c>
      <c r="F194" s="26">
        <v>0.39583333333333331</v>
      </c>
      <c r="G194" s="26">
        <v>0.44097222222222221</v>
      </c>
      <c r="H194" s="25">
        <v>6</v>
      </c>
      <c r="I194" s="25">
        <v>14</v>
      </c>
      <c r="J194" s="25" t="s">
        <v>198</v>
      </c>
      <c r="K194" s="25">
        <v>14</v>
      </c>
      <c r="L194" s="25">
        <v>43</v>
      </c>
      <c r="M194" s="25" t="s">
        <v>447</v>
      </c>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v>1</v>
      </c>
      <c r="BB194" s="25"/>
      <c r="BC194" s="25"/>
      <c r="BD194" s="25"/>
      <c r="BE194" s="25"/>
      <c r="BF194" s="25"/>
      <c r="BG194" s="25">
        <v>1</v>
      </c>
      <c r="BH194" s="25"/>
      <c r="BI194" s="25"/>
      <c r="BJ194" s="25"/>
      <c r="BK194" s="25"/>
      <c r="BL194" s="25"/>
      <c r="BM194" s="25"/>
      <c r="BN194" s="25"/>
      <c r="BO194" s="25"/>
      <c r="BP194" s="25"/>
      <c r="BQ194" s="25"/>
      <c r="BR194" s="25"/>
      <c r="BS194" s="25"/>
      <c r="BT194" s="25"/>
      <c r="BU194" s="25"/>
      <c r="BV194" s="25">
        <v>1</v>
      </c>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c r="DE194" s="25"/>
      <c r="DF194" s="25"/>
      <c r="DG194" s="25"/>
      <c r="DH194" s="25"/>
      <c r="DI194" s="25">
        <v>1</v>
      </c>
      <c r="DJ194" s="25"/>
      <c r="DK194" s="25">
        <v>1</v>
      </c>
      <c r="DL194" s="25"/>
      <c r="DM194" s="25"/>
      <c r="DN194" s="25"/>
      <c r="DO194" s="25"/>
      <c r="DP194" s="25"/>
      <c r="DQ194" s="25"/>
      <c r="DR194" s="25">
        <v>1</v>
      </c>
      <c r="DS194" s="25"/>
      <c r="DT194" s="25"/>
      <c r="DU194" s="25">
        <v>1</v>
      </c>
      <c r="DV194" s="25"/>
      <c r="DW194" s="25"/>
      <c r="DX194" s="25"/>
      <c r="DY194" s="25"/>
      <c r="DZ194" s="25"/>
      <c r="EA194" s="25"/>
      <c r="EB194" s="25"/>
      <c r="EC194" s="25">
        <v>1</v>
      </c>
      <c r="ED194" s="25"/>
      <c r="EE194" s="25"/>
      <c r="EF194" s="25"/>
      <c r="EG194" s="25"/>
      <c r="EH194" s="25"/>
      <c r="EI194" s="25">
        <v>1</v>
      </c>
      <c r="EJ194" s="25"/>
      <c r="EK194" s="25"/>
      <c r="EL194" s="25"/>
      <c r="EM194" s="25"/>
      <c r="EN194" s="25"/>
      <c r="EO194" s="25"/>
      <c r="EP194" s="25"/>
      <c r="EQ194" s="25"/>
      <c r="ER194" s="25"/>
      <c r="ES194" s="25"/>
      <c r="ET194" s="25"/>
      <c r="EU194" s="25"/>
      <c r="EV194" s="25"/>
      <c r="EW194" s="25"/>
      <c r="EX194" s="25"/>
      <c r="EY194" s="25"/>
      <c r="EZ194" s="25"/>
      <c r="FA194" s="25">
        <v>1</v>
      </c>
      <c r="FB194" s="25"/>
      <c r="FC194" s="25"/>
      <c r="FD194" s="25"/>
      <c r="FE194" s="25"/>
      <c r="FF194" s="25"/>
      <c r="FG194" s="25"/>
      <c r="FH194" s="25"/>
      <c r="FI194" s="25"/>
      <c r="FJ194" s="25"/>
      <c r="FK194" s="25"/>
      <c r="FL194" s="25"/>
      <c r="FM194" s="25"/>
      <c r="FN194" s="25"/>
      <c r="FO194" s="25"/>
      <c r="FP194" s="25"/>
      <c r="FQ194" s="25">
        <v>1</v>
      </c>
      <c r="FR194" s="25">
        <v>1</v>
      </c>
      <c r="FS194" s="25"/>
      <c r="FT194" s="25"/>
      <c r="FU194" s="25"/>
      <c r="FV194" s="25"/>
      <c r="FW194" s="25"/>
      <c r="FX194" s="25"/>
      <c r="FY194" s="25"/>
      <c r="FZ194" s="25"/>
      <c r="GA194" s="25"/>
      <c r="GB194" s="25"/>
      <c r="GC194" s="25"/>
      <c r="GD194" s="25"/>
      <c r="GE194" s="25"/>
      <c r="GF194" s="25"/>
    </row>
    <row r="195" spans="1:188" ht="13" x14ac:dyDescent="0.15">
      <c r="A195" s="13">
        <v>43531</v>
      </c>
      <c r="B195" s="3" t="s">
        <v>266</v>
      </c>
      <c r="C195" s="3">
        <v>22.060683999999998</v>
      </c>
      <c r="D195" s="3">
        <v>-159.318512</v>
      </c>
      <c r="E195" s="3" t="s">
        <v>418</v>
      </c>
      <c r="F195" s="14">
        <v>0.4375</v>
      </c>
      <c r="G195" s="14">
        <v>0.50208333333333333</v>
      </c>
      <c r="H195" s="3">
        <v>7</v>
      </c>
      <c r="I195" s="3">
        <v>18</v>
      </c>
      <c r="J195" s="3" t="s">
        <v>198</v>
      </c>
      <c r="K195" s="3">
        <v>10</v>
      </c>
      <c r="L195" s="3">
        <v>56</v>
      </c>
      <c r="M195" s="3" t="s">
        <v>450</v>
      </c>
      <c r="T195" s="3"/>
      <c r="U195" s="3"/>
      <c r="V195" s="3"/>
      <c r="W195" s="3">
        <v>1</v>
      </c>
      <c r="AG195" s="3"/>
      <c r="AH195" s="3">
        <v>1</v>
      </c>
      <c r="AZ195" s="3"/>
      <c r="BA195" s="3">
        <v>1</v>
      </c>
      <c r="BL195" s="3">
        <v>1</v>
      </c>
      <c r="BM195" s="3">
        <v>1</v>
      </c>
      <c r="BR195" s="3"/>
      <c r="BS195" s="3"/>
      <c r="BT195" s="3"/>
      <c r="BU195" s="3">
        <v>1</v>
      </c>
      <c r="CC195" s="3"/>
      <c r="CD195" s="3">
        <v>1</v>
      </c>
      <c r="DJ195" s="3"/>
      <c r="DK195" s="3">
        <v>1</v>
      </c>
      <c r="DL195" s="3">
        <v>1</v>
      </c>
      <c r="DP195" s="3"/>
      <c r="DQ195" s="3"/>
      <c r="DR195" s="3">
        <v>1</v>
      </c>
      <c r="DT195" s="3"/>
      <c r="DU195" s="3">
        <v>1</v>
      </c>
      <c r="ED195" s="3"/>
      <c r="EE195" s="3"/>
      <c r="EF195" s="3"/>
      <c r="EG195" s="3"/>
      <c r="EH195" s="3"/>
      <c r="EI195" s="3">
        <v>1</v>
      </c>
      <c r="EX195" s="3"/>
      <c r="EY195" s="3"/>
      <c r="EZ195" s="3"/>
      <c r="FA195" s="3">
        <v>1</v>
      </c>
      <c r="FB195" s="3">
        <v>1</v>
      </c>
      <c r="FL195" s="3">
        <v>1</v>
      </c>
      <c r="FQ195" s="3">
        <v>1</v>
      </c>
      <c r="FR195" s="3">
        <v>1</v>
      </c>
    </row>
    <row r="196" spans="1:188" ht="13" x14ac:dyDescent="0.15">
      <c r="A196" s="24">
        <v>43531</v>
      </c>
      <c r="B196" s="25" t="s">
        <v>233</v>
      </c>
      <c r="C196" s="25">
        <v>21.066799</v>
      </c>
      <c r="D196" s="25">
        <v>-156.804993</v>
      </c>
      <c r="E196" s="25" t="s">
        <v>286</v>
      </c>
      <c r="F196" s="26">
        <v>0.43541666666666667</v>
      </c>
      <c r="G196" s="26">
        <v>0.47430555555555554</v>
      </c>
      <c r="H196" s="25">
        <v>4</v>
      </c>
      <c r="I196" s="25">
        <v>24</v>
      </c>
      <c r="J196" s="25" t="s">
        <v>227</v>
      </c>
      <c r="K196" s="25">
        <v>9</v>
      </c>
      <c r="L196" s="25">
        <v>25</v>
      </c>
      <c r="M196" s="25" t="s">
        <v>451</v>
      </c>
      <c r="N196" s="25"/>
      <c r="O196" s="25"/>
      <c r="P196" s="25"/>
      <c r="Q196" s="25">
        <v>1</v>
      </c>
      <c r="R196" s="25"/>
      <c r="S196" s="25"/>
      <c r="T196" s="25"/>
      <c r="U196" s="25"/>
      <c r="V196" s="25"/>
      <c r="W196" s="25"/>
      <c r="X196" s="25"/>
      <c r="Y196" s="25"/>
      <c r="Z196" s="25"/>
      <c r="AA196" s="25"/>
      <c r="AB196" s="25"/>
      <c r="AC196" s="25"/>
      <c r="AD196" s="25"/>
      <c r="AE196" s="25"/>
      <c r="AF196" s="25"/>
      <c r="AG196" s="25"/>
      <c r="AH196" s="25"/>
      <c r="AI196" s="25"/>
      <c r="AJ196" s="25"/>
      <c r="AK196" s="25"/>
      <c r="AL196" s="25">
        <v>1</v>
      </c>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v>1</v>
      </c>
      <c r="BM196" s="25"/>
      <c r="BN196" s="25"/>
      <c r="BO196" s="25"/>
      <c r="BP196" s="25"/>
      <c r="BQ196" s="25"/>
      <c r="BR196" s="25"/>
      <c r="BS196" s="25"/>
      <c r="BT196" s="25"/>
      <c r="BU196" s="25"/>
      <c r="BV196" s="25"/>
      <c r="BW196" s="25"/>
      <c r="BX196" s="25"/>
      <c r="BY196" s="25"/>
      <c r="BZ196" s="25"/>
      <c r="CA196" s="25"/>
      <c r="CB196" s="25"/>
      <c r="CC196" s="25"/>
      <c r="CD196" s="25"/>
      <c r="CE196" s="25"/>
      <c r="CF196" s="25"/>
      <c r="CG196" s="25">
        <v>1</v>
      </c>
      <c r="CH196" s="25"/>
      <c r="CI196" s="25"/>
      <c r="CJ196" s="25"/>
      <c r="CK196" s="25"/>
      <c r="CL196" s="25"/>
      <c r="CM196" s="25"/>
      <c r="CN196" s="25">
        <v>1</v>
      </c>
      <c r="CO196" s="25"/>
      <c r="CP196" s="25"/>
      <c r="CQ196" s="25"/>
      <c r="CR196" s="25"/>
      <c r="CS196" s="25"/>
      <c r="CT196" s="25"/>
      <c r="CU196" s="25"/>
      <c r="CV196" s="25"/>
      <c r="CW196" s="25"/>
      <c r="CX196" s="25"/>
      <c r="CY196" s="25"/>
      <c r="CZ196" s="25"/>
      <c r="DA196" s="25"/>
      <c r="DB196" s="25"/>
      <c r="DC196" s="25"/>
      <c r="DD196" s="25"/>
      <c r="DE196" s="25"/>
      <c r="DF196" s="25"/>
      <c r="DG196" s="25"/>
      <c r="DH196" s="25"/>
      <c r="DI196" s="25"/>
      <c r="DJ196" s="25"/>
      <c r="DK196" s="25"/>
      <c r="DL196" s="25">
        <v>1</v>
      </c>
      <c r="DM196" s="25"/>
      <c r="DN196" s="25"/>
      <c r="DO196" s="25"/>
      <c r="DP196" s="25"/>
      <c r="DQ196" s="25"/>
      <c r="DR196" s="25"/>
      <c r="DS196" s="25"/>
      <c r="DT196" s="25"/>
      <c r="DU196" s="25"/>
      <c r="DV196" s="25"/>
      <c r="DW196" s="25"/>
      <c r="DX196" s="25"/>
      <c r="DY196" s="25"/>
      <c r="DZ196" s="25"/>
      <c r="EA196" s="25"/>
      <c r="EB196" s="25"/>
      <c r="EC196" s="25"/>
      <c r="ED196" s="25"/>
      <c r="EE196" s="25"/>
      <c r="EF196" s="25"/>
      <c r="EG196" s="25"/>
      <c r="EH196" s="25"/>
      <c r="EI196" s="25">
        <v>1</v>
      </c>
      <c r="EJ196" s="25">
        <v>1</v>
      </c>
      <c r="EK196" s="25"/>
      <c r="EL196" s="25"/>
      <c r="EM196" s="25"/>
      <c r="EN196" s="25"/>
      <c r="EO196" s="25"/>
      <c r="EP196" s="25">
        <v>1</v>
      </c>
      <c r="EQ196" s="25"/>
      <c r="ER196" s="25"/>
      <c r="ES196" s="25"/>
      <c r="ET196" s="25"/>
      <c r="EU196" s="25"/>
      <c r="EV196" s="25"/>
      <c r="EW196" s="25"/>
      <c r="EX196" s="25"/>
      <c r="EY196" s="25"/>
      <c r="EZ196" s="25"/>
      <c r="FA196" s="25"/>
      <c r="FB196" s="25"/>
      <c r="FC196" s="25"/>
      <c r="FD196" s="25"/>
      <c r="FE196" s="25"/>
      <c r="FF196" s="25"/>
      <c r="FG196" s="25"/>
      <c r="FH196" s="25"/>
      <c r="FI196" s="25"/>
      <c r="FJ196" s="25"/>
      <c r="FK196" s="25"/>
      <c r="FL196" s="25"/>
      <c r="FM196" s="25"/>
      <c r="FN196" s="25"/>
      <c r="FO196" s="25"/>
      <c r="FP196" s="25"/>
      <c r="FQ196" s="25">
        <v>1</v>
      </c>
      <c r="FR196" s="25">
        <v>1</v>
      </c>
      <c r="FS196" s="25"/>
      <c r="FT196" s="25"/>
      <c r="FU196" s="25"/>
      <c r="FV196" s="25"/>
      <c r="FW196" s="25"/>
      <c r="FX196" s="25"/>
      <c r="FY196" s="25"/>
      <c r="FZ196" s="25"/>
      <c r="GA196" s="25"/>
      <c r="GB196" s="25"/>
      <c r="GC196" s="25"/>
      <c r="GD196" s="25"/>
      <c r="GE196" s="25"/>
      <c r="GF196" s="25"/>
    </row>
    <row r="197" spans="1:188" ht="16" x14ac:dyDescent="0.2">
      <c r="A197" s="33">
        <v>43533</v>
      </c>
      <c r="B197" s="22" t="s">
        <v>244</v>
      </c>
      <c r="C197" s="3">
        <v>21.310611999999999</v>
      </c>
      <c r="D197" s="3">
        <v>-158.00441000000001</v>
      </c>
      <c r="E197" s="22" t="s">
        <v>418</v>
      </c>
      <c r="F197" s="34">
        <v>0.45277777777777778</v>
      </c>
      <c r="G197" s="34">
        <v>0.48194444444444445</v>
      </c>
      <c r="H197" s="22">
        <v>5</v>
      </c>
      <c r="I197" s="22">
        <v>20</v>
      </c>
      <c r="J197" s="22" t="s">
        <v>217</v>
      </c>
      <c r="K197" s="22">
        <v>5</v>
      </c>
      <c r="L197" s="22">
        <v>24</v>
      </c>
      <c r="M197" s="22" t="s">
        <v>403</v>
      </c>
      <c r="Q197" s="3">
        <v>1</v>
      </c>
      <c r="X197" s="3"/>
      <c r="Y197" s="3"/>
      <c r="Z197" s="3"/>
      <c r="AA197" s="3">
        <v>1</v>
      </c>
      <c r="AD197" s="3">
        <v>1</v>
      </c>
      <c r="AG197" s="3"/>
      <c r="AH197" s="3">
        <v>1</v>
      </c>
      <c r="AI197" s="3"/>
      <c r="AJ197" s="3"/>
      <c r="AK197" s="3"/>
      <c r="AL197" s="3">
        <v>1</v>
      </c>
      <c r="AZ197" s="3"/>
      <c r="BA197" s="3">
        <v>1</v>
      </c>
      <c r="BD197" s="3">
        <v>1</v>
      </c>
      <c r="BL197" s="3">
        <v>1</v>
      </c>
      <c r="BP197" s="3">
        <v>1</v>
      </c>
      <c r="BR197" s="3"/>
      <c r="BS197" s="3"/>
      <c r="BT197" s="3"/>
      <c r="BU197" s="3">
        <v>1</v>
      </c>
      <c r="BX197" s="3"/>
      <c r="BY197" s="3">
        <v>1</v>
      </c>
      <c r="CM197" s="3"/>
      <c r="CN197" s="3">
        <v>1</v>
      </c>
      <c r="DE197" s="3"/>
      <c r="DF197" s="3">
        <v>1</v>
      </c>
      <c r="DN197" s="3">
        <v>1</v>
      </c>
      <c r="DT197" s="3"/>
      <c r="DU197" s="3">
        <v>1</v>
      </c>
      <c r="EA197" s="3"/>
      <c r="EB197" s="3">
        <v>1</v>
      </c>
      <c r="ED197" s="3"/>
      <c r="EE197" s="3"/>
      <c r="EF197" s="3"/>
      <c r="EG197" s="3"/>
      <c r="EH197" s="3"/>
      <c r="EI197" s="3">
        <v>1</v>
      </c>
      <c r="EK197" s="3"/>
      <c r="EL197" s="3"/>
      <c r="EM197" s="3"/>
      <c r="EN197" s="3">
        <v>1</v>
      </c>
      <c r="FL197" s="3">
        <v>1</v>
      </c>
      <c r="FM197" s="3"/>
      <c r="FN197" s="3"/>
      <c r="FO197" s="3"/>
      <c r="FP197" s="3">
        <v>1</v>
      </c>
      <c r="FR197" s="3">
        <v>1</v>
      </c>
      <c r="FY197" s="22"/>
      <c r="FZ197" s="22"/>
      <c r="GA197" s="22"/>
      <c r="GB197" s="22"/>
      <c r="GC197" s="22"/>
      <c r="GD197" s="22"/>
      <c r="GE197" s="22"/>
      <c r="GF197" s="22"/>
    </row>
    <row r="198" spans="1:188" ht="16" x14ac:dyDescent="0.2">
      <c r="A198" s="35">
        <v>43536</v>
      </c>
      <c r="B198" s="22" t="s">
        <v>201</v>
      </c>
      <c r="C198" s="3">
        <v>21.25544</v>
      </c>
      <c r="D198" s="22">
        <v>-157.810303</v>
      </c>
      <c r="E198" s="22" t="s">
        <v>418</v>
      </c>
      <c r="F198" s="34">
        <v>0.5625</v>
      </c>
      <c r="G198" s="36">
        <v>0.66666666666666663</v>
      </c>
      <c r="H198" s="22">
        <v>7</v>
      </c>
      <c r="I198" s="22">
        <v>8</v>
      </c>
      <c r="J198" s="22" t="s">
        <v>198</v>
      </c>
      <c r="K198" s="22">
        <v>25</v>
      </c>
      <c r="L198" s="22">
        <v>35</v>
      </c>
      <c r="M198" s="22"/>
      <c r="N198" s="22"/>
      <c r="Q198" s="3">
        <v>1</v>
      </c>
      <c r="T198" s="3"/>
      <c r="U198" s="3"/>
      <c r="V198" s="3"/>
      <c r="W198" s="3">
        <v>1</v>
      </c>
      <c r="X198" s="3"/>
      <c r="Y198" s="3"/>
      <c r="Z198" s="3"/>
      <c r="AA198" s="3">
        <v>1</v>
      </c>
      <c r="AB198" s="3"/>
      <c r="AC198" s="3">
        <v>1</v>
      </c>
      <c r="AD198" s="3">
        <v>1</v>
      </c>
      <c r="AG198" s="3"/>
      <c r="AH198" s="3">
        <v>1</v>
      </c>
      <c r="AI198" s="3"/>
      <c r="AJ198" s="3"/>
      <c r="AK198" s="3"/>
      <c r="AL198" s="3">
        <v>1</v>
      </c>
      <c r="AM198" s="3">
        <v>1</v>
      </c>
      <c r="AZ198" s="3"/>
      <c r="BA198" s="3">
        <v>1</v>
      </c>
      <c r="BB198" s="3">
        <v>1</v>
      </c>
      <c r="BH198" s="3"/>
      <c r="BI198" s="3"/>
      <c r="BJ198" s="3">
        <v>1</v>
      </c>
      <c r="BL198" s="3">
        <v>1</v>
      </c>
      <c r="BP198" s="3">
        <v>1</v>
      </c>
      <c r="BR198" s="3"/>
      <c r="BS198" s="3"/>
      <c r="BT198" s="3"/>
      <c r="BU198" s="3">
        <v>1</v>
      </c>
      <c r="BV198" s="3">
        <v>1</v>
      </c>
      <c r="BX198" s="3">
        <v>1</v>
      </c>
      <c r="BY198" s="3">
        <v>1</v>
      </c>
      <c r="CF198" s="3"/>
      <c r="CG198" s="3">
        <v>1</v>
      </c>
      <c r="CH198" s="3"/>
      <c r="CI198" s="3"/>
      <c r="CJ198" s="3">
        <v>1</v>
      </c>
      <c r="CM198" s="3"/>
      <c r="CN198" s="3">
        <v>1</v>
      </c>
      <c r="CU198" s="3"/>
      <c r="CV198" s="3"/>
      <c r="CW198" s="3"/>
      <c r="CX198" s="3"/>
      <c r="CY198" s="3"/>
      <c r="CZ198" s="3">
        <v>1</v>
      </c>
      <c r="DE198" s="3"/>
      <c r="DF198" s="3">
        <v>1</v>
      </c>
      <c r="DJ198" s="3"/>
      <c r="DK198" s="3">
        <v>1</v>
      </c>
      <c r="DL198" s="3">
        <v>1</v>
      </c>
      <c r="DM198" s="3">
        <v>1</v>
      </c>
      <c r="DO198" s="3">
        <v>1</v>
      </c>
      <c r="DP198" s="3">
        <v>1</v>
      </c>
      <c r="DQ198" s="3"/>
      <c r="DR198" s="3">
        <v>1</v>
      </c>
      <c r="DT198" s="3"/>
      <c r="DU198" s="3">
        <v>1</v>
      </c>
      <c r="ED198" s="3"/>
      <c r="EE198" s="3"/>
      <c r="EF198" s="3"/>
      <c r="EG198" s="3"/>
      <c r="EH198" s="3"/>
      <c r="EI198" s="3">
        <v>1</v>
      </c>
      <c r="EX198" s="3"/>
      <c r="EY198" s="3">
        <v>1</v>
      </c>
      <c r="EZ198" s="3">
        <v>1</v>
      </c>
      <c r="FA198" s="3">
        <v>1</v>
      </c>
      <c r="FB198" s="3">
        <v>1</v>
      </c>
      <c r="FC198" s="3"/>
      <c r="FD198" s="3">
        <v>1</v>
      </c>
      <c r="FE198" s="3">
        <v>1</v>
      </c>
      <c r="FQ198" s="3">
        <v>1</v>
      </c>
      <c r="FR198" s="3">
        <v>1</v>
      </c>
      <c r="FS198" s="3"/>
      <c r="FT198" s="3">
        <v>1</v>
      </c>
      <c r="FU198" s="3"/>
      <c r="FV198" s="3">
        <v>1</v>
      </c>
      <c r="FY198" s="22"/>
      <c r="FZ198" s="22"/>
      <c r="GA198" s="22"/>
      <c r="GB198" s="22"/>
      <c r="GC198" s="22"/>
      <c r="GD198" s="22"/>
      <c r="GE198" s="22"/>
      <c r="GF198" s="22"/>
    </row>
    <row r="199" spans="1:188" ht="16" x14ac:dyDescent="0.2">
      <c r="A199" s="27">
        <v>43536</v>
      </c>
      <c r="B199" s="39" t="s">
        <v>473</v>
      </c>
      <c r="C199" s="28">
        <v>21.3962</v>
      </c>
      <c r="D199" s="28">
        <v>-157.72030599999999</v>
      </c>
      <c r="E199" s="39" t="s">
        <v>418</v>
      </c>
      <c r="F199" s="40">
        <v>0.39305555555555555</v>
      </c>
      <c r="G199" s="40">
        <v>0.4375</v>
      </c>
      <c r="H199" s="39">
        <v>5</v>
      </c>
      <c r="I199" s="39">
        <v>10</v>
      </c>
      <c r="J199" s="39" t="s">
        <v>217</v>
      </c>
      <c r="K199" s="39">
        <v>6</v>
      </c>
      <c r="L199" s="39">
        <v>20</v>
      </c>
      <c r="M199" s="39" t="s">
        <v>541</v>
      </c>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v>1</v>
      </c>
      <c r="BC199" s="39"/>
      <c r="BD199" s="39">
        <v>1</v>
      </c>
      <c r="BE199" s="39"/>
      <c r="BF199" s="39"/>
      <c r="BG199" s="39"/>
      <c r="BH199" s="39"/>
      <c r="BI199" s="39"/>
      <c r="BJ199" s="39"/>
      <c r="BK199" s="39"/>
      <c r="BL199" s="39"/>
      <c r="BM199" s="39"/>
      <c r="BN199" s="39"/>
      <c r="BO199" s="39"/>
      <c r="BP199" s="39"/>
      <c r="BQ199" s="39"/>
      <c r="BR199" s="39"/>
      <c r="BS199" s="39"/>
      <c r="BT199" s="39"/>
      <c r="BU199" s="39">
        <v>1</v>
      </c>
      <c r="BV199" s="39"/>
      <c r="BW199" s="39"/>
      <c r="BX199" s="39"/>
      <c r="BY199" s="39"/>
      <c r="BZ199" s="39"/>
      <c r="CA199" s="39"/>
      <c r="CB199" s="39"/>
      <c r="CC199" s="39"/>
      <c r="CD199" s="39"/>
      <c r="CE199" s="39"/>
      <c r="CF199" s="39"/>
      <c r="CG199" s="39"/>
      <c r="CH199" s="39"/>
      <c r="CI199" s="39"/>
      <c r="CJ199" s="39"/>
      <c r="CK199" s="39"/>
      <c r="CL199" s="39"/>
      <c r="CM199" s="39"/>
      <c r="CN199" s="39"/>
      <c r="CO199" s="39"/>
      <c r="CP199" s="39"/>
      <c r="CQ199" s="39"/>
      <c r="CR199" s="39">
        <v>1</v>
      </c>
      <c r="CS199" s="39"/>
      <c r="CT199" s="39"/>
      <c r="CU199" s="39">
        <v>1</v>
      </c>
      <c r="CV199" s="39"/>
      <c r="CW199" s="39"/>
      <c r="CX199" s="39"/>
      <c r="CY199" s="39"/>
      <c r="CZ199" s="39"/>
      <c r="DA199" s="39"/>
      <c r="DB199" s="39"/>
      <c r="DC199" s="39"/>
      <c r="DD199" s="39"/>
      <c r="DE199" s="39"/>
      <c r="DF199" s="39"/>
      <c r="DG199" s="39"/>
      <c r="DH199" s="39"/>
      <c r="DI199" s="39"/>
      <c r="DJ199" s="39"/>
      <c r="DK199" s="39"/>
      <c r="DL199" s="39"/>
      <c r="DM199" s="39"/>
      <c r="DN199" s="39"/>
      <c r="DO199" s="39"/>
      <c r="DP199" s="39"/>
      <c r="DQ199" s="39"/>
      <c r="DR199" s="39"/>
      <c r="DS199" s="39"/>
      <c r="DT199" s="39"/>
      <c r="DU199" s="39">
        <v>1</v>
      </c>
      <c r="DV199" s="39"/>
      <c r="DW199" s="39"/>
      <c r="DX199" s="39"/>
      <c r="DY199" s="39"/>
      <c r="DZ199" s="39"/>
      <c r="EA199" s="39"/>
      <c r="EB199" s="39"/>
      <c r="EC199" s="39"/>
      <c r="ED199" s="39"/>
      <c r="EE199" s="39"/>
      <c r="EF199" s="39"/>
      <c r="EG199" s="39"/>
      <c r="EH199" s="39"/>
      <c r="EI199" s="39"/>
      <c r="EJ199" s="39"/>
      <c r="EK199" s="39"/>
      <c r="EL199" s="39"/>
      <c r="EM199" s="39"/>
      <c r="EN199" s="39"/>
      <c r="EO199" s="39"/>
      <c r="EP199" s="39"/>
      <c r="EQ199" s="39"/>
      <c r="ER199" s="39"/>
      <c r="ES199" s="39"/>
      <c r="ET199" s="39"/>
      <c r="EU199" s="39"/>
      <c r="EV199" s="39"/>
      <c r="EW199" s="39"/>
      <c r="EX199" s="39"/>
      <c r="EY199" s="39"/>
      <c r="EZ199" s="39"/>
      <c r="FA199" s="39"/>
      <c r="FB199" s="39"/>
      <c r="FC199" s="39"/>
      <c r="FD199" s="39"/>
      <c r="FE199" s="39"/>
      <c r="FF199" s="39"/>
      <c r="FG199" s="39"/>
      <c r="FH199" s="39"/>
      <c r="FI199" s="39"/>
      <c r="FJ199" s="39"/>
      <c r="FK199" s="39"/>
      <c r="FL199" s="39"/>
      <c r="FM199" s="39"/>
      <c r="FN199" s="39"/>
      <c r="FO199" s="39"/>
      <c r="FP199" s="39"/>
      <c r="FQ199" s="39"/>
      <c r="FR199" s="39">
        <v>1</v>
      </c>
      <c r="FS199" s="39"/>
      <c r="FT199" s="39"/>
      <c r="FU199" s="39"/>
      <c r="FV199" s="39"/>
      <c r="FW199" s="28"/>
      <c r="FX199" s="28"/>
      <c r="FY199" s="39"/>
      <c r="FZ199" s="39"/>
      <c r="GA199" s="39"/>
      <c r="GB199" s="39"/>
      <c r="GC199" s="39"/>
      <c r="GD199" s="39"/>
      <c r="GE199" s="39"/>
      <c r="GF199" s="39"/>
    </row>
    <row r="200" spans="1:188" ht="16" x14ac:dyDescent="0.2">
      <c r="A200" s="24">
        <v>43556</v>
      </c>
      <c r="B200" s="41" t="s">
        <v>456</v>
      </c>
      <c r="C200" s="25">
        <v>21.316488</v>
      </c>
      <c r="D200" s="25">
        <v>-157.66426100000001</v>
      </c>
      <c r="E200" s="41" t="s">
        <v>418</v>
      </c>
      <c r="F200" s="42">
        <v>0.36458333333333331</v>
      </c>
      <c r="G200" s="42">
        <v>0.45833333333333331</v>
      </c>
      <c r="H200" s="41">
        <v>7</v>
      </c>
      <c r="I200" s="41">
        <v>15</v>
      </c>
      <c r="J200" s="41" t="s">
        <v>318</v>
      </c>
      <c r="K200" s="41">
        <v>5</v>
      </c>
      <c r="L200" s="41">
        <v>28</v>
      </c>
      <c r="M200" s="41" t="s">
        <v>457</v>
      </c>
      <c r="N200" s="41"/>
      <c r="O200" s="41"/>
      <c r="P200" s="41"/>
      <c r="Q200" s="41"/>
      <c r="R200" s="41"/>
      <c r="S200" s="41"/>
      <c r="T200" s="41"/>
      <c r="U200" s="41"/>
      <c r="V200" s="41"/>
      <c r="W200" s="41"/>
      <c r="X200" s="41"/>
      <c r="Y200" s="41"/>
      <c r="Z200" s="41"/>
      <c r="AA200" s="41">
        <v>1</v>
      </c>
      <c r="AB200" s="41"/>
      <c r="AC200" s="41"/>
      <c r="AD200" s="41"/>
      <c r="AE200" s="41"/>
      <c r="AF200" s="41"/>
      <c r="AG200" s="41"/>
      <c r="AH200" s="41"/>
      <c r="AI200" s="41"/>
      <c r="AJ200" s="41"/>
      <c r="AK200" s="41"/>
      <c r="AL200" s="41">
        <v>1</v>
      </c>
      <c r="AM200" s="41">
        <v>1</v>
      </c>
      <c r="AN200" s="41"/>
      <c r="AO200" s="41"/>
      <c r="AP200" s="41"/>
      <c r="AQ200" s="41"/>
      <c r="AR200" s="41"/>
      <c r="AS200" s="41"/>
      <c r="AT200" s="41"/>
      <c r="AU200" s="41"/>
      <c r="AV200" s="41"/>
      <c r="AW200" s="41"/>
      <c r="AX200" s="41">
        <v>1</v>
      </c>
      <c r="AY200" s="41"/>
      <c r="AZ200" s="41"/>
      <c r="BA200" s="41"/>
      <c r="BB200" s="41"/>
      <c r="BC200" s="41"/>
      <c r="BD200" s="41"/>
      <c r="BE200" s="41">
        <v>1</v>
      </c>
      <c r="BF200" s="41"/>
      <c r="BG200" s="41"/>
      <c r="BH200" s="41"/>
      <c r="BI200" s="41"/>
      <c r="BJ200" s="41"/>
      <c r="BK200" s="41"/>
      <c r="BL200" s="41">
        <v>1</v>
      </c>
      <c r="BM200" s="41"/>
      <c r="BN200" s="41"/>
      <c r="BO200" s="41"/>
      <c r="BP200" s="41"/>
      <c r="BQ200" s="41"/>
      <c r="BR200" s="41"/>
      <c r="BS200" s="41"/>
      <c r="BT200" s="41"/>
      <c r="BU200" s="41"/>
      <c r="BV200" s="41"/>
      <c r="BW200" s="41"/>
      <c r="BX200" s="41">
        <v>1</v>
      </c>
      <c r="BY200" s="41"/>
      <c r="BZ200" s="41"/>
      <c r="CA200" s="41"/>
      <c r="CB200" s="41">
        <v>1</v>
      </c>
      <c r="CC200" s="41">
        <v>1</v>
      </c>
      <c r="CD200" s="41">
        <v>1</v>
      </c>
      <c r="CE200" s="41">
        <v>1</v>
      </c>
      <c r="CF200" s="41"/>
      <c r="CG200" s="41"/>
      <c r="CH200" s="41"/>
      <c r="CI200" s="41"/>
      <c r="CJ200" s="41"/>
      <c r="CK200" s="41"/>
      <c r="CL200" s="41"/>
      <c r="CM200" s="41"/>
      <c r="CN200" s="41"/>
      <c r="CO200" s="41"/>
      <c r="CP200" s="41"/>
      <c r="CQ200" s="41"/>
      <c r="CR200" s="41"/>
      <c r="CS200" s="41"/>
      <c r="CT200" s="41"/>
      <c r="CU200" s="41">
        <v>1</v>
      </c>
      <c r="CV200" s="41"/>
      <c r="CW200" s="41"/>
      <c r="CX200" s="41"/>
      <c r="CY200" s="41"/>
      <c r="CZ200" s="41"/>
      <c r="DA200" s="41"/>
      <c r="DB200" s="41"/>
      <c r="DC200" s="41"/>
      <c r="DD200" s="41"/>
      <c r="DE200" s="41"/>
      <c r="DF200" s="41">
        <v>1</v>
      </c>
      <c r="DG200" s="41">
        <v>1</v>
      </c>
      <c r="DH200" s="41"/>
      <c r="DI200" s="41"/>
      <c r="DJ200" s="41"/>
      <c r="DK200" s="41"/>
      <c r="DL200" s="41"/>
      <c r="DM200" s="41"/>
      <c r="DN200" s="41"/>
      <c r="DO200" s="41"/>
      <c r="DP200" s="41"/>
      <c r="DQ200" s="41"/>
      <c r="DR200" s="41">
        <v>1</v>
      </c>
      <c r="DS200" s="41"/>
      <c r="DT200" s="41"/>
      <c r="DU200" s="41"/>
      <c r="DV200" s="41"/>
      <c r="DW200" s="41"/>
      <c r="DX200" s="41"/>
      <c r="DY200" s="41"/>
      <c r="DZ200" s="41"/>
      <c r="EA200" s="41">
        <v>1</v>
      </c>
      <c r="EB200" s="41"/>
      <c r="EC200" s="41"/>
      <c r="ED200" s="41"/>
      <c r="EE200" s="41"/>
      <c r="EF200" s="41"/>
      <c r="EG200" s="41"/>
      <c r="EH200" s="41"/>
      <c r="EI200" s="41">
        <v>1</v>
      </c>
      <c r="EJ200" s="41"/>
      <c r="EK200" s="41"/>
      <c r="EL200" s="41"/>
      <c r="EM200" s="41"/>
      <c r="EN200" s="41"/>
      <c r="EO200" s="41"/>
      <c r="EP200" s="41"/>
      <c r="EQ200" s="41"/>
      <c r="ER200" s="41"/>
      <c r="ES200" s="41"/>
      <c r="ET200" s="41"/>
      <c r="EU200" s="41">
        <v>1</v>
      </c>
      <c r="EV200" s="41"/>
      <c r="EW200" s="41"/>
      <c r="EX200" s="41"/>
      <c r="EY200" s="41"/>
      <c r="EZ200" s="41"/>
      <c r="FA200" s="41"/>
      <c r="FB200" s="41"/>
      <c r="FC200" s="41"/>
      <c r="FD200" s="41"/>
      <c r="FE200" s="41"/>
      <c r="FF200" s="41"/>
      <c r="FG200" s="41"/>
      <c r="FH200" s="41"/>
      <c r="FI200" s="41"/>
      <c r="FJ200" s="41"/>
      <c r="FK200" s="41"/>
      <c r="FL200" s="41"/>
      <c r="FM200" s="41"/>
      <c r="FN200" s="41"/>
      <c r="FO200" s="41"/>
      <c r="FP200" s="41"/>
      <c r="FQ200" s="41"/>
      <c r="FR200" s="41">
        <v>1</v>
      </c>
      <c r="FS200" s="41"/>
      <c r="FT200" s="41"/>
      <c r="FU200" s="41"/>
      <c r="FV200" s="41"/>
      <c r="FW200" s="25"/>
      <c r="FX200" s="25"/>
      <c r="FY200" s="41"/>
      <c r="FZ200" s="41"/>
      <c r="GA200" s="41"/>
      <c r="GB200" s="41"/>
      <c r="GC200" s="41"/>
      <c r="GD200" s="41"/>
      <c r="GE200" s="41"/>
      <c r="GF200" s="41"/>
    </row>
    <row r="201" spans="1:188" ht="13" x14ac:dyDescent="0.15">
      <c r="A201" s="24">
        <v>43557</v>
      </c>
      <c r="B201" s="25" t="s">
        <v>456</v>
      </c>
      <c r="C201" s="25">
        <v>21.316488</v>
      </c>
      <c r="D201" s="25">
        <v>-157.66426100000001</v>
      </c>
      <c r="E201" s="25" t="s">
        <v>418</v>
      </c>
      <c r="F201" s="26">
        <v>0.36458333333333331</v>
      </c>
      <c r="G201" s="26">
        <v>0.46875</v>
      </c>
      <c r="H201" s="25">
        <v>7</v>
      </c>
      <c r="I201" s="25">
        <v>10</v>
      </c>
      <c r="J201" s="25" t="s">
        <v>318</v>
      </c>
      <c r="K201" s="25">
        <v>5</v>
      </c>
      <c r="L201" s="25">
        <v>31</v>
      </c>
      <c r="M201" s="25" t="s">
        <v>462</v>
      </c>
      <c r="N201" s="25" t="s">
        <v>463</v>
      </c>
      <c r="O201" s="25">
        <v>1</v>
      </c>
      <c r="P201" s="25"/>
      <c r="Q201" s="25"/>
      <c r="R201" s="25"/>
      <c r="S201" s="25"/>
      <c r="T201" s="25"/>
      <c r="U201" s="25"/>
      <c r="V201" s="25"/>
      <c r="W201" s="25">
        <v>1</v>
      </c>
      <c r="X201" s="25"/>
      <c r="Y201" s="25"/>
      <c r="Z201" s="25"/>
      <c r="AA201" s="25">
        <v>1</v>
      </c>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v>1</v>
      </c>
      <c r="BF201" s="25"/>
      <c r="BG201" s="25"/>
      <c r="BH201" s="25"/>
      <c r="BI201" s="25"/>
      <c r="BJ201" s="25"/>
      <c r="BK201" s="25">
        <v>1</v>
      </c>
      <c r="BL201" s="25">
        <v>1</v>
      </c>
      <c r="BM201" s="25"/>
      <c r="BN201" s="25"/>
      <c r="BO201" s="25"/>
      <c r="BP201" s="25">
        <v>1</v>
      </c>
      <c r="BQ201" s="25"/>
      <c r="BR201" s="25"/>
      <c r="BS201" s="25"/>
      <c r="BT201" s="25">
        <v>1</v>
      </c>
      <c r="BU201" s="25"/>
      <c r="BV201" s="25"/>
      <c r="BW201" s="25"/>
      <c r="BX201" s="25">
        <v>1</v>
      </c>
      <c r="BY201" s="25"/>
      <c r="BZ201" s="25"/>
      <c r="CA201" s="25"/>
      <c r="CB201" s="25"/>
      <c r="CC201" s="25"/>
      <c r="CD201" s="25"/>
      <c r="CE201" s="25"/>
      <c r="CF201" s="25"/>
      <c r="CG201" s="25"/>
      <c r="CH201" s="25"/>
      <c r="CI201" s="25"/>
      <c r="CJ201" s="25"/>
      <c r="CK201" s="25"/>
      <c r="CL201" s="25"/>
      <c r="CM201" s="25"/>
      <c r="CN201" s="25">
        <v>1</v>
      </c>
      <c r="CO201" s="25"/>
      <c r="CP201" s="25"/>
      <c r="CQ201" s="25"/>
      <c r="CR201" s="25"/>
      <c r="CS201" s="25"/>
      <c r="CT201" s="25"/>
      <c r="CU201" s="25"/>
      <c r="CV201" s="25"/>
      <c r="CW201" s="25"/>
      <c r="CX201" s="25"/>
      <c r="CY201" s="25"/>
      <c r="CZ201" s="25"/>
      <c r="DA201" s="25"/>
      <c r="DB201" s="25"/>
      <c r="DC201" s="25"/>
      <c r="DD201" s="25"/>
      <c r="DE201" s="25"/>
      <c r="DF201" s="25">
        <v>1</v>
      </c>
      <c r="DG201" s="25"/>
      <c r="DH201" s="25"/>
      <c r="DI201" s="25">
        <v>1</v>
      </c>
      <c r="DJ201" s="25"/>
      <c r="DK201" s="25"/>
      <c r="DL201" s="25"/>
      <c r="DM201" s="25"/>
      <c r="DN201" s="25">
        <v>1</v>
      </c>
      <c r="DO201" s="25"/>
      <c r="DP201" s="25"/>
      <c r="DQ201" s="25"/>
      <c r="DR201" s="25">
        <v>1</v>
      </c>
      <c r="DS201" s="25"/>
      <c r="DT201" s="25"/>
      <c r="DU201" s="25"/>
      <c r="DV201" s="25"/>
      <c r="DW201" s="25"/>
      <c r="DX201" s="25"/>
      <c r="DY201" s="25"/>
      <c r="DZ201" s="25"/>
      <c r="EA201" s="25">
        <v>1</v>
      </c>
      <c r="EB201" s="25"/>
      <c r="EC201" s="25"/>
      <c r="ED201" s="25"/>
      <c r="EE201" s="25"/>
      <c r="EF201" s="25"/>
      <c r="EG201" s="25"/>
      <c r="EH201" s="25"/>
      <c r="EI201" s="25">
        <v>1</v>
      </c>
      <c r="EJ201" s="25">
        <v>1</v>
      </c>
      <c r="EK201" s="25"/>
      <c r="EL201" s="25"/>
      <c r="EM201" s="25"/>
      <c r="EN201" s="25"/>
      <c r="EO201" s="25"/>
      <c r="EP201" s="25"/>
      <c r="EQ201" s="25"/>
      <c r="ER201" s="25"/>
      <c r="ES201" s="25"/>
      <c r="ET201" s="25"/>
      <c r="EU201" s="25"/>
      <c r="EV201" s="25"/>
      <c r="EW201" s="25"/>
      <c r="EX201" s="25"/>
      <c r="EY201" s="25"/>
      <c r="EZ201" s="25">
        <v>1</v>
      </c>
      <c r="FA201" s="25"/>
      <c r="FB201" s="25"/>
      <c r="FC201" s="25"/>
      <c r="FD201" s="25"/>
      <c r="FE201" s="25">
        <v>1</v>
      </c>
      <c r="FF201" s="25"/>
      <c r="FG201" s="25"/>
      <c r="FH201" s="25"/>
      <c r="FI201" s="25"/>
      <c r="FJ201" s="25"/>
      <c r="FK201" s="25"/>
      <c r="FL201" s="25"/>
      <c r="FM201" s="25"/>
      <c r="FN201" s="25"/>
      <c r="FO201" s="25"/>
      <c r="FP201" s="25"/>
      <c r="FQ201" s="25"/>
      <c r="FR201" s="25">
        <v>1</v>
      </c>
      <c r="FS201" s="25"/>
      <c r="FT201" s="25"/>
      <c r="FU201" s="25"/>
      <c r="FV201" s="25"/>
      <c r="FW201" s="25"/>
      <c r="FX201" s="25"/>
      <c r="FY201" s="25"/>
      <c r="FZ201" s="25"/>
      <c r="GA201" s="25"/>
      <c r="GB201" s="25"/>
      <c r="GC201" s="25"/>
      <c r="GD201" s="25"/>
      <c r="GE201" s="25">
        <v>1</v>
      </c>
      <c r="GF201" s="25"/>
    </row>
    <row r="202" spans="1:188" ht="13" x14ac:dyDescent="0.15">
      <c r="A202" s="19">
        <v>43557</v>
      </c>
      <c r="B202" s="20" t="s">
        <v>499</v>
      </c>
      <c r="C202" s="20"/>
      <c r="D202" s="20"/>
      <c r="E202" s="20"/>
      <c r="F202" s="21"/>
      <c r="G202" s="21"/>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c r="DU202" s="20"/>
      <c r="DV202" s="20"/>
      <c r="DW202" s="20"/>
      <c r="DX202" s="20"/>
      <c r="DY202" s="20"/>
      <c r="DZ202" s="20"/>
      <c r="EA202" s="20"/>
      <c r="EB202" s="20"/>
      <c r="EC202" s="20"/>
      <c r="ED202" s="20"/>
      <c r="EE202" s="20"/>
      <c r="EF202" s="20"/>
      <c r="EG202" s="20"/>
      <c r="EH202" s="20"/>
      <c r="EI202" s="20"/>
      <c r="EJ202" s="20"/>
      <c r="EK202" s="20"/>
      <c r="EL202" s="20"/>
      <c r="EM202" s="20"/>
      <c r="EN202" s="20"/>
      <c r="EO202" s="20"/>
      <c r="EP202" s="20"/>
      <c r="EQ202" s="20"/>
      <c r="ER202" s="20"/>
      <c r="ES202" s="20"/>
      <c r="ET202" s="20"/>
      <c r="EU202" s="20"/>
      <c r="EV202" s="20"/>
      <c r="EW202" s="20"/>
      <c r="EX202" s="20"/>
      <c r="EY202" s="20"/>
      <c r="EZ202" s="20"/>
      <c r="FA202" s="20"/>
      <c r="FB202" s="20"/>
      <c r="FC202" s="20"/>
      <c r="FD202" s="20"/>
      <c r="FE202" s="20"/>
      <c r="FF202" s="20"/>
      <c r="FG202" s="20"/>
      <c r="FH202" s="20"/>
      <c r="FI202" s="20"/>
      <c r="FJ202" s="20"/>
      <c r="FK202" s="20"/>
      <c r="FL202" s="20"/>
      <c r="FM202" s="20"/>
      <c r="FN202" s="20"/>
      <c r="FO202" s="20"/>
      <c r="FP202" s="20"/>
      <c r="FQ202" s="20"/>
      <c r="FR202" s="20"/>
      <c r="FS202" s="20"/>
      <c r="FT202" s="20"/>
      <c r="FU202" s="20"/>
      <c r="FV202" s="20"/>
      <c r="FW202" s="20"/>
      <c r="FX202" s="20"/>
      <c r="FY202" s="20"/>
      <c r="FZ202" s="20"/>
      <c r="GA202" s="20"/>
      <c r="GB202" s="20"/>
      <c r="GC202" s="20"/>
      <c r="GD202" s="20"/>
      <c r="GE202" s="20"/>
      <c r="GF202" s="20"/>
    </row>
    <row r="203" spans="1:188" ht="13" x14ac:dyDescent="0.15">
      <c r="A203" s="13">
        <v>43558</v>
      </c>
      <c r="B203" s="3" t="s">
        <v>456</v>
      </c>
      <c r="C203" s="3">
        <v>21.316488</v>
      </c>
      <c r="D203" s="3">
        <v>-157.66426100000001</v>
      </c>
      <c r="E203" s="3" t="s">
        <v>418</v>
      </c>
      <c r="F203" s="14">
        <v>0.375</v>
      </c>
      <c r="G203" s="14">
        <v>0.45833333333333331</v>
      </c>
      <c r="H203" s="3">
        <v>5</v>
      </c>
      <c r="I203" s="3">
        <v>10</v>
      </c>
      <c r="J203" s="3" t="s">
        <v>318</v>
      </c>
      <c r="K203" s="3">
        <v>5</v>
      </c>
      <c r="L203" s="3">
        <v>22</v>
      </c>
      <c r="M203" s="3" t="s">
        <v>464</v>
      </c>
      <c r="S203" s="3">
        <v>1</v>
      </c>
      <c r="AI203" s="3"/>
      <c r="AJ203" s="3"/>
      <c r="AK203" s="3"/>
      <c r="AL203" s="3">
        <v>1</v>
      </c>
      <c r="AY203" s="3">
        <v>1</v>
      </c>
      <c r="AZ203" s="3"/>
      <c r="BA203" s="3">
        <v>1</v>
      </c>
      <c r="BE203" s="3">
        <v>1</v>
      </c>
      <c r="BL203" s="3">
        <v>1</v>
      </c>
      <c r="CB203" s="3">
        <v>1</v>
      </c>
      <c r="CM203" s="3"/>
      <c r="CN203" s="3">
        <v>1</v>
      </c>
      <c r="CU203" s="3">
        <v>1</v>
      </c>
      <c r="DH203" s="3">
        <v>1</v>
      </c>
      <c r="ED203" s="3"/>
      <c r="EE203" s="3"/>
      <c r="EF203" s="3"/>
      <c r="EG203" s="3"/>
      <c r="EH203" s="3"/>
      <c r="EI203" s="3">
        <v>1</v>
      </c>
      <c r="EJ203" s="3">
        <v>1</v>
      </c>
      <c r="FC203" s="3"/>
      <c r="FE203" s="3">
        <v>1</v>
      </c>
      <c r="FR203" s="3">
        <v>1</v>
      </c>
      <c r="FZ203" s="3">
        <v>1</v>
      </c>
      <c r="GF203" s="3">
        <v>1</v>
      </c>
    </row>
    <row r="204" spans="1:188" ht="13" x14ac:dyDescent="0.15">
      <c r="A204" s="27">
        <v>43558</v>
      </c>
      <c r="B204" s="28" t="s">
        <v>216</v>
      </c>
      <c r="C204" s="28">
        <v>21.3002</v>
      </c>
      <c r="D204" s="28">
        <v>-157.882599</v>
      </c>
      <c r="E204" s="28" t="s">
        <v>542</v>
      </c>
      <c r="F204" s="29">
        <v>0.39305555555555555</v>
      </c>
      <c r="G204" s="29">
        <v>0.44791666666666669</v>
      </c>
      <c r="H204" s="28">
        <v>6</v>
      </c>
      <c r="I204" s="28">
        <v>18</v>
      </c>
      <c r="J204" s="28" t="s">
        <v>198</v>
      </c>
      <c r="K204" s="28">
        <v>5</v>
      </c>
      <c r="L204" s="28">
        <v>12</v>
      </c>
      <c r="M204" s="28" t="s">
        <v>543</v>
      </c>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v>1</v>
      </c>
      <c r="AN204" s="28"/>
      <c r="AO204" s="28"/>
      <c r="AP204" s="28"/>
      <c r="AQ204" s="28"/>
      <c r="AR204" s="28"/>
      <c r="AS204" s="28"/>
      <c r="AT204" s="28"/>
      <c r="AU204" s="28"/>
      <c r="AV204" s="28"/>
      <c r="AW204" s="28"/>
      <c r="AX204" s="28"/>
      <c r="AY204" s="28"/>
      <c r="AZ204" s="28"/>
      <c r="BA204" s="28"/>
      <c r="BB204" s="28"/>
      <c r="BC204" s="28"/>
      <c r="BD204" s="28">
        <v>1</v>
      </c>
      <c r="BE204" s="28"/>
      <c r="BF204" s="28"/>
      <c r="BG204" s="28"/>
      <c r="BH204" s="28"/>
      <c r="BI204" s="28"/>
      <c r="BJ204" s="28"/>
      <c r="BK204" s="28"/>
      <c r="BL204" s="28">
        <v>1</v>
      </c>
      <c r="BM204" s="28"/>
      <c r="BN204" s="28"/>
      <c r="BO204" s="28"/>
      <c r="BP204" s="28"/>
      <c r="BQ204" s="28"/>
      <c r="BR204" s="28"/>
      <c r="BS204" s="28">
        <v>1</v>
      </c>
      <c r="BT204" s="28">
        <v>1</v>
      </c>
      <c r="BU204" s="28">
        <v>1</v>
      </c>
      <c r="BV204" s="28"/>
      <c r="BW204" s="28"/>
      <c r="BX204" s="28"/>
      <c r="BY204" s="28"/>
      <c r="BZ204" s="28"/>
      <c r="CA204" s="28"/>
      <c r="CB204" s="28"/>
      <c r="CC204" s="28"/>
      <c r="CD204" s="28"/>
      <c r="CE204" s="28"/>
      <c r="CF204" s="28"/>
      <c r="CG204" s="28"/>
      <c r="CH204" s="28"/>
      <c r="CI204" s="28"/>
      <c r="CJ204" s="28"/>
      <c r="CK204" s="28"/>
      <c r="CL204" s="28"/>
      <c r="CM204" s="28"/>
      <c r="CN204" s="28"/>
      <c r="CO204" s="28"/>
      <c r="CP204" s="28"/>
      <c r="CQ204" s="28"/>
      <c r="CR204" s="28"/>
      <c r="CS204" s="28"/>
      <c r="CT204" s="28"/>
      <c r="CU204" s="28"/>
      <c r="CV204" s="28"/>
      <c r="CW204" s="28"/>
      <c r="CX204" s="28"/>
      <c r="CY204" s="28"/>
      <c r="CZ204" s="28"/>
      <c r="DA204" s="28"/>
      <c r="DB204" s="28"/>
      <c r="DC204" s="28"/>
      <c r="DD204" s="28"/>
      <c r="DE204" s="28"/>
      <c r="DF204" s="28"/>
      <c r="DG204" s="28"/>
      <c r="DH204" s="28"/>
      <c r="DI204" s="28"/>
      <c r="DJ204" s="28"/>
      <c r="DK204" s="28"/>
      <c r="DL204" s="28">
        <v>1</v>
      </c>
      <c r="DM204" s="28"/>
      <c r="DN204" s="28"/>
      <c r="DO204" s="28"/>
      <c r="DP204" s="28"/>
      <c r="DQ204" s="28"/>
      <c r="DR204" s="28"/>
      <c r="DS204" s="28"/>
      <c r="DT204" s="28"/>
      <c r="DU204" s="28"/>
      <c r="DV204" s="28"/>
      <c r="DW204" s="28"/>
      <c r="DX204" s="28"/>
      <c r="DY204" s="28"/>
      <c r="DZ204" s="28"/>
      <c r="EA204" s="28"/>
      <c r="EB204" s="28">
        <v>1</v>
      </c>
      <c r="EC204" s="28"/>
      <c r="ED204" s="28"/>
      <c r="EE204" s="28"/>
      <c r="EF204" s="28"/>
      <c r="EG204" s="28"/>
      <c r="EH204" s="28"/>
      <c r="EI204" s="28">
        <v>1</v>
      </c>
      <c r="EJ204" s="28"/>
      <c r="EK204" s="28"/>
      <c r="EL204" s="28"/>
      <c r="EM204" s="28"/>
      <c r="EN204" s="28"/>
      <c r="EO204" s="28"/>
      <c r="EP204" s="28"/>
      <c r="EQ204" s="28"/>
      <c r="ER204" s="28"/>
      <c r="ES204" s="28"/>
      <c r="ET204" s="28"/>
      <c r="EU204" s="28"/>
      <c r="EV204" s="28"/>
      <c r="EW204" s="28"/>
      <c r="EX204" s="28"/>
      <c r="EY204" s="28"/>
      <c r="EZ204" s="28"/>
      <c r="FA204" s="28"/>
      <c r="FB204" s="28"/>
      <c r="FC204" s="28"/>
      <c r="FD204" s="28"/>
      <c r="FE204" s="28"/>
      <c r="FF204" s="28"/>
      <c r="FG204" s="28"/>
      <c r="FH204" s="28"/>
      <c r="FI204" s="28"/>
      <c r="FJ204" s="28"/>
      <c r="FK204" s="28"/>
      <c r="FL204" s="28"/>
      <c r="FM204" s="28"/>
      <c r="FN204" s="28"/>
      <c r="FO204" s="28"/>
      <c r="FP204" s="28"/>
      <c r="FQ204" s="28"/>
      <c r="FR204" s="28">
        <v>1</v>
      </c>
      <c r="FS204" s="28"/>
      <c r="FT204" s="28"/>
      <c r="FU204" s="28"/>
      <c r="FV204" s="28"/>
      <c r="FW204" s="28"/>
      <c r="FX204" s="28"/>
      <c r="FY204" s="28"/>
      <c r="FZ204" s="28"/>
      <c r="GA204" s="28"/>
      <c r="GB204" s="28"/>
      <c r="GC204" s="28"/>
      <c r="GD204" s="28"/>
      <c r="GE204" s="28"/>
      <c r="GF204" s="28"/>
    </row>
    <row r="205" spans="1:188" ht="13" x14ac:dyDescent="0.15">
      <c r="A205" s="13">
        <v>43559</v>
      </c>
      <c r="B205" s="3" t="s">
        <v>456</v>
      </c>
      <c r="C205" s="3">
        <v>21.316488</v>
      </c>
      <c r="D205" s="3">
        <v>-157.66426100000001</v>
      </c>
      <c r="E205" s="3" t="s">
        <v>418</v>
      </c>
      <c r="F205" s="14">
        <v>0.375</v>
      </c>
      <c r="G205" s="14">
        <v>0.47916666666666669</v>
      </c>
      <c r="H205" s="3">
        <v>5</v>
      </c>
      <c r="I205" s="3">
        <v>10</v>
      </c>
      <c r="J205" s="3" t="s">
        <v>318</v>
      </c>
      <c r="K205" s="3">
        <v>5</v>
      </c>
      <c r="L205" s="3">
        <v>25</v>
      </c>
      <c r="BC205" s="3">
        <v>1</v>
      </c>
      <c r="BH205" s="3"/>
      <c r="BI205" s="3"/>
      <c r="BJ205" s="3">
        <v>1</v>
      </c>
      <c r="BL205" s="3">
        <v>1</v>
      </c>
      <c r="BR205" s="3"/>
      <c r="BS205" s="3">
        <v>1</v>
      </c>
      <c r="BX205" s="3">
        <v>1</v>
      </c>
      <c r="BY205" s="3">
        <v>1</v>
      </c>
      <c r="CB205" s="3">
        <v>1</v>
      </c>
      <c r="CE205" s="3">
        <v>1</v>
      </c>
      <c r="CM205" s="3"/>
      <c r="CN205" s="3">
        <v>1</v>
      </c>
      <c r="DN205" s="3">
        <v>1</v>
      </c>
      <c r="DQ205" s="3"/>
      <c r="DR205" s="3">
        <v>1</v>
      </c>
      <c r="EB205" s="3">
        <v>1</v>
      </c>
      <c r="ED205" s="3"/>
      <c r="EE205" s="3"/>
      <c r="EF205" s="3"/>
      <c r="EG205" s="3"/>
      <c r="EH205" s="3"/>
      <c r="EI205" s="3">
        <v>1</v>
      </c>
      <c r="EJ205" s="3">
        <v>1</v>
      </c>
      <c r="EV205" s="3">
        <v>1</v>
      </c>
      <c r="FF205" s="3"/>
      <c r="FG205" s="3">
        <v>1</v>
      </c>
      <c r="FR205" s="3">
        <v>1</v>
      </c>
    </row>
    <row r="206" spans="1:188" ht="13" x14ac:dyDescent="0.15">
      <c r="A206" s="27">
        <v>43560</v>
      </c>
      <c r="B206" s="28" t="s">
        <v>544</v>
      </c>
      <c r="C206" s="28">
        <v>19.5791</v>
      </c>
      <c r="D206" s="28">
        <v>-155.967804</v>
      </c>
      <c r="E206" s="28" t="s">
        <v>508</v>
      </c>
      <c r="F206" s="29">
        <v>0.43055555555555558</v>
      </c>
      <c r="G206" s="29">
        <v>0.4548611111111111</v>
      </c>
      <c r="H206" s="28">
        <v>5</v>
      </c>
      <c r="I206" s="28">
        <v>20</v>
      </c>
      <c r="J206" s="28" t="s">
        <v>198</v>
      </c>
      <c r="K206" s="28">
        <v>6</v>
      </c>
      <c r="L206" s="28">
        <v>29</v>
      </c>
      <c r="M206" s="28" t="s">
        <v>545</v>
      </c>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v>1</v>
      </c>
      <c r="BM206" s="28"/>
      <c r="BN206" s="28"/>
      <c r="BO206" s="28"/>
      <c r="BP206" s="28"/>
      <c r="BQ206" s="28"/>
      <c r="BR206" s="28"/>
      <c r="BS206" s="28"/>
      <c r="BT206" s="28"/>
      <c r="BU206" s="28"/>
      <c r="BV206" s="28"/>
      <c r="BW206" s="28"/>
      <c r="BX206" s="28"/>
      <c r="BY206" s="28"/>
      <c r="BZ206" s="28"/>
      <c r="CA206" s="28"/>
      <c r="CB206" s="28">
        <v>1</v>
      </c>
      <c r="CC206" s="28"/>
      <c r="CD206" s="28"/>
      <c r="CE206" s="28"/>
      <c r="CF206" s="28"/>
      <c r="CG206" s="28"/>
      <c r="CH206" s="28"/>
      <c r="CI206" s="28"/>
      <c r="CJ206" s="28"/>
      <c r="CK206" s="28"/>
      <c r="CL206" s="28"/>
      <c r="CM206" s="28"/>
      <c r="CN206" s="28"/>
      <c r="CO206" s="28"/>
      <c r="CP206" s="28"/>
      <c r="CQ206" s="28"/>
      <c r="CR206" s="28"/>
      <c r="CS206" s="28"/>
      <c r="CT206" s="28"/>
      <c r="CU206" s="28"/>
      <c r="CV206" s="28"/>
      <c r="CW206" s="28"/>
      <c r="CX206" s="28"/>
      <c r="CY206" s="28"/>
      <c r="CZ206" s="28"/>
      <c r="DA206" s="28"/>
      <c r="DB206" s="28"/>
      <c r="DC206" s="28"/>
      <c r="DD206" s="28"/>
      <c r="DE206" s="28"/>
      <c r="DF206" s="28"/>
      <c r="DG206" s="28"/>
      <c r="DH206" s="28"/>
      <c r="DI206" s="28"/>
      <c r="DJ206" s="28"/>
      <c r="DK206" s="28"/>
      <c r="DL206" s="28"/>
      <c r="DM206" s="28"/>
      <c r="DN206" s="28"/>
      <c r="DO206" s="28"/>
      <c r="DP206" s="28"/>
      <c r="DQ206" s="28"/>
      <c r="DR206" s="28"/>
      <c r="DS206" s="28"/>
      <c r="DT206" s="28"/>
      <c r="DU206" s="28"/>
      <c r="DV206" s="28"/>
      <c r="DW206" s="28"/>
      <c r="DX206" s="28"/>
      <c r="DY206" s="28"/>
      <c r="DZ206" s="28"/>
      <c r="EA206" s="28"/>
      <c r="EB206" s="28"/>
      <c r="EC206" s="28">
        <v>1</v>
      </c>
      <c r="ED206" s="28"/>
      <c r="EE206" s="28"/>
      <c r="EF206" s="28"/>
      <c r="EG206" s="28"/>
      <c r="EH206" s="28"/>
      <c r="EI206" s="28"/>
      <c r="EJ206" s="28"/>
      <c r="EK206" s="28"/>
      <c r="EL206" s="28"/>
      <c r="EM206" s="28"/>
      <c r="EN206" s="28"/>
      <c r="EO206" s="28"/>
      <c r="EP206" s="28"/>
      <c r="EQ206" s="28"/>
      <c r="ER206" s="28"/>
      <c r="ES206" s="28"/>
      <c r="ET206" s="28"/>
      <c r="EU206" s="28"/>
      <c r="EV206" s="28"/>
      <c r="EW206" s="28"/>
      <c r="EX206" s="28"/>
      <c r="EY206" s="28"/>
      <c r="EZ206" s="28"/>
      <c r="FA206" s="28"/>
      <c r="FB206" s="28"/>
      <c r="FC206" s="28"/>
      <c r="FD206" s="28"/>
      <c r="FE206" s="28"/>
      <c r="FF206" s="28"/>
      <c r="FG206" s="28"/>
      <c r="FH206" s="28"/>
      <c r="FI206" s="28"/>
      <c r="FJ206" s="28"/>
      <c r="FK206" s="28"/>
      <c r="FL206" s="28">
        <v>1</v>
      </c>
      <c r="FM206" s="28"/>
      <c r="FN206" s="28"/>
      <c r="FO206" s="28"/>
      <c r="FP206" s="28"/>
      <c r="FQ206" s="28"/>
      <c r="FR206" s="28">
        <v>1</v>
      </c>
      <c r="FS206" s="28"/>
      <c r="FT206" s="28"/>
      <c r="FU206" s="28"/>
      <c r="FV206" s="28"/>
      <c r="FW206" s="28"/>
      <c r="FX206" s="28"/>
      <c r="FY206" s="28"/>
      <c r="FZ206" s="28"/>
      <c r="GA206" s="28"/>
      <c r="GB206" s="28"/>
      <c r="GC206" s="28"/>
      <c r="GD206" s="28"/>
      <c r="GE206" s="28"/>
      <c r="GF206" s="28"/>
    </row>
    <row r="207" spans="1:188" ht="13" x14ac:dyDescent="0.15">
      <c r="A207" s="27">
        <v>43562</v>
      </c>
      <c r="B207" s="28" t="s">
        <v>293</v>
      </c>
      <c r="C207" s="28">
        <v>19.738602</v>
      </c>
      <c r="D207" s="28">
        <v>-155.03887900000001</v>
      </c>
      <c r="E207" s="28" t="s">
        <v>482</v>
      </c>
      <c r="F207" s="29">
        <v>0.45833333333333331</v>
      </c>
      <c r="G207" s="29">
        <v>0.47916666666666669</v>
      </c>
      <c r="H207" s="28">
        <v>2</v>
      </c>
      <c r="I207" s="28">
        <v>10</v>
      </c>
      <c r="J207" s="28" t="s">
        <v>198</v>
      </c>
      <c r="K207" s="28">
        <v>5</v>
      </c>
      <c r="L207" s="28">
        <v>10</v>
      </c>
      <c r="M207" s="28" t="s">
        <v>546</v>
      </c>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v>1</v>
      </c>
      <c r="BK207" s="28"/>
      <c r="BL207" s="28">
        <v>1</v>
      </c>
      <c r="BM207" s="28"/>
      <c r="BN207" s="28"/>
      <c r="BO207" s="28"/>
      <c r="BP207" s="28"/>
      <c r="BQ207" s="28"/>
      <c r="BR207" s="28"/>
      <c r="BS207" s="28"/>
      <c r="BT207" s="28"/>
      <c r="BU207" s="28"/>
      <c r="BV207" s="28"/>
      <c r="BW207" s="28"/>
      <c r="BX207" s="28"/>
      <c r="BY207" s="28"/>
      <c r="BZ207" s="28"/>
      <c r="CA207" s="28"/>
      <c r="CB207" s="28">
        <v>1</v>
      </c>
      <c r="CC207" s="28"/>
      <c r="CD207" s="28"/>
      <c r="CE207" s="28"/>
      <c r="CF207" s="28"/>
      <c r="CG207" s="28"/>
      <c r="CH207" s="28"/>
      <c r="CI207" s="28"/>
      <c r="CJ207" s="28"/>
      <c r="CK207" s="28"/>
      <c r="CL207" s="28"/>
      <c r="CM207" s="28"/>
      <c r="CN207" s="28">
        <v>1</v>
      </c>
      <c r="CO207" s="28"/>
      <c r="CP207" s="28"/>
      <c r="CQ207" s="28"/>
      <c r="CR207" s="28"/>
      <c r="CS207" s="28"/>
      <c r="CT207" s="28"/>
      <c r="CU207" s="28"/>
      <c r="CV207" s="28"/>
      <c r="CW207" s="28"/>
      <c r="CX207" s="28"/>
      <c r="CY207" s="28"/>
      <c r="CZ207" s="28"/>
      <c r="DA207" s="28"/>
      <c r="DB207" s="28"/>
      <c r="DC207" s="28"/>
      <c r="DD207" s="28"/>
      <c r="DE207" s="28"/>
      <c r="DF207" s="28"/>
      <c r="DG207" s="28"/>
      <c r="DH207" s="28"/>
      <c r="DI207" s="28"/>
      <c r="DJ207" s="28"/>
      <c r="DK207" s="28"/>
      <c r="DL207" s="28"/>
      <c r="DM207" s="28"/>
      <c r="DN207" s="28"/>
      <c r="DO207" s="28"/>
      <c r="DP207" s="28"/>
      <c r="DQ207" s="28"/>
      <c r="DR207" s="28"/>
      <c r="DS207" s="28"/>
      <c r="DT207" s="28"/>
      <c r="DU207" s="28"/>
      <c r="DV207" s="28"/>
      <c r="DW207" s="28"/>
      <c r="DX207" s="28">
        <v>1</v>
      </c>
      <c r="DY207" s="28"/>
      <c r="DZ207" s="28"/>
      <c r="EA207" s="28"/>
      <c r="EB207" s="28"/>
      <c r="EC207" s="28"/>
      <c r="ED207" s="28"/>
      <c r="EE207" s="28"/>
      <c r="EF207" s="28"/>
      <c r="EG207" s="28"/>
      <c r="EH207" s="28"/>
      <c r="EI207" s="28">
        <v>1</v>
      </c>
      <c r="EJ207" s="28"/>
      <c r="EK207" s="28"/>
      <c r="EL207" s="28"/>
      <c r="EM207" s="28"/>
      <c r="EN207" s="28"/>
      <c r="EO207" s="28"/>
      <c r="EP207" s="28"/>
      <c r="EQ207" s="28">
        <v>1</v>
      </c>
      <c r="ER207" s="28">
        <v>1</v>
      </c>
      <c r="ES207" s="28"/>
      <c r="ET207" s="28"/>
      <c r="EU207" s="28"/>
      <c r="EV207" s="28"/>
      <c r="EW207" s="28"/>
      <c r="EX207" s="28"/>
      <c r="EY207" s="28"/>
      <c r="EZ207" s="28"/>
      <c r="FA207" s="28"/>
      <c r="FB207" s="28"/>
      <c r="FC207" s="28"/>
      <c r="FD207" s="28"/>
      <c r="FE207" s="28"/>
      <c r="FF207" s="28"/>
      <c r="FG207" s="28"/>
      <c r="FH207" s="28"/>
      <c r="FI207" s="28"/>
      <c r="FJ207" s="28"/>
      <c r="FK207" s="28"/>
      <c r="FL207" s="28"/>
      <c r="FM207" s="28"/>
      <c r="FN207" s="28"/>
      <c r="FO207" s="28">
        <v>1</v>
      </c>
      <c r="FP207" s="28"/>
      <c r="FQ207" s="28"/>
      <c r="FR207" s="28">
        <v>1</v>
      </c>
      <c r="FS207" s="28"/>
      <c r="FT207" s="28"/>
      <c r="FU207" s="28"/>
      <c r="FV207" s="28"/>
      <c r="FW207" s="28"/>
      <c r="FX207" s="28"/>
      <c r="FY207" s="28"/>
      <c r="FZ207" s="28"/>
      <c r="GA207" s="28"/>
      <c r="GB207" s="28"/>
      <c r="GC207" s="28"/>
      <c r="GD207" s="28"/>
      <c r="GE207" s="28"/>
      <c r="GF207" s="28"/>
    </row>
    <row r="208" spans="1:188" ht="13" x14ac:dyDescent="0.15">
      <c r="A208" s="19">
        <v>43563</v>
      </c>
      <c r="B208" s="20" t="s">
        <v>216</v>
      </c>
      <c r="C208" s="20"/>
      <c r="D208" s="20"/>
      <c r="E208" s="20"/>
      <c r="F208" s="21"/>
      <c r="G208" s="21"/>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c r="DU208" s="20"/>
      <c r="DV208" s="20"/>
      <c r="DW208" s="20"/>
      <c r="DX208" s="20"/>
      <c r="DY208" s="20"/>
      <c r="DZ208" s="20"/>
      <c r="EA208" s="20"/>
      <c r="EB208" s="20"/>
      <c r="EC208" s="20"/>
      <c r="ED208" s="20"/>
      <c r="EE208" s="20"/>
      <c r="EF208" s="20"/>
      <c r="EG208" s="20"/>
      <c r="EH208" s="20"/>
      <c r="EI208" s="20"/>
      <c r="EJ208" s="20"/>
      <c r="EK208" s="20"/>
      <c r="EL208" s="20"/>
      <c r="EM208" s="20"/>
      <c r="EN208" s="20"/>
      <c r="EO208" s="20"/>
      <c r="EP208" s="20"/>
      <c r="EQ208" s="20"/>
      <c r="ER208" s="20"/>
      <c r="ES208" s="20"/>
      <c r="ET208" s="20"/>
      <c r="EU208" s="20"/>
      <c r="EV208" s="20"/>
      <c r="EW208" s="20"/>
      <c r="EX208" s="20"/>
      <c r="EY208" s="20"/>
      <c r="EZ208" s="20"/>
      <c r="FA208" s="20"/>
      <c r="FB208" s="20"/>
      <c r="FC208" s="20"/>
      <c r="FD208" s="20"/>
      <c r="FE208" s="20"/>
      <c r="FF208" s="20"/>
      <c r="FG208" s="20"/>
      <c r="FH208" s="20"/>
      <c r="FI208" s="20"/>
      <c r="FJ208" s="20"/>
      <c r="FK208" s="20"/>
      <c r="FL208" s="20"/>
      <c r="FM208" s="20"/>
      <c r="FN208" s="20"/>
      <c r="FO208" s="20"/>
      <c r="FP208" s="20"/>
      <c r="FQ208" s="20"/>
      <c r="FR208" s="20"/>
      <c r="FS208" s="20"/>
      <c r="FT208" s="20"/>
      <c r="FU208" s="20"/>
      <c r="FV208" s="20"/>
      <c r="FW208" s="20"/>
      <c r="FX208" s="20"/>
      <c r="FY208" s="20"/>
      <c r="FZ208" s="20"/>
      <c r="GA208" s="20"/>
      <c r="GB208" s="20"/>
      <c r="GC208" s="20"/>
      <c r="GD208" s="20"/>
      <c r="GE208" s="20"/>
      <c r="GF208" s="20"/>
    </row>
    <row r="209" spans="1:188" ht="13" x14ac:dyDescent="0.15">
      <c r="A209" s="13">
        <v>43563</v>
      </c>
      <c r="B209" s="3" t="s">
        <v>400</v>
      </c>
      <c r="C209" s="3">
        <v>21.900562000000001</v>
      </c>
      <c r="D209" s="3">
        <v>-159.60981799999999</v>
      </c>
      <c r="E209" s="3" t="s">
        <v>465</v>
      </c>
      <c r="F209" s="14">
        <v>0.4548611111111111</v>
      </c>
      <c r="G209" s="14">
        <v>0.48958333333333331</v>
      </c>
      <c r="H209" s="3">
        <v>6</v>
      </c>
      <c r="I209" s="3">
        <v>10</v>
      </c>
      <c r="J209" s="3" t="s">
        <v>198</v>
      </c>
      <c r="K209" s="3">
        <v>5</v>
      </c>
      <c r="L209" s="3">
        <v>29</v>
      </c>
      <c r="M209" s="3" t="s">
        <v>466</v>
      </c>
      <c r="Q209" s="3">
        <v>1</v>
      </c>
      <c r="AZ209" s="3"/>
      <c r="BA209" s="3">
        <v>1</v>
      </c>
      <c r="BK209" s="3">
        <v>1</v>
      </c>
      <c r="BV209" s="3">
        <v>1</v>
      </c>
      <c r="CD209" s="3">
        <v>1</v>
      </c>
      <c r="DL209" s="3">
        <v>1</v>
      </c>
      <c r="DQ209" s="3"/>
      <c r="DR209" s="3">
        <v>1</v>
      </c>
      <c r="DT209" s="3"/>
      <c r="DU209" s="3">
        <v>1</v>
      </c>
      <c r="DX209" s="3"/>
      <c r="DY209" s="3">
        <v>1</v>
      </c>
      <c r="EA209" s="3">
        <v>1</v>
      </c>
      <c r="EC209" s="3">
        <v>1</v>
      </c>
      <c r="ED209" s="3"/>
      <c r="EE209" s="3"/>
      <c r="EF209" s="3"/>
      <c r="EG209" s="3"/>
      <c r="EH209" s="3"/>
      <c r="EI209" s="3">
        <v>1</v>
      </c>
      <c r="EK209" s="3"/>
      <c r="EL209" s="3"/>
      <c r="EM209" s="3">
        <v>1</v>
      </c>
      <c r="FA209" s="3">
        <v>1</v>
      </c>
      <c r="FB209" s="3">
        <v>1</v>
      </c>
      <c r="FQ209" s="3">
        <v>1</v>
      </c>
      <c r="FR209" s="3">
        <v>1</v>
      </c>
      <c r="FZ209" s="3">
        <v>1</v>
      </c>
      <c r="GA209" s="3"/>
      <c r="GB209" s="3">
        <v>1</v>
      </c>
      <c r="GC209" s="3">
        <v>1</v>
      </c>
    </row>
    <row r="210" spans="1:188" ht="13" x14ac:dyDescent="0.15">
      <c r="A210" s="13">
        <v>43564</v>
      </c>
      <c r="B210" s="3" t="s">
        <v>456</v>
      </c>
      <c r="C210" s="3">
        <v>21.316488</v>
      </c>
      <c r="D210" s="3">
        <v>-157.66426100000001</v>
      </c>
      <c r="E210" s="3" t="s">
        <v>469</v>
      </c>
      <c r="F210" s="14">
        <v>0.36319444444444443</v>
      </c>
      <c r="G210" s="14">
        <v>0.39583333333333331</v>
      </c>
      <c r="H210" s="3">
        <v>4</v>
      </c>
      <c r="I210" s="3">
        <v>40</v>
      </c>
      <c r="J210" s="3" t="s">
        <v>470</v>
      </c>
      <c r="K210" s="3">
        <v>5</v>
      </c>
      <c r="L210" s="3">
        <v>10</v>
      </c>
      <c r="M210" s="3" t="s">
        <v>471</v>
      </c>
      <c r="CB210" s="3">
        <v>1</v>
      </c>
      <c r="CF210" s="3"/>
      <c r="CG210" s="3">
        <v>1</v>
      </c>
      <c r="DE210" s="3"/>
      <c r="DF210" s="3">
        <v>1</v>
      </c>
      <c r="ED210" s="3"/>
      <c r="EE210" s="3"/>
      <c r="EF210" s="3"/>
      <c r="EG210" s="3"/>
      <c r="EH210" s="3"/>
      <c r="EI210" s="3">
        <v>1</v>
      </c>
      <c r="FR210" s="3">
        <v>1</v>
      </c>
    </row>
    <row r="211" spans="1:188" ht="13" x14ac:dyDescent="0.15">
      <c r="A211" s="13">
        <v>43564</v>
      </c>
      <c r="B211" s="3" t="s">
        <v>244</v>
      </c>
      <c r="C211" s="3">
        <v>21.310611999999999</v>
      </c>
      <c r="D211" s="3">
        <v>-158.00441000000001</v>
      </c>
      <c r="E211" s="3" t="s">
        <v>326</v>
      </c>
      <c r="F211" s="14">
        <v>0.39583333333333331</v>
      </c>
      <c r="G211" s="14">
        <v>0.4375</v>
      </c>
      <c r="H211" s="3">
        <v>7</v>
      </c>
      <c r="I211" s="3">
        <v>20</v>
      </c>
      <c r="J211" s="3" t="s">
        <v>198</v>
      </c>
      <c r="K211" s="3">
        <v>5</v>
      </c>
      <c r="L211" s="3">
        <v>28</v>
      </c>
      <c r="M211" s="3" t="s">
        <v>472</v>
      </c>
      <c r="Q211" s="3">
        <v>1</v>
      </c>
      <c r="X211" s="3"/>
      <c r="Y211" s="3"/>
      <c r="Z211" s="3"/>
      <c r="AA211" s="3">
        <v>1</v>
      </c>
      <c r="AD211" s="3">
        <v>1</v>
      </c>
      <c r="BB211" s="3">
        <v>1</v>
      </c>
      <c r="BD211" s="3">
        <v>1</v>
      </c>
      <c r="BL211" s="3">
        <v>1</v>
      </c>
      <c r="BR211" s="3">
        <v>1</v>
      </c>
      <c r="BU211" s="3">
        <v>1</v>
      </c>
      <c r="BY211" s="3">
        <v>1</v>
      </c>
      <c r="CM211" s="3">
        <v>1</v>
      </c>
      <c r="DE211" s="3"/>
      <c r="DF211" s="3">
        <v>1</v>
      </c>
      <c r="DM211" s="3">
        <v>1</v>
      </c>
      <c r="DN211" s="3">
        <v>1</v>
      </c>
      <c r="DO211" s="3">
        <v>1</v>
      </c>
      <c r="ED211" s="3"/>
      <c r="EE211" s="3"/>
      <c r="EF211" s="3"/>
      <c r="EG211" s="3"/>
      <c r="EH211" s="3"/>
      <c r="EI211" s="3">
        <v>1</v>
      </c>
      <c r="FA211" s="3">
        <v>1</v>
      </c>
      <c r="FR211" s="3">
        <v>1</v>
      </c>
    </row>
    <row r="212" spans="1:188" ht="13" x14ac:dyDescent="0.15">
      <c r="A212" s="27">
        <v>43564</v>
      </c>
      <c r="B212" s="28" t="s">
        <v>246</v>
      </c>
      <c r="C212" s="28">
        <v>21.2882</v>
      </c>
      <c r="D212" s="28">
        <v>-157.66799900000001</v>
      </c>
      <c r="E212" s="28" t="s">
        <v>548</v>
      </c>
      <c r="F212" s="29">
        <v>0.3888888888888889</v>
      </c>
      <c r="G212" s="29">
        <v>0.45833333333333331</v>
      </c>
      <c r="H212" s="28">
        <v>6</v>
      </c>
      <c r="I212" s="28">
        <v>12</v>
      </c>
      <c r="J212" s="28" t="s">
        <v>198</v>
      </c>
      <c r="K212" s="28">
        <v>6</v>
      </c>
      <c r="L212" s="28">
        <v>20</v>
      </c>
      <c r="M212" s="28" t="s">
        <v>549</v>
      </c>
      <c r="N212" s="28"/>
      <c r="O212" s="28"/>
      <c r="P212" s="28"/>
      <c r="Q212" s="28"/>
      <c r="R212" s="28"/>
      <c r="S212" s="28"/>
      <c r="T212" s="28"/>
      <c r="U212" s="28"/>
      <c r="V212" s="28"/>
      <c r="W212" s="28"/>
      <c r="X212" s="28"/>
      <c r="Y212" s="28"/>
      <c r="Z212" s="28"/>
      <c r="AA212" s="28">
        <v>1</v>
      </c>
      <c r="AB212" s="28"/>
      <c r="AC212" s="28"/>
      <c r="AD212" s="28"/>
      <c r="AE212" s="28"/>
      <c r="AF212" s="28"/>
      <c r="AG212" s="28"/>
      <c r="AH212" s="28"/>
      <c r="AI212" s="28"/>
      <c r="AJ212" s="28"/>
      <c r="AK212" s="28"/>
      <c r="AL212" s="28"/>
      <c r="AM212" s="28"/>
      <c r="AN212" s="28"/>
      <c r="AO212" s="28"/>
      <c r="AP212" s="28"/>
      <c r="AQ212" s="28">
        <v>1</v>
      </c>
      <c r="AR212" s="28"/>
      <c r="AS212" s="28"/>
      <c r="AT212" s="28"/>
      <c r="AU212" s="28"/>
      <c r="AV212" s="28"/>
      <c r="AW212" s="28"/>
      <c r="AX212" s="28"/>
      <c r="AY212" s="28"/>
      <c r="AZ212" s="28"/>
      <c r="BA212" s="28"/>
      <c r="BB212" s="28"/>
      <c r="BC212" s="28"/>
      <c r="BD212" s="28"/>
      <c r="BE212" s="28"/>
      <c r="BF212" s="28"/>
      <c r="BG212" s="28"/>
      <c r="BH212" s="28"/>
      <c r="BI212" s="28"/>
      <c r="BJ212" s="28">
        <v>1</v>
      </c>
      <c r="BK212" s="28"/>
      <c r="BL212" s="28"/>
      <c r="BM212" s="28"/>
      <c r="BN212" s="28"/>
      <c r="BO212" s="28"/>
      <c r="BP212" s="28"/>
      <c r="BQ212" s="28"/>
      <c r="BR212" s="28"/>
      <c r="BS212" s="28"/>
      <c r="BT212" s="28"/>
      <c r="BU212" s="28"/>
      <c r="BV212" s="28"/>
      <c r="BW212" s="28"/>
      <c r="BX212" s="28"/>
      <c r="BY212" s="28"/>
      <c r="BZ212" s="28"/>
      <c r="CA212" s="28"/>
      <c r="CB212" s="28"/>
      <c r="CC212" s="28"/>
      <c r="CD212" s="28"/>
      <c r="CE212" s="28"/>
      <c r="CF212" s="28"/>
      <c r="CG212" s="28"/>
      <c r="CH212" s="28"/>
      <c r="CI212" s="28"/>
      <c r="CJ212" s="28"/>
      <c r="CK212" s="28"/>
      <c r="CL212" s="28"/>
      <c r="CM212" s="28"/>
      <c r="CN212" s="28"/>
      <c r="CO212" s="28"/>
      <c r="CP212" s="28"/>
      <c r="CQ212" s="28"/>
      <c r="CR212" s="28"/>
      <c r="CS212" s="28"/>
      <c r="CT212" s="28"/>
      <c r="CU212" s="28"/>
      <c r="CV212" s="28"/>
      <c r="CW212" s="28"/>
      <c r="CX212" s="28"/>
      <c r="CY212" s="28"/>
      <c r="CZ212" s="28"/>
      <c r="DA212" s="28"/>
      <c r="DB212" s="28"/>
      <c r="DC212" s="28"/>
      <c r="DD212" s="28"/>
      <c r="DE212" s="28"/>
      <c r="DF212" s="28"/>
      <c r="DG212" s="28"/>
      <c r="DH212" s="28"/>
      <c r="DI212" s="28"/>
      <c r="DJ212" s="28"/>
      <c r="DK212" s="28"/>
      <c r="DL212" s="28"/>
      <c r="DM212" s="28"/>
      <c r="DN212" s="28"/>
      <c r="DO212" s="28"/>
      <c r="DP212" s="28"/>
      <c r="DQ212" s="28"/>
      <c r="DR212" s="28"/>
      <c r="DS212" s="28"/>
      <c r="DT212" s="28"/>
      <c r="DU212" s="28"/>
      <c r="DV212" s="28"/>
      <c r="DW212" s="28"/>
      <c r="DX212" s="28"/>
      <c r="DY212" s="28"/>
      <c r="DZ212" s="28"/>
      <c r="EA212" s="28"/>
      <c r="EB212" s="28"/>
      <c r="EC212" s="28"/>
      <c r="ED212" s="28"/>
      <c r="EE212" s="28"/>
      <c r="EF212" s="28"/>
      <c r="EG212" s="28"/>
      <c r="EH212" s="28"/>
      <c r="EI212" s="28">
        <v>1</v>
      </c>
      <c r="EJ212" s="28"/>
      <c r="EK212" s="28"/>
      <c r="EL212" s="28"/>
      <c r="EM212" s="28"/>
      <c r="EN212" s="28"/>
      <c r="EO212" s="28"/>
      <c r="EP212" s="28"/>
      <c r="EQ212" s="28"/>
      <c r="ER212" s="28"/>
      <c r="ES212" s="28"/>
      <c r="ET212" s="28"/>
      <c r="EU212" s="28"/>
      <c r="EV212" s="28"/>
      <c r="EW212" s="28"/>
      <c r="EX212" s="28"/>
      <c r="EY212" s="28"/>
      <c r="EZ212" s="28"/>
      <c r="FA212" s="28">
        <v>1</v>
      </c>
      <c r="FB212" s="28"/>
      <c r="FC212" s="28"/>
      <c r="FD212" s="28"/>
      <c r="FE212" s="28"/>
      <c r="FF212" s="28"/>
      <c r="FG212" s="28"/>
      <c r="FH212" s="28"/>
      <c r="FI212" s="28"/>
      <c r="FJ212" s="28"/>
      <c r="FK212" s="28"/>
      <c r="FL212" s="28"/>
      <c r="FM212" s="28"/>
      <c r="FN212" s="28"/>
      <c r="FO212" s="28"/>
      <c r="FP212" s="28"/>
      <c r="FQ212" s="28">
        <v>1</v>
      </c>
      <c r="FR212" s="28">
        <v>1</v>
      </c>
      <c r="FS212" s="28"/>
      <c r="FT212" s="28"/>
      <c r="FU212" s="28"/>
      <c r="FV212" s="28"/>
      <c r="FW212" s="28"/>
      <c r="FX212" s="28"/>
      <c r="FY212" s="28"/>
      <c r="FZ212" s="28"/>
      <c r="GA212" s="28"/>
      <c r="GB212" s="28"/>
      <c r="GC212" s="28"/>
      <c r="GD212" s="28"/>
      <c r="GE212" s="28"/>
      <c r="GF212" s="28"/>
    </row>
    <row r="213" spans="1:188" ht="13" x14ac:dyDescent="0.15">
      <c r="A213" s="27">
        <v>43566</v>
      </c>
      <c r="B213" s="28" t="s">
        <v>246</v>
      </c>
      <c r="C213" s="28">
        <v>21.2882</v>
      </c>
      <c r="D213" s="28">
        <v>-157.66799900000001</v>
      </c>
      <c r="E213" s="28" t="s">
        <v>548</v>
      </c>
      <c r="F213" s="29">
        <v>0.3888888888888889</v>
      </c>
      <c r="G213" s="29">
        <v>0.46180555555555558</v>
      </c>
      <c r="H213" s="28">
        <v>5</v>
      </c>
      <c r="I213" s="28">
        <v>10</v>
      </c>
      <c r="J213" s="28" t="s">
        <v>198</v>
      </c>
      <c r="K213" s="28">
        <v>6</v>
      </c>
      <c r="L213" s="28">
        <v>11</v>
      </c>
      <c r="M213" s="28" t="s">
        <v>550</v>
      </c>
      <c r="N213" s="28"/>
      <c r="O213" s="28"/>
      <c r="P213" s="28"/>
      <c r="Q213" s="28"/>
      <c r="R213" s="28"/>
      <c r="S213" s="28"/>
      <c r="T213" s="28"/>
      <c r="U213" s="28"/>
      <c r="V213" s="28"/>
      <c r="W213" s="28"/>
      <c r="X213" s="28"/>
      <c r="Y213" s="28"/>
      <c r="Z213" s="28"/>
      <c r="AA213" s="28"/>
      <c r="AB213" s="28"/>
      <c r="AC213" s="28"/>
      <c r="AD213" s="28"/>
      <c r="AE213" s="28"/>
      <c r="AF213" s="28">
        <v>1</v>
      </c>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v>1</v>
      </c>
      <c r="BE213" s="28"/>
      <c r="BF213" s="28"/>
      <c r="BG213" s="28"/>
      <c r="BH213" s="28"/>
      <c r="BI213" s="28"/>
      <c r="BJ213" s="28"/>
      <c r="BK213" s="28"/>
      <c r="BL213" s="28"/>
      <c r="BM213" s="28"/>
      <c r="BN213" s="28"/>
      <c r="BO213" s="28"/>
      <c r="BP213" s="28"/>
      <c r="BQ213" s="28"/>
      <c r="BR213" s="28"/>
      <c r="BS213" s="28"/>
      <c r="BT213" s="28"/>
      <c r="BU213" s="28"/>
      <c r="BV213" s="28"/>
      <c r="BW213" s="28"/>
      <c r="BX213" s="28"/>
      <c r="BY213" s="28"/>
      <c r="BZ213" s="28"/>
      <c r="CA213" s="28"/>
      <c r="CB213" s="28"/>
      <c r="CC213" s="28"/>
      <c r="CD213" s="28"/>
      <c r="CE213" s="28"/>
      <c r="CF213" s="28"/>
      <c r="CG213" s="28"/>
      <c r="CH213" s="28"/>
      <c r="CI213" s="28"/>
      <c r="CJ213" s="28"/>
      <c r="CK213" s="28"/>
      <c r="CL213" s="28"/>
      <c r="CM213" s="28"/>
      <c r="CN213" s="28"/>
      <c r="CO213" s="28"/>
      <c r="CP213" s="28"/>
      <c r="CQ213" s="28"/>
      <c r="CR213" s="28"/>
      <c r="CS213" s="28"/>
      <c r="CT213" s="28"/>
      <c r="CU213" s="28"/>
      <c r="CV213" s="28"/>
      <c r="CW213" s="28"/>
      <c r="CX213" s="28"/>
      <c r="CY213" s="28"/>
      <c r="CZ213" s="28"/>
      <c r="DA213" s="28"/>
      <c r="DB213" s="28"/>
      <c r="DC213" s="28"/>
      <c r="DD213" s="28"/>
      <c r="DE213" s="28"/>
      <c r="DF213" s="28"/>
      <c r="DG213" s="28"/>
      <c r="DH213" s="28"/>
      <c r="DI213" s="28"/>
      <c r="DJ213" s="28"/>
      <c r="DK213" s="28"/>
      <c r="DL213" s="28"/>
      <c r="DM213" s="28"/>
      <c r="DN213" s="28"/>
      <c r="DO213" s="28"/>
      <c r="DP213" s="28"/>
      <c r="DQ213" s="28"/>
      <c r="DR213" s="28"/>
      <c r="DS213" s="28"/>
      <c r="DT213" s="28"/>
      <c r="DU213" s="28"/>
      <c r="DV213" s="28"/>
      <c r="DW213" s="28"/>
      <c r="DX213" s="28"/>
      <c r="DY213" s="28"/>
      <c r="DZ213" s="28"/>
      <c r="EA213" s="28"/>
      <c r="EB213" s="28"/>
      <c r="EC213" s="28"/>
      <c r="ED213" s="28"/>
      <c r="EE213" s="28"/>
      <c r="EF213" s="28"/>
      <c r="EG213" s="28"/>
      <c r="EH213" s="28">
        <v>1</v>
      </c>
      <c r="EI213" s="28">
        <v>1</v>
      </c>
      <c r="EJ213" s="28"/>
      <c r="EK213" s="28"/>
      <c r="EL213" s="28"/>
      <c r="EM213" s="28"/>
      <c r="EN213" s="28"/>
      <c r="EO213" s="28"/>
      <c r="EP213" s="28"/>
      <c r="EQ213" s="28"/>
      <c r="ER213" s="28"/>
      <c r="ES213" s="28"/>
      <c r="ET213" s="28"/>
      <c r="EU213" s="28"/>
      <c r="EV213" s="28"/>
      <c r="EW213" s="28"/>
      <c r="EX213" s="28"/>
      <c r="EY213" s="28"/>
      <c r="EZ213" s="28"/>
      <c r="FA213" s="28"/>
      <c r="FB213" s="28"/>
      <c r="FC213" s="28"/>
      <c r="FD213" s="28"/>
      <c r="FE213" s="28"/>
      <c r="FF213" s="28"/>
      <c r="FG213" s="28"/>
      <c r="FH213" s="28"/>
      <c r="FI213" s="28"/>
      <c r="FJ213" s="28"/>
      <c r="FK213" s="28"/>
      <c r="FL213" s="28"/>
      <c r="FM213" s="28"/>
      <c r="FN213" s="28"/>
      <c r="FO213" s="28"/>
      <c r="FP213" s="28"/>
      <c r="FQ213" s="28">
        <v>1</v>
      </c>
      <c r="FR213" s="28">
        <v>1</v>
      </c>
      <c r="FS213" s="28"/>
      <c r="FT213" s="28"/>
      <c r="FU213" s="28"/>
      <c r="FV213" s="28"/>
      <c r="FW213" s="28"/>
      <c r="FX213" s="28"/>
      <c r="FY213" s="28"/>
      <c r="FZ213" s="28"/>
      <c r="GA213" s="28"/>
      <c r="GB213" s="28"/>
      <c r="GC213" s="28">
        <v>1</v>
      </c>
      <c r="GD213" s="28"/>
      <c r="GE213" s="28"/>
      <c r="GF213" s="28"/>
    </row>
    <row r="214" spans="1:188" ht="13" x14ac:dyDescent="0.15">
      <c r="A214" s="24">
        <v>43566</v>
      </c>
      <c r="B214" s="25" t="s">
        <v>473</v>
      </c>
      <c r="C214" s="25">
        <v>21.3962</v>
      </c>
      <c r="D214" s="25">
        <v>-157.72030599999999</v>
      </c>
      <c r="E214" s="25" t="s">
        <v>418</v>
      </c>
      <c r="F214" s="26">
        <v>0.41666666666666669</v>
      </c>
      <c r="G214" s="26">
        <v>0.47916666666666669</v>
      </c>
      <c r="H214" s="25">
        <v>6</v>
      </c>
      <c r="I214" s="25">
        <v>11</v>
      </c>
      <c r="J214" s="25" t="s">
        <v>318</v>
      </c>
      <c r="K214" s="25">
        <v>10</v>
      </c>
      <c r="L214" s="25">
        <v>40</v>
      </c>
      <c r="M214" s="25" t="s">
        <v>474</v>
      </c>
      <c r="N214" s="25"/>
      <c r="O214" s="25"/>
      <c r="P214" s="25"/>
      <c r="Q214" s="25"/>
      <c r="R214" s="25"/>
      <c r="S214" s="25"/>
      <c r="T214" s="25"/>
      <c r="U214" s="25"/>
      <c r="V214" s="25"/>
      <c r="W214" s="25"/>
      <c r="X214" s="25"/>
      <c r="Y214" s="25"/>
      <c r="Z214" s="25"/>
      <c r="AA214" s="25"/>
      <c r="AB214" s="25"/>
      <c r="AC214" s="25">
        <v>1</v>
      </c>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v>1</v>
      </c>
      <c r="BM214" s="25"/>
      <c r="BN214" s="25"/>
      <c r="BO214" s="25"/>
      <c r="BP214" s="25"/>
      <c r="BQ214" s="25"/>
      <c r="BR214" s="25"/>
      <c r="BS214" s="25"/>
      <c r="BT214" s="25"/>
      <c r="BU214" s="25"/>
      <c r="BV214" s="25"/>
      <c r="BW214" s="25"/>
      <c r="BX214" s="25"/>
      <c r="BY214" s="25"/>
      <c r="BZ214" s="25">
        <v>1</v>
      </c>
      <c r="CA214" s="25"/>
      <c r="CB214" s="25"/>
      <c r="CC214" s="25"/>
      <c r="CD214" s="25"/>
      <c r="CE214" s="25"/>
      <c r="CF214" s="25"/>
      <c r="CG214" s="25"/>
      <c r="CH214" s="25"/>
      <c r="CI214" s="25"/>
      <c r="CJ214" s="25"/>
      <c r="CK214" s="25"/>
      <c r="CL214" s="25"/>
      <c r="CM214" s="25"/>
      <c r="CN214" s="25"/>
      <c r="CO214" s="25"/>
      <c r="CP214" s="25"/>
      <c r="CQ214" s="25"/>
      <c r="CR214" s="25"/>
      <c r="CS214" s="25"/>
      <c r="CT214" s="25"/>
      <c r="CU214" s="25"/>
      <c r="CV214" s="25"/>
      <c r="CW214" s="25"/>
      <c r="CX214" s="25"/>
      <c r="CY214" s="25"/>
      <c r="CZ214" s="25"/>
      <c r="DA214" s="25"/>
      <c r="DB214" s="25"/>
      <c r="DC214" s="25"/>
      <c r="DD214" s="25"/>
      <c r="DE214" s="25"/>
      <c r="DF214" s="25"/>
      <c r="DG214" s="25">
        <v>1</v>
      </c>
      <c r="DH214" s="25"/>
      <c r="DI214" s="25"/>
      <c r="DJ214" s="25"/>
      <c r="DK214" s="25"/>
      <c r="DL214" s="25"/>
      <c r="DM214" s="25"/>
      <c r="DN214" s="25"/>
      <c r="DO214" s="25">
        <v>1</v>
      </c>
      <c r="DP214" s="25"/>
      <c r="DQ214" s="25"/>
      <c r="DR214" s="25">
        <v>1</v>
      </c>
      <c r="DS214" s="25"/>
      <c r="DT214" s="25"/>
      <c r="DU214" s="25"/>
      <c r="DV214" s="25"/>
      <c r="DW214" s="25"/>
      <c r="DX214" s="25"/>
      <c r="DY214" s="25"/>
      <c r="DZ214" s="25"/>
      <c r="EA214" s="25"/>
      <c r="EB214" s="25"/>
      <c r="EC214" s="25"/>
      <c r="ED214" s="25"/>
      <c r="EE214" s="25"/>
      <c r="EF214" s="25"/>
      <c r="EG214" s="25"/>
      <c r="EH214" s="25"/>
      <c r="EI214" s="25"/>
      <c r="EJ214" s="25"/>
      <c r="EK214" s="25"/>
      <c r="EL214" s="25"/>
      <c r="EM214" s="25">
        <v>1</v>
      </c>
      <c r="EN214" s="25"/>
      <c r="EO214" s="25"/>
      <c r="EP214" s="25"/>
      <c r="EQ214" s="25"/>
      <c r="ER214" s="25"/>
      <c r="ES214" s="25"/>
      <c r="ET214" s="25"/>
      <c r="EU214" s="25"/>
      <c r="EV214" s="25"/>
      <c r="EW214" s="25"/>
      <c r="EX214" s="25"/>
      <c r="EY214" s="25"/>
      <c r="EZ214" s="25"/>
      <c r="FA214" s="25"/>
      <c r="FB214" s="25">
        <v>1</v>
      </c>
      <c r="FC214" s="25"/>
      <c r="FD214" s="25"/>
      <c r="FE214" s="25"/>
      <c r="FF214" s="25"/>
      <c r="FG214" s="25"/>
      <c r="FH214" s="25"/>
      <c r="FI214" s="25"/>
      <c r="FJ214" s="25"/>
      <c r="FK214" s="25"/>
      <c r="FL214" s="25"/>
      <c r="FM214" s="25"/>
      <c r="FN214" s="25"/>
      <c r="FO214" s="25"/>
      <c r="FP214" s="25"/>
      <c r="FQ214" s="25"/>
      <c r="FR214" s="25">
        <v>1</v>
      </c>
      <c r="FS214" s="25"/>
      <c r="FT214" s="25"/>
      <c r="FU214" s="25"/>
      <c r="FV214" s="25"/>
      <c r="FW214" s="25"/>
      <c r="FX214" s="25"/>
      <c r="FY214" s="25"/>
      <c r="FZ214" s="25"/>
      <c r="GA214" s="25"/>
      <c r="GB214" s="25"/>
      <c r="GC214" s="25"/>
      <c r="GD214" s="25"/>
      <c r="GE214" s="25"/>
      <c r="GF214" s="25"/>
    </row>
    <row r="215" spans="1:188" ht="13" x14ac:dyDescent="0.15">
      <c r="A215" s="27">
        <v>43567</v>
      </c>
      <c r="B215" s="28" t="s">
        <v>473</v>
      </c>
      <c r="C215" s="28">
        <v>21.3962</v>
      </c>
      <c r="D215" s="28">
        <v>-157.72030599999999</v>
      </c>
      <c r="E215" s="28" t="s">
        <v>418</v>
      </c>
      <c r="F215" s="29">
        <v>0.41666666666666669</v>
      </c>
      <c r="G215" s="29">
        <v>0.5</v>
      </c>
      <c r="H215" s="28">
        <v>5</v>
      </c>
      <c r="I215" s="28">
        <v>15</v>
      </c>
      <c r="J215" s="28" t="s">
        <v>314</v>
      </c>
      <c r="K215" s="28">
        <v>5</v>
      </c>
      <c r="L215" s="28">
        <v>9</v>
      </c>
      <c r="M215" s="28" t="s">
        <v>551</v>
      </c>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v>1</v>
      </c>
      <c r="BM215" s="28"/>
      <c r="BN215" s="28"/>
      <c r="BO215" s="28"/>
      <c r="BP215" s="28">
        <v>1</v>
      </c>
      <c r="BQ215" s="28"/>
      <c r="BR215" s="28"/>
      <c r="BS215" s="28"/>
      <c r="BT215" s="28"/>
      <c r="BU215" s="28"/>
      <c r="BV215" s="28"/>
      <c r="BW215" s="28"/>
      <c r="BX215" s="28"/>
      <c r="BY215" s="28"/>
      <c r="BZ215" s="28"/>
      <c r="CA215" s="28"/>
      <c r="CB215" s="28"/>
      <c r="CC215" s="28"/>
      <c r="CD215" s="28"/>
      <c r="CE215" s="28"/>
      <c r="CF215" s="28"/>
      <c r="CG215" s="28"/>
      <c r="CH215" s="28"/>
      <c r="CI215" s="28"/>
      <c r="CJ215" s="28"/>
      <c r="CK215" s="28"/>
      <c r="CL215" s="28"/>
      <c r="CM215" s="28"/>
      <c r="CN215" s="28"/>
      <c r="CO215" s="28"/>
      <c r="CP215" s="28"/>
      <c r="CQ215" s="28"/>
      <c r="CR215" s="28"/>
      <c r="CS215" s="28"/>
      <c r="CT215" s="28"/>
      <c r="CU215" s="28"/>
      <c r="CV215" s="28"/>
      <c r="CW215" s="28"/>
      <c r="CX215" s="28"/>
      <c r="CY215" s="28"/>
      <c r="CZ215" s="28"/>
      <c r="DA215" s="28"/>
      <c r="DB215" s="28"/>
      <c r="DC215" s="28"/>
      <c r="DD215" s="28"/>
      <c r="DE215" s="28"/>
      <c r="DF215" s="28"/>
      <c r="DG215" s="28"/>
      <c r="DH215" s="28"/>
      <c r="DI215" s="28"/>
      <c r="DJ215" s="28"/>
      <c r="DK215" s="28"/>
      <c r="DL215" s="28"/>
      <c r="DM215" s="28"/>
      <c r="DN215" s="28"/>
      <c r="DO215" s="28">
        <v>1</v>
      </c>
      <c r="DP215" s="28"/>
      <c r="DQ215" s="28"/>
      <c r="DR215" s="28"/>
      <c r="DS215" s="28"/>
      <c r="DT215" s="28"/>
      <c r="DU215" s="28"/>
      <c r="DV215" s="28"/>
      <c r="DW215" s="28"/>
      <c r="DX215" s="28"/>
      <c r="DY215" s="28"/>
      <c r="DZ215" s="28"/>
      <c r="EA215" s="28"/>
      <c r="EB215" s="28"/>
      <c r="EC215" s="28"/>
      <c r="ED215" s="28"/>
      <c r="EE215" s="28"/>
      <c r="EF215" s="28"/>
      <c r="EG215" s="28"/>
      <c r="EH215" s="28"/>
      <c r="EI215" s="28"/>
      <c r="EJ215" s="28"/>
      <c r="EK215" s="28"/>
      <c r="EL215" s="28"/>
      <c r="EM215" s="28"/>
      <c r="EN215" s="28"/>
      <c r="EO215" s="28"/>
      <c r="EP215" s="28"/>
      <c r="EQ215" s="28"/>
      <c r="ER215" s="28"/>
      <c r="ES215" s="28"/>
      <c r="ET215" s="28"/>
      <c r="EU215" s="28"/>
      <c r="EV215" s="28"/>
      <c r="EW215" s="28"/>
      <c r="EX215" s="28"/>
      <c r="EY215" s="28"/>
      <c r="EZ215" s="28"/>
      <c r="FA215" s="28"/>
      <c r="FB215" s="28"/>
      <c r="FC215" s="28"/>
      <c r="FD215" s="28"/>
      <c r="FE215" s="28"/>
      <c r="FF215" s="28"/>
      <c r="FG215" s="28"/>
      <c r="FH215" s="28"/>
      <c r="FI215" s="28"/>
      <c r="FJ215" s="28"/>
      <c r="FK215" s="28"/>
      <c r="FL215" s="28"/>
      <c r="FM215" s="28"/>
      <c r="FN215" s="28"/>
      <c r="FO215" s="28"/>
      <c r="FP215" s="28"/>
      <c r="FQ215" s="28"/>
      <c r="FR215" s="28">
        <v>1</v>
      </c>
      <c r="FS215" s="28"/>
      <c r="FT215" s="28"/>
      <c r="FU215" s="28"/>
      <c r="FV215" s="28"/>
      <c r="FW215" s="28"/>
      <c r="FX215" s="28"/>
      <c r="FY215" s="28"/>
      <c r="FZ215" s="28"/>
      <c r="GA215" s="28"/>
      <c r="GB215" s="28"/>
      <c r="GC215" s="28"/>
      <c r="GD215" s="28"/>
      <c r="GE215" s="28"/>
      <c r="GF215" s="28"/>
    </row>
    <row r="216" spans="1:188" ht="13" x14ac:dyDescent="0.15">
      <c r="A216" s="13">
        <v>43571</v>
      </c>
      <c r="B216" s="3" t="s">
        <v>244</v>
      </c>
      <c r="C216" s="3">
        <v>21.310611999999999</v>
      </c>
      <c r="D216" s="3">
        <v>-158.00441000000001</v>
      </c>
      <c r="E216" s="3" t="s">
        <v>326</v>
      </c>
      <c r="F216" s="14">
        <v>0.3888888888888889</v>
      </c>
      <c r="G216" s="14">
        <v>0.41319444444444442</v>
      </c>
      <c r="H216" s="3">
        <v>5</v>
      </c>
      <c r="I216" s="3">
        <v>20</v>
      </c>
      <c r="J216" s="3" t="s">
        <v>198</v>
      </c>
      <c r="K216" s="3">
        <v>5</v>
      </c>
      <c r="L216" s="3">
        <v>20</v>
      </c>
      <c r="M216" s="3" t="s">
        <v>476</v>
      </c>
      <c r="Q216" s="3">
        <v>1</v>
      </c>
      <c r="AD216" s="3">
        <v>1</v>
      </c>
      <c r="AM216" s="3">
        <v>1</v>
      </c>
      <c r="AZ216" s="3"/>
      <c r="BA216" s="3">
        <v>1</v>
      </c>
      <c r="BB216" s="3">
        <v>1</v>
      </c>
      <c r="BD216" s="3">
        <v>1</v>
      </c>
      <c r="BU216" s="3">
        <v>1</v>
      </c>
      <c r="BY216" s="3">
        <v>1</v>
      </c>
      <c r="CH216" s="3"/>
      <c r="CI216" s="3"/>
      <c r="CJ216" s="3">
        <v>1</v>
      </c>
      <c r="CN216" s="3">
        <v>1</v>
      </c>
      <c r="DL216" s="3">
        <v>1</v>
      </c>
      <c r="DN216" s="3">
        <v>1</v>
      </c>
      <c r="DT216" s="3"/>
      <c r="DU216" s="3">
        <v>1</v>
      </c>
      <c r="EB216" s="3">
        <v>1</v>
      </c>
      <c r="ED216" s="3"/>
      <c r="EE216" s="3"/>
      <c r="EF216" s="3"/>
      <c r="EG216" s="3"/>
      <c r="EH216" s="3"/>
      <c r="EI216" s="3">
        <v>1</v>
      </c>
      <c r="EW216" s="3">
        <v>1</v>
      </c>
      <c r="FQ216" s="3">
        <v>1</v>
      </c>
      <c r="FR216" s="3">
        <v>1</v>
      </c>
    </row>
    <row r="217" spans="1:188" ht="13" x14ac:dyDescent="0.15">
      <c r="A217" s="13">
        <v>43571</v>
      </c>
      <c r="B217" s="3" t="s">
        <v>201</v>
      </c>
      <c r="C217" s="3">
        <v>21.25544</v>
      </c>
      <c r="D217" s="3">
        <v>-157.810303</v>
      </c>
      <c r="E217" s="3" t="s">
        <v>477</v>
      </c>
      <c r="F217" s="14">
        <v>0.3576388888888889</v>
      </c>
      <c r="G217" s="14">
        <v>0.41666666666666669</v>
      </c>
      <c r="H217" s="3">
        <v>6</v>
      </c>
      <c r="I217" s="3">
        <v>12.5</v>
      </c>
      <c r="J217" s="3" t="s">
        <v>318</v>
      </c>
      <c r="K217" s="3">
        <v>5</v>
      </c>
      <c r="L217" s="3">
        <v>28</v>
      </c>
      <c r="M217" s="3" t="s">
        <v>478</v>
      </c>
      <c r="AZ217" s="3"/>
      <c r="BA217" s="3">
        <v>1</v>
      </c>
      <c r="BL217" s="3">
        <v>1</v>
      </c>
      <c r="BU217" s="3">
        <v>1</v>
      </c>
      <c r="BV217" s="3">
        <v>1</v>
      </c>
      <c r="BX217" s="3">
        <v>1</v>
      </c>
      <c r="DA217" s="3"/>
      <c r="DB217" s="3">
        <v>1</v>
      </c>
      <c r="DJ217" s="3"/>
      <c r="DK217" s="3">
        <v>1</v>
      </c>
      <c r="DL217" s="3">
        <v>1</v>
      </c>
      <c r="DQ217" s="3"/>
      <c r="DR217" s="3">
        <v>1</v>
      </c>
      <c r="DT217" s="3"/>
      <c r="DU217" s="3">
        <v>1</v>
      </c>
      <c r="ED217" s="3"/>
      <c r="EE217" s="3"/>
      <c r="EF217" s="3"/>
      <c r="EG217" s="3"/>
      <c r="EH217" s="3"/>
      <c r="EI217" s="3">
        <v>1</v>
      </c>
      <c r="EX217" s="3"/>
      <c r="EY217" s="3">
        <v>1</v>
      </c>
      <c r="EZ217" s="3">
        <v>1</v>
      </c>
      <c r="FA217" s="3">
        <v>1</v>
      </c>
      <c r="FQ217" s="3">
        <v>1</v>
      </c>
      <c r="FR217" s="3">
        <v>1</v>
      </c>
    </row>
    <row r="218" spans="1:188" ht="13" x14ac:dyDescent="0.15">
      <c r="A218" s="13">
        <v>43572</v>
      </c>
      <c r="B218" s="3" t="s">
        <v>201</v>
      </c>
      <c r="C218" s="3">
        <v>21.25544</v>
      </c>
      <c r="D218" s="3">
        <v>-157.810303</v>
      </c>
      <c r="E218" s="3" t="s">
        <v>477</v>
      </c>
      <c r="F218" s="14">
        <v>0.3611111111111111</v>
      </c>
      <c r="G218" s="14">
        <v>0.41666666666666669</v>
      </c>
      <c r="H218" s="3">
        <v>5</v>
      </c>
      <c r="I218" s="3">
        <v>11</v>
      </c>
      <c r="J218" s="3" t="s">
        <v>318</v>
      </c>
      <c r="K218" s="3">
        <v>10</v>
      </c>
      <c r="L218" s="3">
        <v>46</v>
      </c>
      <c r="M218" s="3" t="s">
        <v>481</v>
      </c>
      <c r="S218" s="3">
        <v>1</v>
      </c>
      <c r="X218" s="3"/>
      <c r="Y218" s="3"/>
      <c r="Z218" s="3"/>
      <c r="AA218" s="3">
        <v>1</v>
      </c>
      <c r="AP218" s="3"/>
      <c r="AQ218" s="3">
        <v>1</v>
      </c>
      <c r="BB218" s="3">
        <v>1</v>
      </c>
      <c r="BL218" s="3">
        <v>1</v>
      </c>
      <c r="BT218" s="3">
        <v>1</v>
      </c>
      <c r="BU218" s="3">
        <v>1</v>
      </c>
      <c r="BV218" s="3">
        <v>1</v>
      </c>
      <c r="BW218" s="3">
        <v>1</v>
      </c>
      <c r="BY218" s="3">
        <v>1</v>
      </c>
      <c r="DA218" s="3"/>
      <c r="DB218" s="3">
        <v>1</v>
      </c>
      <c r="DC218" s="3"/>
      <c r="DD218" s="3">
        <v>1</v>
      </c>
      <c r="DI218" s="3">
        <v>1</v>
      </c>
      <c r="DJ218" s="3"/>
      <c r="DK218" s="3">
        <v>1</v>
      </c>
      <c r="DQ218" s="3"/>
      <c r="DR218" s="3">
        <v>1</v>
      </c>
      <c r="DT218" s="3"/>
      <c r="DU218" s="3">
        <v>1</v>
      </c>
      <c r="ED218" s="3"/>
      <c r="EE218" s="3"/>
      <c r="EF218" s="3"/>
      <c r="EG218" s="3"/>
      <c r="EH218" s="3"/>
      <c r="EI218" s="3">
        <v>1</v>
      </c>
      <c r="EX218" s="3"/>
      <c r="EY218" s="3">
        <v>1</v>
      </c>
      <c r="EZ218" s="3">
        <v>1</v>
      </c>
      <c r="FA218" s="3">
        <v>1</v>
      </c>
      <c r="FQ218" s="3">
        <v>1</v>
      </c>
      <c r="FR218" s="3">
        <v>1</v>
      </c>
      <c r="FU218" s="3"/>
      <c r="FV218" s="3">
        <v>1</v>
      </c>
    </row>
    <row r="219" spans="1:188" ht="13" x14ac:dyDescent="0.15">
      <c r="A219" s="24">
        <v>43572</v>
      </c>
      <c r="B219" s="25" t="s">
        <v>259</v>
      </c>
      <c r="C219" s="25">
        <v>19.737894000000001</v>
      </c>
      <c r="D219" s="25">
        <v>-155.03405799999999</v>
      </c>
      <c r="E219" s="25" t="s">
        <v>482</v>
      </c>
      <c r="F219" s="26">
        <v>0.36805555555555558</v>
      </c>
      <c r="G219" s="26">
        <v>0.44791666666666669</v>
      </c>
      <c r="H219" s="25">
        <v>7</v>
      </c>
      <c r="I219" s="25">
        <v>20</v>
      </c>
      <c r="J219" s="25" t="s">
        <v>217</v>
      </c>
      <c r="K219" s="25">
        <v>5</v>
      </c>
      <c r="L219" s="25">
        <v>29</v>
      </c>
      <c r="M219" s="25" t="s">
        <v>483</v>
      </c>
      <c r="N219" s="25"/>
      <c r="O219" s="25"/>
      <c r="P219" s="25"/>
      <c r="Q219" s="25"/>
      <c r="R219" s="25"/>
      <c r="S219" s="25"/>
      <c r="T219" s="25"/>
      <c r="U219" s="25"/>
      <c r="V219" s="25"/>
      <c r="W219" s="25"/>
      <c r="X219" s="25"/>
      <c r="Y219" s="25"/>
      <c r="Z219" s="25"/>
      <c r="AA219" s="25"/>
      <c r="AB219" s="25"/>
      <c r="AC219" s="25"/>
      <c r="AD219" s="25"/>
      <c r="AE219" s="25"/>
      <c r="AF219" s="25">
        <v>1</v>
      </c>
      <c r="AG219" s="25"/>
      <c r="AH219" s="25"/>
      <c r="AI219" s="25"/>
      <c r="AJ219" s="25"/>
      <c r="AK219" s="25"/>
      <c r="AL219" s="25">
        <v>1</v>
      </c>
      <c r="AM219" s="25"/>
      <c r="AN219" s="25"/>
      <c r="AO219" s="25">
        <v>1</v>
      </c>
      <c r="AP219" s="25"/>
      <c r="AQ219" s="25"/>
      <c r="AR219" s="25"/>
      <c r="AS219" s="25"/>
      <c r="AT219" s="25"/>
      <c r="AU219" s="25"/>
      <c r="AV219" s="25"/>
      <c r="AW219" s="25"/>
      <c r="AX219" s="25"/>
      <c r="AY219" s="25"/>
      <c r="AZ219" s="25"/>
      <c r="BA219" s="25">
        <v>1</v>
      </c>
      <c r="BB219" s="25"/>
      <c r="BC219" s="25"/>
      <c r="BD219" s="25"/>
      <c r="BE219" s="25"/>
      <c r="BF219" s="25"/>
      <c r="BG219" s="25"/>
      <c r="BH219" s="25"/>
      <c r="BI219" s="25"/>
      <c r="BJ219" s="25">
        <v>1</v>
      </c>
      <c r="BK219" s="25"/>
      <c r="BL219" s="25">
        <v>1</v>
      </c>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v>1</v>
      </c>
      <c r="CO219" s="25"/>
      <c r="CP219" s="25"/>
      <c r="CQ219" s="25"/>
      <c r="CR219" s="25"/>
      <c r="CS219" s="25"/>
      <c r="CT219" s="25"/>
      <c r="CU219" s="25"/>
      <c r="CV219" s="25"/>
      <c r="CW219" s="25"/>
      <c r="CX219" s="25"/>
      <c r="CY219" s="25"/>
      <c r="CZ219" s="25"/>
      <c r="DA219" s="25"/>
      <c r="DB219" s="25"/>
      <c r="DC219" s="25"/>
      <c r="DD219" s="25"/>
      <c r="DE219" s="25"/>
      <c r="DF219" s="25"/>
      <c r="DG219" s="25">
        <v>1</v>
      </c>
      <c r="DH219" s="25"/>
      <c r="DI219" s="25"/>
      <c r="DJ219" s="25"/>
      <c r="DK219" s="25"/>
      <c r="DL219" s="25"/>
      <c r="DM219" s="25"/>
      <c r="DN219" s="25"/>
      <c r="DO219" s="25"/>
      <c r="DP219" s="25"/>
      <c r="DQ219" s="25"/>
      <c r="DR219" s="25"/>
      <c r="DS219" s="25"/>
      <c r="DT219" s="25"/>
      <c r="DU219" s="25"/>
      <c r="DV219" s="25"/>
      <c r="DW219" s="25"/>
      <c r="DX219" s="25"/>
      <c r="DY219" s="25"/>
      <c r="DZ219" s="25"/>
      <c r="EA219" s="25"/>
      <c r="EB219" s="25"/>
      <c r="EC219" s="25"/>
      <c r="ED219" s="25"/>
      <c r="EE219" s="25"/>
      <c r="EF219" s="25"/>
      <c r="EG219" s="25"/>
      <c r="EH219" s="25"/>
      <c r="EI219" s="25"/>
      <c r="EJ219" s="25"/>
      <c r="EK219" s="25"/>
      <c r="EL219" s="25"/>
      <c r="EM219" s="25"/>
      <c r="EN219" s="25"/>
      <c r="EO219" s="25"/>
      <c r="EP219" s="25"/>
      <c r="EQ219" s="25"/>
      <c r="ER219" s="25"/>
      <c r="ES219" s="25"/>
      <c r="ET219" s="25"/>
      <c r="EU219" s="25"/>
      <c r="EV219" s="25"/>
      <c r="EW219" s="25"/>
      <c r="EX219" s="25"/>
      <c r="EY219" s="25"/>
      <c r="EZ219" s="25"/>
      <c r="FA219" s="25"/>
      <c r="FB219" s="25"/>
      <c r="FC219" s="25"/>
      <c r="FD219" s="25">
        <v>1</v>
      </c>
      <c r="FE219" s="25"/>
      <c r="FF219" s="25"/>
      <c r="FG219" s="25"/>
      <c r="FH219" s="25"/>
      <c r="FI219" s="25"/>
      <c r="FJ219" s="25"/>
      <c r="FK219" s="25"/>
      <c r="FL219" s="25">
        <v>1</v>
      </c>
      <c r="FM219" s="25"/>
      <c r="FN219" s="25"/>
      <c r="FO219" s="25"/>
      <c r="FP219" s="25"/>
      <c r="FQ219" s="25"/>
      <c r="FR219" s="25">
        <v>1</v>
      </c>
      <c r="FS219" s="25"/>
      <c r="FT219" s="25"/>
      <c r="FU219" s="25"/>
      <c r="FV219" s="25">
        <v>1</v>
      </c>
      <c r="FW219" s="25"/>
      <c r="FX219" s="25"/>
      <c r="FY219" s="25"/>
      <c r="FZ219" s="25"/>
      <c r="GA219" s="25"/>
      <c r="GB219" s="25"/>
      <c r="GC219" s="25"/>
      <c r="GD219" s="25"/>
      <c r="GE219" s="25"/>
      <c r="GF219" s="25"/>
    </row>
    <row r="220" spans="1:188" ht="13" x14ac:dyDescent="0.15">
      <c r="A220" s="13">
        <v>43573</v>
      </c>
      <c r="B220" s="3" t="s">
        <v>340</v>
      </c>
      <c r="C220" s="3">
        <v>19.643276</v>
      </c>
      <c r="D220" s="3">
        <v>-156.01019299999999</v>
      </c>
      <c r="E220" s="3" t="s">
        <v>418</v>
      </c>
      <c r="F220" s="14">
        <v>0.41319444444444442</v>
      </c>
      <c r="G220" s="14">
        <v>0.47916666666666669</v>
      </c>
      <c r="H220" s="3">
        <v>4</v>
      </c>
      <c r="I220" s="3">
        <v>18</v>
      </c>
      <c r="J220" s="3" t="s">
        <v>198</v>
      </c>
      <c r="K220" s="3">
        <v>10</v>
      </c>
      <c r="L220" s="3">
        <v>26</v>
      </c>
      <c r="M220" s="3" t="s">
        <v>486</v>
      </c>
      <c r="S220" s="3">
        <v>1</v>
      </c>
      <c r="AB220" s="3"/>
      <c r="AC220" s="3">
        <v>1</v>
      </c>
      <c r="AG220" s="3">
        <v>1</v>
      </c>
      <c r="AT220" s="3"/>
      <c r="AU220" s="3">
        <v>1</v>
      </c>
      <c r="AZ220" s="3"/>
      <c r="BA220" s="3">
        <v>1</v>
      </c>
      <c r="BF220" s="3">
        <v>1</v>
      </c>
      <c r="BG220" s="3">
        <v>1</v>
      </c>
      <c r="BL220" s="3">
        <v>1</v>
      </c>
      <c r="BX220" s="3">
        <v>1</v>
      </c>
      <c r="CB220" s="3">
        <v>1</v>
      </c>
      <c r="CC220" s="3">
        <v>1</v>
      </c>
      <c r="DL220" s="3">
        <v>1</v>
      </c>
      <c r="DO220" s="3">
        <v>1</v>
      </c>
      <c r="DS220" s="3"/>
      <c r="DV220" s="3">
        <v>1</v>
      </c>
      <c r="ED220" s="3"/>
      <c r="EE220" s="3"/>
      <c r="EF220" s="3"/>
      <c r="EG220" s="3"/>
      <c r="EH220" s="3"/>
      <c r="EI220" s="3">
        <v>1</v>
      </c>
      <c r="FA220" s="3">
        <v>1</v>
      </c>
      <c r="FR220" s="3">
        <v>1</v>
      </c>
      <c r="FY220" s="3">
        <v>1</v>
      </c>
    </row>
    <row r="221" spans="1:188" ht="13" x14ac:dyDescent="0.15">
      <c r="A221" s="24">
        <v>43573</v>
      </c>
      <c r="B221" s="25" t="s">
        <v>259</v>
      </c>
      <c r="C221" s="25">
        <v>19.737894000000001</v>
      </c>
      <c r="D221" s="25">
        <v>-155.03405799999999</v>
      </c>
      <c r="E221" s="25" t="s">
        <v>482</v>
      </c>
      <c r="F221" s="26">
        <v>0.375</v>
      </c>
      <c r="G221" s="26">
        <v>0.44791666666666669</v>
      </c>
      <c r="H221" s="25">
        <v>7</v>
      </c>
      <c r="I221" s="25">
        <v>20</v>
      </c>
      <c r="J221" s="25" t="s">
        <v>217</v>
      </c>
      <c r="K221" s="25">
        <v>5</v>
      </c>
      <c r="L221" s="25">
        <v>33</v>
      </c>
      <c r="M221" s="25" t="s">
        <v>487</v>
      </c>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v>1</v>
      </c>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v>1</v>
      </c>
      <c r="BK221" s="25"/>
      <c r="BL221" s="25">
        <v>1</v>
      </c>
      <c r="BM221" s="25"/>
      <c r="BN221" s="25"/>
      <c r="BO221" s="25"/>
      <c r="BP221" s="25"/>
      <c r="BQ221" s="25"/>
      <c r="BR221" s="25"/>
      <c r="BS221" s="25"/>
      <c r="BT221" s="25"/>
      <c r="BU221" s="25"/>
      <c r="BV221" s="25"/>
      <c r="BW221" s="25"/>
      <c r="BX221" s="25"/>
      <c r="BY221" s="25"/>
      <c r="BZ221" s="25"/>
      <c r="CA221" s="25"/>
      <c r="CB221" s="25"/>
      <c r="CC221" s="25">
        <v>1</v>
      </c>
      <c r="CD221" s="25"/>
      <c r="CE221" s="25"/>
      <c r="CF221" s="25"/>
      <c r="CG221" s="25"/>
      <c r="CH221" s="25"/>
      <c r="CI221" s="25"/>
      <c r="CJ221" s="25"/>
      <c r="CK221" s="25"/>
      <c r="CL221" s="25"/>
      <c r="CM221" s="25"/>
      <c r="CN221" s="25"/>
      <c r="CO221" s="25"/>
      <c r="CP221" s="25"/>
      <c r="CQ221" s="25"/>
      <c r="CR221" s="25"/>
      <c r="CS221" s="25"/>
      <c r="CT221" s="25"/>
      <c r="CU221" s="25"/>
      <c r="CV221" s="25"/>
      <c r="CW221" s="25"/>
      <c r="CX221" s="25"/>
      <c r="CY221" s="25"/>
      <c r="CZ221" s="25"/>
      <c r="DA221" s="25"/>
      <c r="DB221" s="25"/>
      <c r="DC221" s="25"/>
      <c r="DD221" s="25"/>
      <c r="DE221" s="25"/>
      <c r="DF221" s="25"/>
      <c r="DG221" s="25">
        <v>1</v>
      </c>
      <c r="DH221" s="25"/>
      <c r="DI221" s="25"/>
      <c r="DJ221" s="25"/>
      <c r="DK221" s="25"/>
      <c r="DL221" s="25"/>
      <c r="DM221" s="25"/>
      <c r="DN221" s="25"/>
      <c r="DO221" s="25"/>
      <c r="DP221" s="25"/>
      <c r="DQ221" s="25"/>
      <c r="DR221" s="25"/>
      <c r="DS221" s="25"/>
      <c r="DT221" s="25"/>
      <c r="DU221" s="25"/>
      <c r="DV221" s="25"/>
      <c r="DW221" s="25"/>
      <c r="DX221" s="25"/>
      <c r="DY221" s="25"/>
      <c r="DZ221" s="25"/>
      <c r="EA221" s="25"/>
      <c r="EB221" s="25"/>
      <c r="EC221" s="25"/>
      <c r="ED221" s="25"/>
      <c r="EE221" s="25"/>
      <c r="EF221" s="25"/>
      <c r="EG221" s="25"/>
      <c r="EH221" s="25"/>
      <c r="EI221" s="25"/>
      <c r="EJ221" s="25"/>
      <c r="EK221" s="25"/>
      <c r="EL221" s="25"/>
      <c r="EM221" s="25"/>
      <c r="EN221" s="25"/>
      <c r="EO221" s="25"/>
      <c r="EP221" s="25"/>
      <c r="EQ221" s="25"/>
      <c r="ER221" s="25"/>
      <c r="ES221" s="25"/>
      <c r="ET221" s="25"/>
      <c r="EU221" s="25"/>
      <c r="EV221" s="25"/>
      <c r="EW221" s="25"/>
      <c r="EX221" s="25"/>
      <c r="EY221" s="25"/>
      <c r="EZ221" s="25"/>
      <c r="FA221" s="25"/>
      <c r="FB221" s="25"/>
      <c r="FC221" s="25"/>
      <c r="FD221" s="25">
        <v>1</v>
      </c>
      <c r="FE221" s="25"/>
      <c r="FF221" s="25"/>
      <c r="FG221" s="25"/>
      <c r="FH221" s="25"/>
      <c r="FI221" s="25"/>
      <c r="FJ221" s="25"/>
      <c r="FK221" s="25"/>
      <c r="FL221" s="25">
        <v>1</v>
      </c>
      <c r="FM221" s="25"/>
      <c r="FN221" s="25"/>
      <c r="FO221" s="25">
        <v>1</v>
      </c>
      <c r="FP221" s="25">
        <v>1</v>
      </c>
      <c r="FQ221" s="25"/>
      <c r="FR221" s="25">
        <v>1</v>
      </c>
      <c r="FS221" s="25"/>
      <c r="FT221" s="25"/>
      <c r="FU221" s="25"/>
      <c r="FV221" s="25">
        <v>1</v>
      </c>
      <c r="FW221" s="25"/>
      <c r="FX221" s="25"/>
      <c r="FY221" s="25"/>
      <c r="FZ221" s="25"/>
      <c r="GA221" s="25"/>
      <c r="GB221" s="25"/>
      <c r="GC221" s="25"/>
      <c r="GD221" s="25"/>
      <c r="GE221" s="25"/>
      <c r="GF221" s="25"/>
    </row>
    <row r="222" spans="1:188" ht="13" x14ac:dyDescent="0.15">
      <c r="A222" s="13">
        <v>43573</v>
      </c>
      <c r="B222" s="3" t="s">
        <v>489</v>
      </c>
      <c r="C222" s="3">
        <v>19.640812</v>
      </c>
      <c r="D222" s="3">
        <v>-156.00692699999999</v>
      </c>
      <c r="E222" s="3" t="s">
        <v>367</v>
      </c>
      <c r="F222" s="14">
        <v>0.375</v>
      </c>
      <c r="G222" s="14">
        <v>0.47916666666666669</v>
      </c>
      <c r="H222" s="3">
        <v>4</v>
      </c>
      <c r="I222" s="3">
        <v>20</v>
      </c>
      <c r="J222" s="3" t="s">
        <v>198</v>
      </c>
      <c r="K222" s="3">
        <v>10</v>
      </c>
      <c r="L222" s="3">
        <v>26</v>
      </c>
      <c r="M222" s="3" t="s">
        <v>486</v>
      </c>
      <c r="O222" s="3">
        <v>1</v>
      </c>
      <c r="S222" s="3">
        <v>1</v>
      </c>
      <c r="AG222" s="3">
        <v>1</v>
      </c>
      <c r="AT222" s="3"/>
      <c r="AU222" s="3">
        <v>1</v>
      </c>
      <c r="AZ222" s="3"/>
      <c r="BA222" s="3">
        <v>1</v>
      </c>
      <c r="BF222" s="3">
        <v>1</v>
      </c>
      <c r="BG222" s="3">
        <v>1</v>
      </c>
      <c r="BL222" s="3">
        <v>1</v>
      </c>
      <c r="BX222" s="3">
        <v>1</v>
      </c>
      <c r="CB222" s="3">
        <v>1</v>
      </c>
      <c r="CC222" s="3">
        <v>1</v>
      </c>
      <c r="DL222" s="3">
        <v>1</v>
      </c>
      <c r="DO222" s="3">
        <v>1</v>
      </c>
      <c r="EI222" s="3">
        <v>1</v>
      </c>
      <c r="FA222" s="3">
        <v>1</v>
      </c>
      <c r="FR222" s="3">
        <v>1</v>
      </c>
      <c r="FY222" s="3">
        <v>1</v>
      </c>
    </row>
    <row r="223" spans="1:188" ht="13" x14ac:dyDescent="0.15">
      <c r="A223" s="13">
        <v>43573</v>
      </c>
      <c r="B223" s="3" t="s">
        <v>201</v>
      </c>
      <c r="C223" s="3">
        <v>21.25544</v>
      </c>
      <c r="D223" s="3">
        <v>-157.810303</v>
      </c>
      <c r="E223" s="3" t="s">
        <v>477</v>
      </c>
      <c r="F223" s="14">
        <v>0.375</v>
      </c>
      <c r="G223" s="14">
        <v>0.43055555555555558</v>
      </c>
      <c r="H223" s="3">
        <v>5</v>
      </c>
      <c r="I223" s="3">
        <v>10.5</v>
      </c>
      <c r="J223" s="3" t="s">
        <v>318</v>
      </c>
      <c r="K223" s="3">
        <v>10</v>
      </c>
      <c r="L223" s="3">
        <v>46</v>
      </c>
      <c r="M223" s="3" t="s">
        <v>491</v>
      </c>
      <c r="Q223" s="3">
        <v>1</v>
      </c>
      <c r="AI223" s="3"/>
      <c r="AJ223" s="3"/>
      <c r="AK223" s="3"/>
      <c r="AL223" s="3">
        <v>1</v>
      </c>
      <c r="AS223" s="3">
        <v>1</v>
      </c>
      <c r="BL223" s="3">
        <v>1</v>
      </c>
      <c r="BT223" s="3">
        <v>1</v>
      </c>
      <c r="BU223" s="3">
        <v>1</v>
      </c>
      <c r="BV223" s="3">
        <v>1</v>
      </c>
      <c r="DA223" s="3"/>
      <c r="DB223" s="3">
        <v>1</v>
      </c>
      <c r="DE223" s="3"/>
      <c r="DF223" s="3">
        <v>1</v>
      </c>
      <c r="DI223" s="3">
        <v>1</v>
      </c>
      <c r="DJ223" s="3"/>
      <c r="DK223" s="3">
        <v>1</v>
      </c>
      <c r="DL223" s="3">
        <v>1</v>
      </c>
      <c r="DQ223" s="3"/>
      <c r="DR223" s="3">
        <v>1</v>
      </c>
      <c r="DT223" s="3"/>
      <c r="DU223" s="3">
        <v>1</v>
      </c>
      <c r="EB223" s="3">
        <v>1</v>
      </c>
      <c r="ED223" s="3"/>
      <c r="EE223" s="3"/>
      <c r="EF223" s="3"/>
      <c r="EG223" s="3"/>
      <c r="EH223" s="3"/>
      <c r="EI223" s="3">
        <v>1</v>
      </c>
      <c r="EX223" s="3"/>
      <c r="EY223" s="3">
        <v>1</v>
      </c>
      <c r="EZ223" s="3">
        <v>1</v>
      </c>
      <c r="FA223" s="3">
        <v>1</v>
      </c>
      <c r="FH223" s="3">
        <v>1</v>
      </c>
      <c r="FP223" s="3">
        <v>1</v>
      </c>
      <c r="FQ223" s="3">
        <v>1</v>
      </c>
      <c r="FR223" s="3">
        <v>1</v>
      </c>
      <c r="FU223" s="3"/>
      <c r="FV223" s="3">
        <v>1</v>
      </c>
    </row>
    <row r="224" spans="1:188" ht="15" customHeight="1" x14ac:dyDescent="0.15">
      <c r="A224" s="13">
        <v>43573</v>
      </c>
      <c r="B224" s="3" t="s">
        <v>492</v>
      </c>
      <c r="C224" s="3">
        <v>21.452874999999999</v>
      </c>
      <c r="D224" s="3">
        <v>-158.19996599999999</v>
      </c>
      <c r="E224" s="3" t="s">
        <v>493</v>
      </c>
      <c r="F224" s="14">
        <v>0.35416666666666669</v>
      </c>
      <c r="G224" s="14">
        <v>0.39930555555555558</v>
      </c>
      <c r="H224" s="3">
        <v>6</v>
      </c>
      <c r="I224" s="3">
        <v>11</v>
      </c>
      <c r="J224" s="3" t="s">
        <v>318</v>
      </c>
      <c r="K224" s="3">
        <v>5</v>
      </c>
      <c r="L224" s="3">
        <v>30</v>
      </c>
      <c r="Q224" s="3">
        <v>1</v>
      </c>
      <c r="BL224" s="3">
        <v>1</v>
      </c>
      <c r="BU224" s="3">
        <v>1</v>
      </c>
      <c r="BY224" s="3">
        <v>1</v>
      </c>
      <c r="CD224" s="3">
        <v>1</v>
      </c>
      <c r="CE224" s="3">
        <v>1</v>
      </c>
      <c r="DL224" s="3">
        <v>1</v>
      </c>
      <c r="ED224" s="3"/>
      <c r="EE224" s="3"/>
      <c r="EF224" s="3"/>
      <c r="EG224" s="3"/>
      <c r="EH224" s="3"/>
      <c r="EI224" s="3">
        <v>1</v>
      </c>
      <c r="EX224" s="3"/>
      <c r="EY224" s="3">
        <v>1</v>
      </c>
      <c r="FA224" s="3">
        <v>1</v>
      </c>
      <c r="FH224" s="3">
        <v>1</v>
      </c>
      <c r="FQ224" s="3">
        <v>1</v>
      </c>
      <c r="FR224" s="3">
        <v>1</v>
      </c>
    </row>
    <row r="225" spans="1:188" ht="13" x14ac:dyDescent="0.15">
      <c r="A225" s="19">
        <v>43573</v>
      </c>
      <c r="B225" s="20" t="s">
        <v>246</v>
      </c>
      <c r="C225" s="20"/>
      <c r="D225" s="20"/>
      <c r="E225" s="20"/>
      <c r="F225" s="21"/>
      <c r="G225" s="21"/>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c r="DU225" s="20"/>
      <c r="DV225" s="20"/>
      <c r="DW225" s="20"/>
      <c r="DX225" s="20"/>
      <c r="DY225" s="20"/>
      <c r="DZ225" s="20"/>
      <c r="EA225" s="20"/>
      <c r="EB225" s="20"/>
      <c r="EC225" s="20"/>
      <c r="ED225" s="20"/>
      <c r="EE225" s="20"/>
      <c r="EF225" s="20"/>
      <c r="EG225" s="20"/>
      <c r="EH225" s="20"/>
      <c r="EI225" s="20"/>
      <c r="EJ225" s="20"/>
      <c r="EK225" s="20"/>
      <c r="EL225" s="20"/>
      <c r="EM225" s="20"/>
      <c r="EN225" s="20"/>
      <c r="EO225" s="20"/>
      <c r="EP225" s="20"/>
      <c r="EQ225" s="20"/>
      <c r="ER225" s="20"/>
      <c r="ES225" s="20"/>
      <c r="ET225" s="20"/>
      <c r="EU225" s="20"/>
      <c r="EV225" s="20"/>
      <c r="EW225" s="20"/>
      <c r="EX225" s="20"/>
      <c r="EY225" s="20"/>
      <c r="EZ225" s="20"/>
      <c r="FA225" s="20"/>
      <c r="FB225" s="20"/>
      <c r="FC225" s="20"/>
      <c r="FD225" s="20"/>
      <c r="FE225" s="20"/>
      <c r="FF225" s="20"/>
      <c r="FG225" s="20"/>
      <c r="FH225" s="20"/>
      <c r="FI225" s="20"/>
      <c r="FJ225" s="20"/>
      <c r="FK225" s="20"/>
      <c r="FL225" s="20"/>
      <c r="FM225" s="20"/>
      <c r="FN225" s="20"/>
      <c r="FO225" s="20"/>
      <c r="FP225" s="20"/>
      <c r="FQ225" s="20"/>
      <c r="FR225" s="20"/>
      <c r="FS225" s="20"/>
      <c r="FT225" s="20"/>
      <c r="FU225" s="20"/>
      <c r="FV225" s="20"/>
      <c r="FW225" s="20"/>
      <c r="FX225" s="20"/>
      <c r="FY225" s="20"/>
      <c r="FZ225" s="20"/>
      <c r="GA225" s="20"/>
      <c r="GB225" s="20"/>
      <c r="GC225" s="20"/>
      <c r="GD225" s="20"/>
      <c r="GE225" s="20"/>
      <c r="GF225" s="20"/>
    </row>
    <row r="226" spans="1:188" ht="13" x14ac:dyDescent="0.15">
      <c r="A226" s="13">
        <v>43577</v>
      </c>
      <c r="B226" s="3" t="s">
        <v>301</v>
      </c>
      <c r="C226" s="3">
        <v>22.065598999999999</v>
      </c>
      <c r="D226" s="3">
        <v>-159.31770299999999</v>
      </c>
      <c r="E226" s="3" t="s">
        <v>347</v>
      </c>
      <c r="F226" s="14">
        <v>0.45833333333333331</v>
      </c>
      <c r="G226" s="14">
        <v>0.5</v>
      </c>
      <c r="H226" s="3">
        <v>5</v>
      </c>
      <c r="I226" s="3">
        <v>7</v>
      </c>
      <c r="J226" s="3" t="s">
        <v>198</v>
      </c>
      <c r="K226" s="3">
        <v>8</v>
      </c>
      <c r="L226" s="3">
        <v>40</v>
      </c>
      <c r="AB226" s="3"/>
      <c r="AC226" s="3">
        <v>1</v>
      </c>
      <c r="BL226" s="3">
        <v>1</v>
      </c>
      <c r="BM226" s="3">
        <v>1</v>
      </c>
      <c r="BU226" s="3">
        <v>1</v>
      </c>
      <c r="BV226" s="3">
        <v>1</v>
      </c>
      <c r="BW226" s="3">
        <v>1</v>
      </c>
      <c r="BY226" s="3">
        <v>1</v>
      </c>
      <c r="CC226" s="3">
        <v>1</v>
      </c>
      <c r="DJ226" s="3"/>
      <c r="DK226" s="3">
        <v>1</v>
      </c>
      <c r="DL226" s="3">
        <v>1</v>
      </c>
      <c r="DQ226" s="3"/>
      <c r="DR226" s="3">
        <v>1</v>
      </c>
      <c r="EA226" s="3">
        <v>1</v>
      </c>
      <c r="ED226" s="3"/>
      <c r="EE226" s="3"/>
      <c r="EF226" s="3"/>
      <c r="EG226" s="3"/>
      <c r="EH226" s="3"/>
      <c r="EI226" s="3">
        <v>1</v>
      </c>
      <c r="FA226" s="3">
        <v>1</v>
      </c>
      <c r="FQ226" s="3">
        <v>1</v>
      </c>
      <c r="FR226" s="3">
        <v>1</v>
      </c>
      <c r="GF226" s="3">
        <v>1</v>
      </c>
    </row>
    <row r="227" spans="1:188" ht="13" x14ac:dyDescent="0.15">
      <c r="A227" s="24">
        <v>43577</v>
      </c>
      <c r="B227" s="25" t="s">
        <v>266</v>
      </c>
      <c r="C227" s="25">
        <v>22.060683999999998</v>
      </c>
      <c r="D227" s="25">
        <v>-159.318512</v>
      </c>
      <c r="E227" s="25" t="s">
        <v>418</v>
      </c>
      <c r="F227" s="26">
        <v>0.46180555555555558</v>
      </c>
      <c r="G227" s="26">
        <v>0.5</v>
      </c>
      <c r="H227" s="25">
        <v>5</v>
      </c>
      <c r="I227" s="25">
        <v>15</v>
      </c>
      <c r="J227" s="25" t="s">
        <v>198</v>
      </c>
      <c r="K227" s="25">
        <v>9</v>
      </c>
      <c r="L227" s="25">
        <v>40</v>
      </c>
      <c r="M227" s="25" t="s">
        <v>494</v>
      </c>
      <c r="N227" s="25"/>
      <c r="O227" s="25"/>
      <c r="P227" s="25"/>
      <c r="Q227" s="25"/>
      <c r="R227" s="25">
        <v>1</v>
      </c>
      <c r="S227" s="25"/>
      <c r="T227" s="25"/>
      <c r="U227" s="25"/>
      <c r="V227" s="25"/>
      <c r="W227" s="25"/>
      <c r="X227" s="25"/>
      <c r="Y227" s="25"/>
      <c r="Z227" s="25"/>
      <c r="AA227" s="25"/>
      <c r="AB227" s="25"/>
      <c r="AC227" s="25">
        <v>1</v>
      </c>
      <c r="AD227" s="25"/>
      <c r="AE227" s="25"/>
      <c r="AF227" s="25"/>
      <c r="AG227" s="25"/>
      <c r="AH227" s="25">
        <v>1</v>
      </c>
      <c r="AI227" s="25"/>
      <c r="AJ227" s="25"/>
      <c r="AK227" s="25"/>
      <c r="AL227" s="25"/>
      <c r="AM227" s="25"/>
      <c r="AN227" s="25"/>
      <c r="AO227" s="25"/>
      <c r="AP227" s="25"/>
      <c r="AQ227" s="25"/>
      <c r="AR227" s="25"/>
      <c r="AS227" s="25"/>
      <c r="AT227" s="25"/>
      <c r="AU227" s="25">
        <v>1</v>
      </c>
      <c r="AV227" s="25"/>
      <c r="AW227" s="25"/>
      <c r="AX227" s="25"/>
      <c r="AY227" s="25"/>
      <c r="AZ227" s="25"/>
      <c r="BA227" s="25">
        <v>1</v>
      </c>
      <c r="BB227" s="25"/>
      <c r="BC227" s="25"/>
      <c r="BD227" s="25"/>
      <c r="BE227" s="25"/>
      <c r="BF227" s="25"/>
      <c r="BG227" s="25"/>
      <c r="BH227" s="25"/>
      <c r="BI227" s="25"/>
      <c r="BJ227" s="25"/>
      <c r="BK227" s="25">
        <v>1</v>
      </c>
      <c r="BL227" s="25">
        <v>1</v>
      </c>
      <c r="BM227" s="25">
        <v>1</v>
      </c>
      <c r="BN227" s="25"/>
      <c r="BO227" s="25"/>
      <c r="BP227" s="25"/>
      <c r="BQ227" s="25"/>
      <c r="BR227" s="25"/>
      <c r="BS227" s="25"/>
      <c r="BT227" s="25">
        <v>1</v>
      </c>
      <c r="BU227" s="25">
        <v>1</v>
      </c>
      <c r="BV227" s="25"/>
      <c r="BW227" s="25"/>
      <c r="BX227" s="25"/>
      <c r="BY227" s="25">
        <v>1</v>
      </c>
      <c r="BZ227" s="25"/>
      <c r="CA227" s="25">
        <v>1</v>
      </c>
      <c r="CB227" s="25"/>
      <c r="CC227" s="25"/>
      <c r="CD227" s="25"/>
      <c r="CE227" s="25"/>
      <c r="CF227" s="25"/>
      <c r="CG227" s="25"/>
      <c r="CH227" s="25"/>
      <c r="CI227" s="25"/>
      <c r="CJ227" s="25"/>
      <c r="CK227" s="25"/>
      <c r="CL227" s="25"/>
      <c r="CM227" s="25"/>
      <c r="CN227" s="25"/>
      <c r="CO227" s="25"/>
      <c r="CP227" s="25"/>
      <c r="CQ227" s="25"/>
      <c r="CR227" s="25">
        <v>1</v>
      </c>
      <c r="CS227" s="25"/>
      <c r="CT227" s="25"/>
      <c r="CU227" s="25">
        <v>1</v>
      </c>
      <c r="CV227" s="25"/>
      <c r="CW227" s="25"/>
      <c r="CX227" s="25"/>
      <c r="CY227" s="25"/>
      <c r="CZ227" s="25"/>
      <c r="DA227" s="25"/>
      <c r="DB227" s="25"/>
      <c r="DC227" s="25"/>
      <c r="DD227" s="25"/>
      <c r="DE227" s="25"/>
      <c r="DF227" s="25">
        <v>1</v>
      </c>
      <c r="DG227" s="25"/>
      <c r="DH227" s="25"/>
      <c r="DI227" s="25"/>
      <c r="DJ227" s="25"/>
      <c r="DK227" s="25"/>
      <c r="DL227" s="25">
        <v>1</v>
      </c>
      <c r="DM227" s="25"/>
      <c r="DN227" s="25"/>
      <c r="DO227" s="25"/>
      <c r="DP227" s="25"/>
      <c r="DQ227" s="25"/>
      <c r="DR227" s="25">
        <v>1</v>
      </c>
      <c r="DS227" s="25"/>
      <c r="DT227" s="25"/>
      <c r="DU227" s="25">
        <v>1</v>
      </c>
      <c r="DV227" s="25"/>
      <c r="DW227" s="25"/>
      <c r="DX227" s="25"/>
      <c r="DY227" s="25"/>
      <c r="DZ227" s="25"/>
      <c r="EA227" s="25"/>
      <c r="EB227" s="25"/>
      <c r="EC227" s="25"/>
      <c r="ED227" s="25"/>
      <c r="EE227" s="25"/>
      <c r="EF227" s="25"/>
      <c r="EG227" s="25"/>
      <c r="EH227" s="25"/>
      <c r="EI227" s="25">
        <v>1</v>
      </c>
      <c r="EJ227" s="25"/>
      <c r="EK227" s="25"/>
      <c r="EL227" s="25"/>
      <c r="EM227" s="25"/>
      <c r="EN227" s="25"/>
      <c r="EO227" s="25"/>
      <c r="EP227" s="25"/>
      <c r="EQ227" s="25"/>
      <c r="ER227" s="25"/>
      <c r="ES227" s="25"/>
      <c r="ET227" s="25"/>
      <c r="EU227" s="25"/>
      <c r="EV227" s="25"/>
      <c r="EW227" s="25"/>
      <c r="EX227" s="25"/>
      <c r="EY227" s="25"/>
      <c r="EZ227" s="25"/>
      <c r="FA227" s="25">
        <v>1</v>
      </c>
      <c r="FB227" s="25"/>
      <c r="FC227" s="25"/>
      <c r="FD227" s="25"/>
      <c r="FE227" s="25"/>
      <c r="FF227" s="25"/>
      <c r="FG227" s="25"/>
      <c r="FH227" s="25"/>
      <c r="FI227" s="25"/>
      <c r="FJ227" s="25"/>
      <c r="FK227" s="25"/>
      <c r="FL227" s="25"/>
      <c r="FM227" s="25"/>
      <c r="FN227" s="25"/>
      <c r="FO227" s="25"/>
      <c r="FP227" s="25">
        <v>1</v>
      </c>
      <c r="FQ227" s="25">
        <v>1</v>
      </c>
      <c r="FR227" s="25">
        <v>1</v>
      </c>
      <c r="FS227" s="25"/>
      <c r="FT227" s="25"/>
      <c r="FU227" s="25"/>
      <c r="FV227" s="25">
        <v>1</v>
      </c>
      <c r="FW227" s="25"/>
      <c r="FX227" s="25"/>
      <c r="FY227" s="25"/>
      <c r="FZ227" s="25"/>
      <c r="GA227" s="25"/>
      <c r="GB227" s="25"/>
      <c r="GC227" s="25"/>
      <c r="GD227" s="25"/>
      <c r="GE227" s="25"/>
      <c r="GF227" s="25"/>
    </row>
    <row r="228" spans="1:188" ht="13" x14ac:dyDescent="0.15">
      <c r="A228" s="13">
        <v>43577</v>
      </c>
      <c r="B228" s="3" t="s">
        <v>293</v>
      </c>
      <c r="C228" s="3">
        <v>19.738602</v>
      </c>
      <c r="D228" s="3">
        <v>-155.03887900000001</v>
      </c>
      <c r="E228" s="3" t="s">
        <v>496</v>
      </c>
      <c r="F228" s="14">
        <v>0.41736111111111113</v>
      </c>
      <c r="G228" s="14">
        <v>0.45694444444444443</v>
      </c>
      <c r="H228" s="3">
        <v>6</v>
      </c>
      <c r="I228" s="3">
        <v>11</v>
      </c>
      <c r="J228" s="3" t="s">
        <v>318</v>
      </c>
      <c r="K228" s="3">
        <v>5</v>
      </c>
      <c r="L228" s="3">
        <v>27</v>
      </c>
      <c r="M228" s="3" t="s">
        <v>497</v>
      </c>
      <c r="AB228" s="3"/>
      <c r="AC228" s="3">
        <v>1</v>
      </c>
      <c r="BH228" s="3"/>
      <c r="BI228" s="3"/>
      <c r="BJ228" s="3">
        <v>1</v>
      </c>
      <c r="BL228" s="3">
        <v>1</v>
      </c>
      <c r="CD228" s="3">
        <v>1</v>
      </c>
      <c r="DX228" s="3">
        <v>1</v>
      </c>
      <c r="ED228" s="3"/>
      <c r="EE228" s="3"/>
      <c r="EF228" s="3"/>
      <c r="EG228" s="3"/>
      <c r="EH228" s="3"/>
      <c r="EI228" s="3">
        <v>1</v>
      </c>
      <c r="EJ228" s="3">
        <v>1</v>
      </c>
      <c r="EO228" s="3">
        <v>1</v>
      </c>
      <c r="EP228" s="3">
        <v>1</v>
      </c>
      <c r="EQ228" s="3">
        <v>1</v>
      </c>
      <c r="FD228" s="3">
        <v>1</v>
      </c>
      <c r="FL228" s="3">
        <v>1</v>
      </c>
      <c r="FM228" s="3"/>
      <c r="FN228" s="3"/>
      <c r="FO228" s="3">
        <v>1</v>
      </c>
      <c r="FR228" s="3">
        <v>1</v>
      </c>
    </row>
    <row r="229" spans="1:188" ht="13" x14ac:dyDescent="0.15">
      <c r="A229" s="13">
        <v>43578</v>
      </c>
      <c r="B229" s="3" t="s">
        <v>201</v>
      </c>
      <c r="C229" s="23">
        <v>21.25544</v>
      </c>
      <c r="D229" s="23">
        <v>-157.810303</v>
      </c>
      <c r="E229" s="3" t="s">
        <v>418</v>
      </c>
      <c r="F229" s="14">
        <v>0.47916666666666669</v>
      </c>
      <c r="G229" s="14">
        <v>0.51041666666666663</v>
      </c>
      <c r="H229" s="3">
        <v>6</v>
      </c>
      <c r="I229" s="3">
        <v>14</v>
      </c>
      <c r="J229" s="3" t="s">
        <v>198</v>
      </c>
      <c r="K229" s="3">
        <v>5</v>
      </c>
      <c r="L229" s="3">
        <v>18</v>
      </c>
      <c r="M229" s="3" t="s">
        <v>498</v>
      </c>
      <c r="N229" s="3"/>
      <c r="Q229" s="3">
        <v>1</v>
      </c>
      <c r="AC229" s="3">
        <v>1</v>
      </c>
      <c r="AM229" s="3"/>
      <c r="AR229" s="3">
        <v>1</v>
      </c>
      <c r="AT229" s="3"/>
      <c r="BE229" s="3"/>
      <c r="BL229" s="3"/>
      <c r="BV229" s="3"/>
      <c r="BY229" s="3">
        <v>1</v>
      </c>
      <c r="CB229" s="3"/>
      <c r="CC229" s="3"/>
      <c r="CD229" s="3"/>
      <c r="DL229" s="3">
        <v>1</v>
      </c>
      <c r="DN229" s="3">
        <v>1</v>
      </c>
      <c r="DQ229" s="3"/>
      <c r="DR229" s="3">
        <v>1</v>
      </c>
      <c r="EB229" s="3"/>
      <c r="EC229" s="3"/>
      <c r="ED229" s="3"/>
      <c r="EE229" s="3"/>
      <c r="EF229" s="3"/>
      <c r="EG229" s="3"/>
      <c r="EH229" s="3"/>
      <c r="EI229" s="3">
        <v>1</v>
      </c>
      <c r="ER229" s="3"/>
      <c r="ES229" s="3"/>
      <c r="ET229" s="3"/>
      <c r="EU229" s="3"/>
      <c r="EX229" s="3"/>
      <c r="EY229" s="3">
        <v>1</v>
      </c>
      <c r="EZ229" s="3"/>
      <c r="FA229" s="3">
        <v>1</v>
      </c>
      <c r="FC229" s="3"/>
      <c r="FE229" s="3"/>
      <c r="FQ229" s="3">
        <v>1</v>
      </c>
      <c r="FR229" s="3">
        <v>1</v>
      </c>
      <c r="FT229" s="3">
        <v>1</v>
      </c>
      <c r="FZ229" s="3"/>
    </row>
    <row r="230" spans="1:188" ht="13" x14ac:dyDescent="0.15">
      <c r="A230" s="24">
        <v>43587</v>
      </c>
      <c r="B230" s="25" t="s">
        <v>499</v>
      </c>
      <c r="C230" s="25">
        <v>20.714272999999999</v>
      </c>
      <c r="D230" s="25">
        <v>-156.44712799999999</v>
      </c>
      <c r="E230" s="25" t="s">
        <v>418</v>
      </c>
      <c r="F230" s="26">
        <v>0.39444444444444443</v>
      </c>
      <c r="G230" s="26">
        <v>0.42708333333333331</v>
      </c>
      <c r="H230" s="25">
        <v>10</v>
      </c>
      <c r="I230" s="25">
        <v>10</v>
      </c>
      <c r="J230" s="25" t="s">
        <v>198</v>
      </c>
      <c r="K230" s="25">
        <v>5</v>
      </c>
      <c r="L230" s="25">
        <v>25</v>
      </c>
      <c r="M230" s="25" t="s">
        <v>500</v>
      </c>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v>1</v>
      </c>
      <c r="AN230" s="25"/>
      <c r="AO230" s="25"/>
      <c r="AP230" s="25"/>
      <c r="AQ230" s="25"/>
      <c r="AR230" s="25"/>
      <c r="AS230" s="25"/>
      <c r="AT230" s="25">
        <v>1</v>
      </c>
      <c r="AU230" s="25"/>
      <c r="AV230" s="25"/>
      <c r="AW230" s="25"/>
      <c r="AX230" s="25"/>
      <c r="AY230" s="25"/>
      <c r="AZ230" s="25"/>
      <c r="BA230" s="25"/>
      <c r="BB230" s="25"/>
      <c r="BC230" s="25"/>
      <c r="BD230" s="25"/>
      <c r="BE230" s="25">
        <v>1</v>
      </c>
      <c r="BF230" s="25"/>
      <c r="BG230" s="25"/>
      <c r="BH230" s="25"/>
      <c r="BI230" s="25"/>
      <c r="BJ230" s="25"/>
      <c r="BK230" s="25"/>
      <c r="BL230" s="25">
        <v>1</v>
      </c>
      <c r="BM230" s="25"/>
      <c r="BN230" s="25"/>
      <c r="BO230" s="25"/>
      <c r="BP230" s="25"/>
      <c r="BQ230" s="25"/>
      <c r="BR230" s="25"/>
      <c r="BS230" s="25"/>
      <c r="BT230" s="25"/>
      <c r="BU230" s="25"/>
      <c r="BV230" s="25">
        <v>1</v>
      </c>
      <c r="BW230" s="25"/>
      <c r="BX230" s="25"/>
      <c r="BY230" s="25"/>
      <c r="BZ230" s="25"/>
      <c r="CA230" s="25"/>
      <c r="CB230" s="25">
        <v>1</v>
      </c>
      <c r="CC230" s="25">
        <v>1</v>
      </c>
      <c r="CD230" s="25">
        <v>1</v>
      </c>
      <c r="CE230" s="25"/>
      <c r="CF230" s="25"/>
      <c r="CG230" s="25"/>
      <c r="CH230" s="25"/>
      <c r="CI230" s="25"/>
      <c r="CJ230" s="25"/>
      <c r="CK230" s="25"/>
      <c r="CL230" s="25"/>
      <c r="CM230" s="25"/>
      <c r="CN230" s="25"/>
      <c r="CO230" s="25"/>
      <c r="CP230" s="25"/>
      <c r="CQ230" s="25"/>
      <c r="CR230" s="25"/>
      <c r="CS230" s="25"/>
      <c r="CT230" s="25"/>
      <c r="CU230" s="25"/>
      <c r="CV230" s="25"/>
      <c r="CW230" s="25"/>
      <c r="CX230" s="25"/>
      <c r="CY230" s="25"/>
      <c r="CZ230" s="25"/>
      <c r="DA230" s="25"/>
      <c r="DB230" s="25"/>
      <c r="DC230" s="25"/>
      <c r="DD230" s="25"/>
      <c r="DE230" s="25"/>
      <c r="DF230" s="25"/>
      <c r="DG230" s="25"/>
      <c r="DH230" s="25"/>
      <c r="DI230" s="25"/>
      <c r="DJ230" s="25"/>
      <c r="DK230" s="25"/>
      <c r="DL230" s="25"/>
      <c r="DM230" s="25"/>
      <c r="DN230" s="25"/>
      <c r="DO230" s="25"/>
      <c r="DP230" s="25"/>
      <c r="DQ230" s="25"/>
      <c r="DR230" s="25"/>
      <c r="DS230" s="25"/>
      <c r="DT230" s="25"/>
      <c r="DU230" s="25"/>
      <c r="DV230" s="25"/>
      <c r="DW230" s="25"/>
      <c r="DX230" s="25"/>
      <c r="DY230" s="25"/>
      <c r="DZ230" s="25"/>
      <c r="EA230" s="25"/>
      <c r="EB230" s="25">
        <v>1</v>
      </c>
      <c r="EC230" s="25">
        <v>1</v>
      </c>
      <c r="ED230" s="25"/>
      <c r="EE230" s="25"/>
      <c r="EF230" s="25"/>
      <c r="EG230" s="25"/>
      <c r="EH230" s="25"/>
      <c r="EI230" s="25">
        <v>1</v>
      </c>
      <c r="EJ230" s="25"/>
      <c r="EK230" s="25"/>
      <c r="EL230" s="25"/>
      <c r="EM230" s="25"/>
      <c r="EN230" s="25"/>
      <c r="EO230" s="25"/>
      <c r="EP230" s="25"/>
      <c r="EQ230" s="25"/>
      <c r="ER230" s="25"/>
      <c r="ES230" s="25"/>
      <c r="ET230" s="25"/>
      <c r="EU230" s="25">
        <v>1</v>
      </c>
      <c r="EV230" s="25"/>
      <c r="EW230" s="25"/>
      <c r="EX230" s="25"/>
      <c r="EY230" s="25"/>
      <c r="EZ230" s="25">
        <v>1</v>
      </c>
      <c r="FA230" s="25"/>
      <c r="FB230" s="25"/>
      <c r="FC230" s="25"/>
      <c r="FD230" s="25"/>
      <c r="FE230" s="25">
        <v>1</v>
      </c>
      <c r="FF230" s="25"/>
      <c r="FG230" s="25"/>
      <c r="FH230" s="25"/>
      <c r="FI230" s="25"/>
      <c r="FJ230" s="25"/>
      <c r="FK230" s="25"/>
      <c r="FL230" s="25"/>
      <c r="FM230" s="25"/>
      <c r="FN230" s="25"/>
      <c r="FO230" s="25"/>
      <c r="FP230" s="25"/>
      <c r="FQ230" s="25">
        <v>1</v>
      </c>
      <c r="FR230" s="25">
        <v>1</v>
      </c>
      <c r="FS230" s="25"/>
      <c r="FT230" s="25"/>
      <c r="FU230" s="25"/>
      <c r="FV230" s="25"/>
      <c r="FW230" s="25"/>
      <c r="FX230" s="25"/>
      <c r="FY230" s="25"/>
      <c r="FZ230" s="25">
        <v>1</v>
      </c>
      <c r="GA230" s="25"/>
      <c r="GB230" s="25"/>
      <c r="GC230" s="25"/>
      <c r="GD230" s="25"/>
      <c r="GE230" s="25"/>
      <c r="GF230" s="25"/>
    </row>
    <row r="231" spans="1:188" ht="13" x14ac:dyDescent="0.15">
      <c r="A231" s="27">
        <v>43588</v>
      </c>
      <c r="B231" s="28" t="s">
        <v>250</v>
      </c>
      <c r="C231" s="28">
        <v>21.410399999999999</v>
      </c>
      <c r="D231" s="28">
        <v>-158.17770400000001</v>
      </c>
      <c r="E231" s="28" t="s">
        <v>418</v>
      </c>
      <c r="F231" s="29">
        <v>0.375</v>
      </c>
      <c r="G231" s="29">
        <v>0.5</v>
      </c>
      <c r="H231" s="28">
        <v>6</v>
      </c>
      <c r="I231" s="28">
        <v>10</v>
      </c>
      <c r="J231" s="28" t="s">
        <v>217</v>
      </c>
      <c r="K231" s="28">
        <v>5</v>
      </c>
      <c r="L231" s="28">
        <v>1</v>
      </c>
      <c r="M231" s="28" t="s">
        <v>552</v>
      </c>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v>1</v>
      </c>
      <c r="BQ231" s="28">
        <v>1</v>
      </c>
      <c r="BR231" s="28"/>
      <c r="BS231" s="28"/>
      <c r="BT231" s="28"/>
      <c r="BU231" s="28"/>
      <c r="BV231" s="28"/>
      <c r="BW231" s="28"/>
      <c r="BX231" s="28"/>
      <c r="BY231" s="28"/>
      <c r="BZ231" s="28"/>
      <c r="CA231" s="28"/>
      <c r="CB231" s="28"/>
      <c r="CC231" s="28"/>
      <c r="CD231" s="28"/>
      <c r="CE231" s="28"/>
      <c r="CF231" s="28"/>
      <c r="CG231" s="28"/>
      <c r="CH231" s="28"/>
      <c r="CI231" s="28"/>
      <c r="CJ231" s="28"/>
      <c r="CK231" s="28"/>
      <c r="CL231" s="28"/>
      <c r="CM231" s="28"/>
      <c r="CN231" s="28"/>
      <c r="CO231" s="28"/>
      <c r="CP231" s="28"/>
      <c r="CQ231" s="28"/>
      <c r="CR231" s="28"/>
      <c r="CS231" s="28"/>
      <c r="CT231" s="28"/>
      <c r="CU231" s="28"/>
      <c r="CV231" s="28"/>
      <c r="CW231" s="28"/>
      <c r="CX231" s="28"/>
      <c r="CY231" s="28"/>
      <c r="CZ231" s="28"/>
      <c r="DA231" s="28"/>
      <c r="DB231" s="28"/>
      <c r="DC231" s="28"/>
      <c r="DD231" s="28"/>
      <c r="DE231" s="28"/>
      <c r="DF231" s="28"/>
      <c r="DG231" s="28"/>
      <c r="DH231" s="28"/>
      <c r="DI231" s="28"/>
      <c r="DJ231" s="28"/>
      <c r="DK231" s="28"/>
      <c r="DL231" s="28">
        <v>1</v>
      </c>
      <c r="DM231" s="28"/>
      <c r="DN231" s="28"/>
      <c r="DO231" s="28"/>
      <c r="DP231" s="28"/>
      <c r="DQ231" s="28"/>
      <c r="DR231" s="28"/>
      <c r="DS231" s="28"/>
      <c r="DT231" s="28"/>
      <c r="DU231" s="28"/>
      <c r="DV231" s="28"/>
      <c r="DW231" s="28"/>
      <c r="DX231" s="28"/>
      <c r="DY231" s="28"/>
      <c r="DZ231" s="28"/>
      <c r="EA231" s="28"/>
      <c r="EB231" s="28"/>
      <c r="EC231" s="28"/>
      <c r="ED231" s="28"/>
      <c r="EE231" s="28"/>
      <c r="EF231" s="28"/>
      <c r="EG231" s="28"/>
      <c r="EH231" s="28"/>
      <c r="EI231" s="28"/>
      <c r="EJ231" s="28"/>
      <c r="EK231" s="28"/>
      <c r="EL231" s="28"/>
      <c r="EM231" s="28"/>
      <c r="EN231" s="28"/>
      <c r="EO231" s="28"/>
      <c r="EP231" s="28"/>
      <c r="EQ231" s="28"/>
      <c r="ER231" s="28"/>
      <c r="ES231" s="28"/>
      <c r="ET231" s="28"/>
      <c r="EU231" s="28"/>
      <c r="EV231" s="28"/>
      <c r="EW231" s="28"/>
      <c r="EX231" s="28"/>
      <c r="EY231" s="28"/>
      <c r="EZ231" s="28"/>
      <c r="FA231" s="28"/>
      <c r="FB231" s="28"/>
      <c r="FC231" s="28"/>
      <c r="FD231" s="28"/>
      <c r="FE231" s="28"/>
      <c r="FF231" s="28"/>
      <c r="FG231" s="28"/>
      <c r="FH231" s="28"/>
      <c r="FI231" s="28"/>
      <c r="FJ231" s="28"/>
      <c r="FK231" s="28"/>
      <c r="FL231" s="28"/>
      <c r="FM231" s="28"/>
      <c r="FN231" s="28"/>
      <c r="FO231" s="28"/>
      <c r="FP231" s="28"/>
      <c r="FQ231" s="28"/>
      <c r="FR231" s="28">
        <v>1</v>
      </c>
      <c r="FS231" s="28"/>
      <c r="FT231" s="28"/>
      <c r="FU231" s="28"/>
      <c r="FV231" s="28"/>
      <c r="FW231" s="28"/>
      <c r="FX231" s="28"/>
      <c r="FY231" s="28"/>
      <c r="FZ231" s="28"/>
      <c r="GA231" s="28"/>
      <c r="GB231" s="28"/>
      <c r="GC231" s="28"/>
      <c r="GD231" s="28"/>
      <c r="GE231" s="28"/>
      <c r="GF231" s="28">
        <v>1</v>
      </c>
    </row>
    <row r="232" spans="1:188" ht="13" x14ac:dyDescent="0.15">
      <c r="A232" s="19">
        <v>43588</v>
      </c>
      <c r="B232" s="20" t="s">
        <v>233</v>
      </c>
      <c r="C232" s="20"/>
      <c r="D232" s="20"/>
      <c r="E232" s="20"/>
      <c r="F232" s="21"/>
      <c r="G232" s="21"/>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c r="DU232" s="20"/>
      <c r="DV232" s="20"/>
      <c r="DW232" s="20"/>
      <c r="DX232" s="20"/>
      <c r="DY232" s="20"/>
      <c r="DZ232" s="20"/>
      <c r="EA232" s="20"/>
      <c r="EB232" s="20"/>
      <c r="EC232" s="20"/>
      <c r="ED232" s="20"/>
      <c r="EE232" s="20"/>
      <c r="EF232" s="20"/>
      <c r="EG232" s="20"/>
      <c r="EH232" s="20"/>
      <c r="EI232" s="20"/>
      <c r="EJ232" s="20"/>
      <c r="EK232" s="20"/>
      <c r="EL232" s="20"/>
      <c r="EM232" s="20"/>
      <c r="EN232" s="20"/>
      <c r="EO232" s="20"/>
      <c r="EP232" s="20"/>
      <c r="EQ232" s="20"/>
      <c r="ER232" s="20"/>
      <c r="ES232" s="20"/>
      <c r="ET232" s="20"/>
      <c r="EU232" s="20"/>
      <c r="EV232" s="20"/>
      <c r="EW232" s="20"/>
      <c r="EX232" s="20"/>
      <c r="EY232" s="20"/>
      <c r="EZ232" s="20"/>
      <c r="FA232" s="20"/>
      <c r="FB232" s="20"/>
      <c r="FC232" s="20"/>
      <c r="FD232" s="20"/>
      <c r="FE232" s="20"/>
      <c r="FF232" s="20"/>
      <c r="FG232" s="20"/>
      <c r="FH232" s="20"/>
      <c r="FI232" s="20"/>
      <c r="FJ232" s="20"/>
      <c r="FK232" s="20"/>
      <c r="FL232" s="20"/>
      <c r="FM232" s="20"/>
      <c r="FN232" s="20"/>
      <c r="FO232" s="20"/>
      <c r="FP232" s="20"/>
      <c r="FQ232" s="20"/>
      <c r="FR232" s="20"/>
      <c r="FS232" s="20"/>
      <c r="FT232" s="20"/>
      <c r="FU232" s="20"/>
      <c r="FV232" s="20"/>
      <c r="FW232" s="20"/>
      <c r="FX232" s="20"/>
      <c r="FY232" s="20"/>
      <c r="FZ232" s="20"/>
      <c r="GA232" s="20"/>
      <c r="GB232" s="20"/>
      <c r="GC232" s="20"/>
      <c r="GD232" s="20"/>
      <c r="GE232" s="20"/>
      <c r="GF232" s="20"/>
    </row>
    <row r="233" spans="1:188" ht="13" x14ac:dyDescent="0.15">
      <c r="A233" s="27">
        <v>43591</v>
      </c>
      <c r="B233" s="28" t="s">
        <v>250</v>
      </c>
      <c r="C233" s="28">
        <v>21.410399999999999</v>
      </c>
      <c r="D233" s="28">
        <v>-158.17770400000001</v>
      </c>
      <c r="E233" s="28" t="s">
        <v>418</v>
      </c>
      <c r="F233" s="29">
        <v>0.40625</v>
      </c>
      <c r="G233" s="29">
        <v>0.47916666666666669</v>
      </c>
      <c r="H233" s="28">
        <v>5</v>
      </c>
      <c r="I233" s="28">
        <v>20</v>
      </c>
      <c r="J233" s="28" t="s">
        <v>460</v>
      </c>
      <c r="K233" s="28">
        <v>5</v>
      </c>
      <c r="L233" s="28">
        <v>24</v>
      </c>
      <c r="M233" s="28" t="s">
        <v>298</v>
      </c>
      <c r="N233" s="28"/>
      <c r="O233" s="28"/>
      <c r="P233" s="28"/>
      <c r="Q233" s="28">
        <v>1</v>
      </c>
      <c r="R233" s="28">
        <v>1</v>
      </c>
      <c r="S233" s="28"/>
      <c r="T233" s="28"/>
      <c r="U233" s="28"/>
      <c r="V233" s="28"/>
      <c r="W233" s="28"/>
      <c r="X233" s="28"/>
      <c r="Y233" s="28"/>
      <c r="Z233" s="28"/>
      <c r="AA233" s="28"/>
      <c r="AB233" s="28">
        <v>1</v>
      </c>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v>1</v>
      </c>
      <c r="BD233" s="28"/>
      <c r="BE233" s="28"/>
      <c r="BF233" s="28"/>
      <c r="BG233" s="28"/>
      <c r="BH233" s="28"/>
      <c r="BI233" s="28"/>
      <c r="BJ233" s="28"/>
      <c r="BK233" s="28"/>
      <c r="BL233" s="28">
        <v>1</v>
      </c>
      <c r="BM233" s="28"/>
      <c r="BN233" s="28"/>
      <c r="BO233" s="28"/>
      <c r="BP233" s="28">
        <v>1</v>
      </c>
      <c r="BQ233" s="28"/>
      <c r="BR233" s="28"/>
      <c r="BS233" s="28">
        <v>1</v>
      </c>
      <c r="BT233" s="28"/>
      <c r="BU233" s="28">
        <v>1</v>
      </c>
      <c r="BV233" s="28"/>
      <c r="BW233" s="28"/>
      <c r="BX233" s="28"/>
      <c r="BY233" s="28">
        <v>1</v>
      </c>
      <c r="BZ233" s="28"/>
      <c r="CA233" s="28">
        <v>1</v>
      </c>
      <c r="CB233" s="28">
        <v>1</v>
      </c>
      <c r="CC233" s="28">
        <v>1</v>
      </c>
      <c r="CD233" s="28">
        <v>1</v>
      </c>
      <c r="CE233" s="28">
        <v>1</v>
      </c>
      <c r="CF233" s="28"/>
      <c r="CG233" s="28"/>
      <c r="CH233" s="28"/>
      <c r="CI233" s="28"/>
      <c r="CJ233" s="28"/>
      <c r="CK233" s="28"/>
      <c r="CL233" s="28"/>
      <c r="CM233" s="28"/>
      <c r="CN233" s="28">
        <v>1</v>
      </c>
      <c r="CO233" s="28"/>
      <c r="CP233" s="28"/>
      <c r="CQ233" s="28"/>
      <c r="CR233" s="28">
        <v>1</v>
      </c>
      <c r="CS233" s="28"/>
      <c r="CT233" s="28"/>
      <c r="CU233" s="28"/>
      <c r="CV233" s="28"/>
      <c r="CW233" s="28"/>
      <c r="CX233" s="28"/>
      <c r="CY233" s="28"/>
      <c r="CZ233" s="28">
        <v>1</v>
      </c>
      <c r="DA233" s="28"/>
      <c r="DB233" s="28"/>
      <c r="DC233" s="28"/>
      <c r="DD233" s="28"/>
      <c r="DE233" s="28"/>
      <c r="DF233" s="28"/>
      <c r="DG233" s="28"/>
      <c r="DH233" s="28"/>
      <c r="DI233" s="28"/>
      <c r="DJ233" s="28"/>
      <c r="DK233" s="28"/>
      <c r="DL233" s="28">
        <v>1</v>
      </c>
      <c r="DM233" s="28"/>
      <c r="DN233" s="28"/>
      <c r="DO233" s="28">
        <v>1</v>
      </c>
      <c r="DP233" s="28"/>
      <c r="DQ233" s="28"/>
      <c r="DR233" s="28"/>
      <c r="DS233" s="28"/>
      <c r="DT233" s="28"/>
      <c r="DU233" s="28"/>
      <c r="DV233" s="28"/>
      <c r="DW233" s="28"/>
      <c r="DX233" s="28"/>
      <c r="DY233" s="28"/>
      <c r="DZ233" s="28"/>
      <c r="EA233" s="28"/>
      <c r="EB233" s="28">
        <v>1</v>
      </c>
      <c r="EC233" s="28">
        <v>1</v>
      </c>
      <c r="ED233" s="28"/>
      <c r="EE233" s="28"/>
      <c r="EF233" s="28"/>
      <c r="EG233" s="28"/>
      <c r="EH233" s="28"/>
      <c r="EI233" s="28">
        <v>1</v>
      </c>
      <c r="EJ233" s="28"/>
      <c r="EK233" s="28"/>
      <c r="EL233" s="28"/>
      <c r="EM233" s="28"/>
      <c r="EN233" s="28"/>
      <c r="EO233" s="28"/>
      <c r="EP233" s="28"/>
      <c r="EQ233" s="28"/>
      <c r="ER233" s="28"/>
      <c r="ES233" s="28"/>
      <c r="ET233" s="28"/>
      <c r="EU233" s="28"/>
      <c r="EV233" s="28"/>
      <c r="EW233" s="28"/>
      <c r="EX233" s="28"/>
      <c r="EY233" s="28"/>
      <c r="EZ233" s="28"/>
      <c r="FA233" s="28">
        <v>1</v>
      </c>
      <c r="FB233" s="28">
        <v>1</v>
      </c>
      <c r="FC233" s="28"/>
      <c r="FD233" s="28"/>
      <c r="FE233" s="28"/>
      <c r="FF233" s="28"/>
      <c r="FG233" s="28"/>
      <c r="FH233" s="28"/>
      <c r="FI233" s="28"/>
      <c r="FJ233" s="28"/>
      <c r="FK233" s="28"/>
      <c r="FL233" s="28"/>
      <c r="FM233" s="28"/>
      <c r="FN233" s="28"/>
      <c r="FO233" s="28"/>
      <c r="FP233" s="28"/>
      <c r="FQ233" s="28">
        <v>1</v>
      </c>
      <c r="FR233" s="28">
        <v>1</v>
      </c>
      <c r="FS233" s="28"/>
      <c r="FT233" s="28"/>
      <c r="FU233" s="28"/>
      <c r="FV233" s="28"/>
      <c r="FW233" s="28"/>
      <c r="FX233" s="28"/>
      <c r="FY233" s="28"/>
      <c r="FZ233" s="28"/>
      <c r="GA233" s="28"/>
      <c r="GB233" s="28"/>
      <c r="GC233" s="28"/>
      <c r="GD233" s="28"/>
      <c r="GE233" s="28"/>
      <c r="GF233" s="28"/>
    </row>
    <row r="234" spans="1:188" ht="13" x14ac:dyDescent="0.15">
      <c r="A234" s="27">
        <v>43592</v>
      </c>
      <c r="B234" s="28" t="s">
        <v>250</v>
      </c>
      <c r="C234" s="28">
        <v>21.410399999999999</v>
      </c>
      <c r="D234" s="28">
        <v>-158.17770400000001</v>
      </c>
      <c r="E234" s="28" t="s">
        <v>418</v>
      </c>
      <c r="F234" s="29">
        <v>0.4375</v>
      </c>
      <c r="G234" s="29">
        <v>0.47916666666666669</v>
      </c>
      <c r="H234" s="28">
        <v>5</v>
      </c>
      <c r="I234" s="28">
        <v>20</v>
      </c>
      <c r="J234" s="28" t="s">
        <v>198</v>
      </c>
      <c r="K234" s="28">
        <v>5</v>
      </c>
      <c r="L234" s="28">
        <v>19</v>
      </c>
      <c r="M234" s="28" t="s">
        <v>525</v>
      </c>
      <c r="N234" s="28"/>
      <c r="O234" s="28"/>
      <c r="P234" s="28"/>
      <c r="Q234" s="28">
        <v>1</v>
      </c>
      <c r="R234" s="28">
        <v>1</v>
      </c>
      <c r="S234" s="28"/>
      <c r="T234" s="28"/>
      <c r="U234" s="28"/>
      <c r="V234" s="28"/>
      <c r="W234" s="28"/>
      <c r="X234" s="28"/>
      <c r="Y234" s="28"/>
      <c r="Z234" s="28"/>
      <c r="AA234" s="28"/>
      <c r="AB234" s="28">
        <v>1</v>
      </c>
      <c r="AC234" s="28"/>
      <c r="AD234" s="28"/>
      <c r="AE234" s="28"/>
      <c r="AF234" s="28"/>
      <c r="AG234" s="28"/>
      <c r="AH234" s="28">
        <v>1</v>
      </c>
      <c r="AI234" s="28"/>
      <c r="AJ234" s="28"/>
      <c r="AK234" s="28"/>
      <c r="AL234" s="28">
        <v>1</v>
      </c>
      <c r="AM234" s="28"/>
      <c r="AN234" s="28"/>
      <c r="AO234" s="28"/>
      <c r="AP234" s="28"/>
      <c r="AQ234" s="28"/>
      <c r="AR234" s="28"/>
      <c r="AS234" s="28"/>
      <c r="AT234" s="28"/>
      <c r="AU234" s="28"/>
      <c r="AV234" s="28"/>
      <c r="AW234" s="28"/>
      <c r="AX234" s="28"/>
      <c r="AY234" s="28"/>
      <c r="AZ234" s="28"/>
      <c r="BA234" s="28"/>
      <c r="BB234" s="28"/>
      <c r="BC234" s="28"/>
      <c r="BD234" s="28">
        <v>1</v>
      </c>
      <c r="BE234" s="28"/>
      <c r="BF234" s="28"/>
      <c r="BG234" s="28"/>
      <c r="BH234" s="28"/>
      <c r="BI234" s="28"/>
      <c r="BJ234" s="28"/>
      <c r="BK234" s="28">
        <v>1</v>
      </c>
      <c r="BL234" s="28"/>
      <c r="BM234" s="28">
        <v>1</v>
      </c>
      <c r="BN234" s="28"/>
      <c r="BO234" s="28"/>
      <c r="BP234" s="28"/>
      <c r="BQ234" s="28"/>
      <c r="BR234" s="28"/>
      <c r="BS234" s="28"/>
      <c r="BT234" s="28"/>
      <c r="BU234" s="28">
        <v>1</v>
      </c>
      <c r="BV234" s="28"/>
      <c r="BW234" s="28"/>
      <c r="BX234" s="28"/>
      <c r="BY234" s="28">
        <v>1</v>
      </c>
      <c r="BZ234" s="28"/>
      <c r="CA234" s="28"/>
      <c r="CB234" s="28"/>
      <c r="CC234" s="28"/>
      <c r="CD234" s="28"/>
      <c r="CE234" s="28"/>
      <c r="CF234" s="28"/>
      <c r="CG234" s="28"/>
      <c r="CH234" s="28"/>
      <c r="CI234" s="28">
        <v>1</v>
      </c>
      <c r="CJ234" s="28"/>
      <c r="CK234" s="28"/>
      <c r="CL234" s="28"/>
      <c r="CM234" s="28"/>
      <c r="CN234" s="28">
        <v>1</v>
      </c>
      <c r="CO234" s="28"/>
      <c r="CP234" s="28"/>
      <c r="CQ234" s="28"/>
      <c r="CR234" s="28">
        <v>1</v>
      </c>
      <c r="CS234" s="28"/>
      <c r="CT234" s="28"/>
      <c r="CU234" s="28">
        <v>1</v>
      </c>
      <c r="CV234" s="28"/>
      <c r="CW234" s="28"/>
      <c r="CX234" s="28"/>
      <c r="CY234" s="28"/>
      <c r="CZ234" s="28"/>
      <c r="DA234" s="28"/>
      <c r="DB234" s="28"/>
      <c r="DC234" s="28"/>
      <c r="DD234" s="28"/>
      <c r="DE234" s="28"/>
      <c r="DF234" s="28">
        <v>1</v>
      </c>
      <c r="DG234" s="28"/>
      <c r="DH234" s="28"/>
      <c r="DI234" s="28"/>
      <c r="DJ234" s="28"/>
      <c r="DK234" s="28"/>
      <c r="DL234" s="28">
        <v>1</v>
      </c>
      <c r="DM234" s="28"/>
      <c r="DN234" s="28"/>
      <c r="DO234" s="28"/>
      <c r="DP234" s="28"/>
      <c r="DQ234" s="28"/>
      <c r="DR234" s="28"/>
      <c r="DS234" s="28"/>
      <c r="DT234" s="28"/>
      <c r="DU234" s="28"/>
      <c r="DV234" s="28"/>
      <c r="DW234" s="28"/>
      <c r="DX234" s="28"/>
      <c r="DY234" s="28"/>
      <c r="DZ234" s="28"/>
      <c r="EA234" s="28"/>
      <c r="EB234" s="28">
        <v>1</v>
      </c>
      <c r="EC234" s="28"/>
      <c r="ED234" s="28"/>
      <c r="EE234" s="28"/>
      <c r="EF234" s="28"/>
      <c r="EG234" s="28"/>
      <c r="EH234" s="28"/>
      <c r="EI234" s="28">
        <v>1</v>
      </c>
      <c r="EJ234" s="28"/>
      <c r="EK234" s="28"/>
      <c r="EL234" s="28"/>
      <c r="EM234" s="28"/>
      <c r="EN234" s="28"/>
      <c r="EO234" s="28"/>
      <c r="EP234" s="28"/>
      <c r="EQ234" s="28"/>
      <c r="ER234" s="28"/>
      <c r="ES234" s="28"/>
      <c r="ET234" s="28"/>
      <c r="EU234" s="28">
        <v>1</v>
      </c>
      <c r="EV234" s="28"/>
      <c r="EW234" s="28">
        <v>1</v>
      </c>
      <c r="EX234" s="28"/>
      <c r="EY234" s="28"/>
      <c r="EZ234" s="28"/>
      <c r="FA234" s="28">
        <v>1</v>
      </c>
      <c r="FB234" s="28"/>
      <c r="FC234" s="28"/>
      <c r="FD234" s="28"/>
      <c r="FE234" s="28"/>
      <c r="FF234" s="28"/>
      <c r="FG234" s="28"/>
      <c r="FH234" s="28"/>
      <c r="FI234" s="28"/>
      <c r="FJ234" s="28"/>
      <c r="FK234" s="28"/>
      <c r="FL234" s="28"/>
      <c r="FM234" s="28"/>
      <c r="FN234" s="28"/>
      <c r="FO234" s="28"/>
      <c r="FP234" s="28"/>
      <c r="FQ234" s="28">
        <v>1</v>
      </c>
      <c r="FR234" s="28">
        <v>1</v>
      </c>
      <c r="FS234" s="28"/>
      <c r="FT234" s="28"/>
      <c r="FU234" s="28"/>
      <c r="FV234" s="28">
        <v>1</v>
      </c>
      <c r="FW234" s="28"/>
      <c r="FX234" s="28"/>
      <c r="FY234" s="28"/>
      <c r="FZ234" s="28"/>
      <c r="GA234" s="28"/>
      <c r="GB234" s="28"/>
      <c r="GC234" s="28"/>
      <c r="GD234" s="28"/>
      <c r="GE234" s="28"/>
      <c r="GF234" s="28">
        <v>1</v>
      </c>
    </row>
    <row r="235" spans="1:188" ht="13" x14ac:dyDescent="0.15">
      <c r="A235" s="27">
        <v>43593</v>
      </c>
      <c r="B235" s="28" t="s">
        <v>355</v>
      </c>
      <c r="C235" s="28">
        <v>21.284300000000002</v>
      </c>
      <c r="D235" s="28">
        <v>-157.67529300000001</v>
      </c>
      <c r="E235" s="28" t="s">
        <v>356</v>
      </c>
      <c r="F235" s="29">
        <v>0.38472222222222224</v>
      </c>
      <c r="G235" s="29">
        <v>0.42986111111111114</v>
      </c>
      <c r="H235" s="28">
        <v>7</v>
      </c>
      <c r="I235" s="28">
        <v>28</v>
      </c>
      <c r="J235" s="28" t="s">
        <v>217</v>
      </c>
      <c r="K235" s="28">
        <v>4</v>
      </c>
      <c r="L235" s="28">
        <v>5</v>
      </c>
      <c r="M235" s="28" t="s">
        <v>553</v>
      </c>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v>1</v>
      </c>
      <c r="BB235" s="28"/>
      <c r="BC235" s="28"/>
      <c r="BD235" s="28"/>
      <c r="BE235" s="28"/>
      <c r="BF235" s="28"/>
      <c r="BG235" s="28"/>
      <c r="BH235" s="28"/>
      <c r="BI235" s="28"/>
      <c r="BJ235" s="28"/>
      <c r="BK235" s="28"/>
      <c r="BL235" s="28">
        <v>1</v>
      </c>
      <c r="BM235" s="28"/>
      <c r="BN235" s="28"/>
      <c r="BO235" s="28"/>
      <c r="BP235" s="28"/>
      <c r="BQ235" s="28"/>
      <c r="BR235" s="28"/>
      <c r="BS235" s="28"/>
      <c r="BT235" s="28"/>
      <c r="BU235" s="28"/>
      <c r="BV235" s="28"/>
      <c r="BW235" s="28"/>
      <c r="BX235" s="28"/>
      <c r="BY235" s="28">
        <v>1</v>
      </c>
      <c r="BZ235" s="28"/>
      <c r="CA235" s="28"/>
      <c r="CB235" s="28"/>
      <c r="CC235" s="28"/>
      <c r="CD235" s="28"/>
      <c r="CE235" s="28"/>
      <c r="CF235" s="28"/>
      <c r="CG235" s="28"/>
      <c r="CH235" s="28"/>
      <c r="CI235" s="28"/>
      <c r="CJ235" s="28"/>
      <c r="CK235" s="28"/>
      <c r="CL235" s="28"/>
      <c r="CM235" s="28"/>
      <c r="CN235" s="28"/>
      <c r="CO235" s="28"/>
      <c r="CP235" s="28"/>
      <c r="CQ235" s="28"/>
      <c r="CR235" s="28"/>
      <c r="CS235" s="28"/>
      <c r="CT235" s="28"/>
      <c r="CU235" s="28"/>
      <c r="CV235" s="28"/>
      <c r="CW235" s="28"/>
      <c r="CX235" s="28"/>
      <c r="CY235" s="28"/>
      <c r="CZ235" s="28"/>
      <c r="DA235" s="28"/>
      <c r="DB235" s="28"/>
      <c r="DC235" s="28"/>
      <c r="DD235" s="28"/>
      <c r="DE235" s="28"/>
      <c r="DF235" s="28"/>
      <c r="DG235" s="28"/>
      <c r="DH235" s="28"/>
      <c r="DI235" s="28"/>
      <c r="DJ235" s="28"/>
      <c r="DK235" s="28"/>
      <c r="DL235" s="28"/>
      <c r="DM235" s="28"/>
      <c r="DN235" s="28"/>
      <c r="DO235" s="28"/>
      <c r="DP235" s="28"/>
      <c r="DQ235" s="28"/>
      <c r="DR235" s="28"/>
      <c r="DS235" s="28"/>
      <c r="DT235" s="28"/>
      <c r="DU235" s="28"/>
      <c r="DV235" s="28"/>
      <c r="DW235" s="28"/>
      <c r="DX235" s="28"/>
      <c r="DY235" s="28"/>
      <c r="DZ235" s="28"/>
      <c r="EA235" s="28"/>
      <c r="EB235" s="28"/>
      <c r="EC235" s="28"/>
      <c r="ED235" s="28"/>
      <c r="EE235" s="28"/>
      <c r="EF235" s="28"/>
      <c r="EG235" s="28"/>
      <c r="EH235" s="28"/>
      <c r="EI235" s="28">
        <v>1</v>
      </c>
      <c r="EJ235" s="28"/>
      <c r="EK235" s="28"/>
      <c r="EL235" s="28"/>
      <c r="EM235" s="28"/>
      <c r="EN235" s="28"/>
      <c r="EO235" s="28"/>
      <c r="EP235" s="28"/>
      <c r="EQ235" s="28"/>
      <c r="ER235" s="28"/>
      <c r="ES235" s="28"/>
      <c r="ET235" s="28"/>
      <c r="EU235" s="28"/>
      <c r="EV235" s="28"/>
      <c r="EW235" s="28"/>
      <c r="EX235" s="28"/>
      <c r="EY235" s="28"/>
      <c r="EZ235" s="28"/>
      <c r="FA235" s="28"/>
      <c r="FB235" s="28"/>
      <c r="FC235" s="28"/>
      <c r="FD235" s="28"/>
      <c r="FE235" s="28"/>
      <c r="FF235" s="28"/>
      <c r="FG235" s="28"/>
      <c r="FH235" s="28"/>
      <c r="FI235" s="28"/>
      <c r="FJ235" s="28"/>
      <c r="FK235" s="28"/>
      <c r="FL235" s="28"/>
      <c r="FM235" s="28"/>
      <c r="FN235" s="28"/>
      <c r="FO235" s="28"/>
      <c r="FP235" s="28"/>
      <c r="FQ235" s="28">
        <v>1</v>
      </c>
      <c r="FR235" s="28">
        <v>1</v>
      </c>
      <c r="FS235" s="28"/>
      <c r="FT235" s="28"/>
      <c r="FU235" s="28"/>
      <c r="FV235" s="28"/>
      <c r="FW235" s="28"/>
      <c r="FX235" s="28"/>
      <c r="FY235" s="28"/>
      <c r="FZ235" s="28"/>
      <c r="GA235" s="28"/>
      <c r="GB235" s="28"/>
      <c r="GC235" s="28"/>
      <c r="GD235" s="28"/>
      <c r="GE235" s="28"/>
      <c r="GF235" s="28"/>
    </row>
    <row r="236" spans="1:188" ht="13" x14ac:dyDescent="0.15">
      <c r="A236" s="13">
        <v>43602</v>
      </c>
      <c r="B236" s="3" t="s">
        <v>489</v>
      </c>
      <c r="C236" s="3">
        <v>19.640812</v>
      </c>
      <c r="D236" s="3">
        <v>-156.00692699999999</v>
      </c>
      <c r="E236" s="3" t="s">
        <v>418</v>
      </c>
      <c r="F236" s="14">
        <v>0.36458333333333331</v>
      </c>
      <c r="G236" s="14">
        <v>0.44791666666666669</v>
      </c>
      <c r="H236" s="3">
        <v>5</v>
      </c>
      <c r="I236" s="3">
        <v>22</v>
      </c>
      <c r="J236" s="3" t="s">
        <v>227</v>
      </c>
      <c r="K236" s="3">
        <v>10</v>
      </c>
      <c r="L236" s="3">
        <v>19</v>
      </c>
      <c r="M236" s="3" t="s">
        <v>502</v>
      </c>
      <c r="AB236" s="3"/>
      <c r="AC236" s="3">
        <v>1</v>
      </c>
      <c r="AG236" s="3">
        <v>1</v>
      </c>
      <c r="AZ236" s="3"/>
      <c r="BA236" s="3">
        <v>1</v>
      </c>
      <c r="BF236" s="3">
        <v>1</v>
      </c>
      <c r="BG236" s="3">
        <v>1</v>
      </c>
      <c r="BK236" s="3">
        <v>1</v>
      </c>
      <c r="BL236" s="3">
        <v>1</v>
      </c>
      <c r="CB236" s="3">
        <v>1</v>
      </c>
      <c r="CC236" s="3">
        <v>1</v>
      </c>
      <c r="DL236" s="3">
        <v>1</v>
      </c>
      <c r="ED236" s="3"/>
      <c r="EE236" s="3"/>
      <c r="EF236" s="3"/>
      <c r="EG236" s="3"/>
      <c r="EH236" s="3"/>
      <c r="EI236" s="3">
        <v>1</v>
      </c>
      <c r="EZ236" s="3">
        <v>1</v>
      </c>
      <c r="FA236" s="3">
        <v>1</v>
      </c>
      <c r="FR236" s="3">
        <v>1</v>
      </c>
      <c r="FU236" s="3"/>
      <c r="FV236" s="3">
        <v>1</v>
      </c>
    </row>
    <row r="237" spans="1:188" ht="13" x14ac:dyDescent="0.15">
      <c r="A237" s="13">
        <v>43602</v>
      </c>
      <c r="B237" s="3" t="s">
        <v>244</v>
      </c>
      <c r="C237" s="3">
        <v>21.310611999999999</v>
      </c>
      <c r="D237" s="3">
        <v>-158.00441000000001</v>
      </c>
      <c r="E237" s="3" t="s">
        <v>503</v>
      </c>
      <c r="F237" s="14">
        <v>0.35416666666666669</v>
      </c>
      <c r="G237" s="14">
        <v>0.4375</v>
      </c>
      <c r="H237" s="3">
        <v>5</v>
      </c>
      <c r="I237" s="3">
        <v>10</v>
      </c>
      <c r="J237" s="3" t="s">
        <v>217</v>
      </c>
      <c r="K237" s="3">
        <v>5</v>
      </c>
      <c r="L237" s="3">
        <v>25</v>
      </c>
      <c r="Q237" s="3">
        <v>1</v>
      </c>
      <c r="AD237" s="3">
        <v>1</v>
      </c>
      <c r="AH237" s="3">
        <v>1</v>
      </c>
      <c r="BB237" s="3">
        <v>1</v>
      </c>
      <c r="BC237" s="3">
        <v>1</v>
      </c>
      <c r="BD237" s="3">
        <v>1</v>
      </c>
      <c r="BL237" s="3">
        <v>1</v>
      </c>
      <c r="BU237" s="3">
        <v>1</v>
      </c>
      <c r="BY237" s="3">
        <v>1</v>
      </c>
      <c r="EB237" s="3">
        <v>1</v>
      </c>
      <c r="ED237" s="3"/>
      <c r="EE237" s="3"/>
      <c r="EF237" s="3"/>
      <c r="EG237" s="3"/>
      <c r="EH237" s="3"/>
      <c r="EI237" s="3">
        <v>1</v>
      </c>
      <c r="EW237" s="3">
        <v>1</v>
      </c>
      <c r="FC237" s="3"/>
      <c r="FE237" s="3">
        <v>1</v>
      </c>
      <c r="FQ237" s="3">
        <v>1</v>
      </c>
      <c r="FR237" s="3">
        <v>1</v>
      </c>
      <c r="FU237" s="3"/>
      <c r="FV237" s="3">
        <v>1</v>
      </c>
    </row>
    <row r="238" spans="1:188" ht="13" x14ac:dyDescent="0.15">
      <c r="A238" s="27">
        <v>43602</v>
      </c>
      <c r="B238" s="28" t="s">
        <v>377</v>
      </c>
      <c r="C238" s="28">
        <v>20.704999999999998</v>
      </c>
      <c r="D238" s="28">
        <v>-156.446945</v>
      </c>
      <c r="E238" s="28" t="s">
        <v>378</v>
      </c>
      <c r="F238" s="29">
        <v>0.3888888888888889</v>
      </c>
      <c r="G238" s="29">
        <v>0.45833333333333331</v>
      </c>
      <c r="H238" s="28">
        <v>8</v>
      </c>
      <c r="I238" s="28">
        <v>16</v>
      </c>
      <c r="J238" s="28" t="s">
        <v>198</v>
      </c>
      <c r="K238" s="28">
        <v>8</v>
      </c>
      <c r="L238" s="28">
        <v>35</v>
      </c>
      <c r="M238" s="28" t="s">
        <v>554</v>
      </c>
      <c r="N238" s="28"/>
      <c r="O238" s="28"/>
      <c r="P238" s="28"/>
      <c r="Q238" s="28"/>
      <c r="R238" s="28"/>
      <c r="S238" s="28"/>
      <c r="T238" s="28"/>
      <c r="U238" s="28"/>
      <c r="V238" s="28"/>
      <c r="W238" s="28"/>
      <c r="X238" s="28"/>
      <c r="Y238" s="28"/>
      <c r="Z238" s="28"/>
      <c r="AA238" s="28"/>
      <c r="AB238" s="28"/>
      <c r="AC238" s="28"/>
      <c r="AD238" s="28"/>
      <c r="AE238" s="28"/>
      <c r="AF238" s="28">
        <v>1</v>
      </c>
      <c r="AG238" s="28"/>
      <c r="AH238" s="28"/>
      <c r="AI238" s="28"/>
      <c r="AJ238" s="28"/>
      <c r="AK238" s="28"/>
      <c r="AL238" s="28"/>
      <c r="AM238" s="28"/>
      <c r="AN238" s="28"/>
      <c r="AO238" s="28"/>
      <c r="AP238" s="28"/>
      <c r="AQ238" s="28"/>
      <c r="AR238" s="28"/>
      <c r="AS238" s="28"/>
      <c r="AT238" s="28"/>
      <c r="AU238" s="28"/>
      <c r="AV238" s="28"/>
      <c r="AW238" s="28">
        <v>1</v>
      </c>
      <c r="AX238" s="28"/>
      <c r="AY238" s="28"/>
      <c r="AZ238" s="28"/>
      <c r="BA238" s="28"/>
      <c r="BB238" s="28">
        <v>1</v>
      </c>
      <c r="BC238" s="28"/>
      <c r="BD238" s="28"/>
      <c r="BE238" s="28">
        <v>1</v>
      </c>
      <c r="BF238" s="28"/>
      <c r="BG238" s="28"/>
      <c r="BH238" s="28"/>
      <c r="BI238" s="28"/>
      <c r="BJ238" s="28"/>
      <c r="BK238" s="28"/>
      <c r="BL238" s="28">
        <v>1</v>
      </c>
      <c r="BM238" s="28"/>
      <c r="BN238" s="28"/>
      <c r="BO238" s="28"/>
      <c r="BP238" s="28"/>
      <c r="BQ238" s="28"/>
      <c r="BR238" s="28"/>
      <c r="BS238" s="28"/>
      <c r="BT238" s="28"/>
      <c r="BU238" s="28"/>
      <c r="BV238" s="28"/>
      <c r="BW238" s="28"/>
      <c r="BX238" s="28"/>
      <c r="BY238" s="28"/>
      <c r="BZ238" s="28"/>
      <c r="CA238" s="28"/>
      <c r="CB238" s="28"/>
      <c r="CC238" s="28"/>
      <c r="CD238" s="28"/>
      <c r="CE238" s="28"/>
      <c r="CF238" s="28"/>
      <c r="CG238" s="28"/>
      <c r="CH238" s="28"/>
      <c r="CI238" s="28"/>
      <c r="CJ238" s="28"/>
      <c r="CK238" s="28"/>
      <c r="CL238" s="28"/>
      <c r="CM238" s="28"/>
      <c r="CN238" s="28"/>
      <c r="CO238" s="28"/>
      <c r="CP238" s="28"/>
      <c r="CQ238" s="28"/>
      <c r="CR238" s="28"/>
      <c r="CS238" s="28"/>
      <c r="CT238" s="28"/>
      <c r="CU238" s="28"/>
      <c r="CV238" s="28"/>
      <c r="CW238" s="28"/>
      <c r="CX238" s="28"/>
      <c r="CY238" s="28"/>
      <c r="CZ238" s="28"/>
      <c r="DA238" s="28"/>
      <c r="DB238" s="28"/>
      <c r="DC238" s="28"/>
      <c r="DD238" s="28"/>
      <c r="DE238" s="28"/>
      <c r="DF238" s="28"/>
      <c r="DG238" s="28">
        <v>1</v>
      </c>
      <c r="DH238" s="28"/>
      <c r="DI238" s="28"/>
      <c r="DJ238" s="28"/>
      <c r="DK238" s="28"/>
      <c r="DL238" s="28"/>
      <c r="DM238" s="28"/>
      <c r="DN238" s="28"/>
      <c r="DO238" s="28">
        <v>1</v>
      </c>
      <c r="DP238" s="28"/>
      <c r="DQ238" s="28"/>
      <c r="DR238" s="28">
        <v>1</v>
      </c>
      <c r="DS238" s="28"/>
      <c r="DT238" s="28"/>
      <c r="DU238" s="28"/>
      <c r="DV238" s="28"/>
      <c r="DW238" s="28"/>
      <c r="DX238" s="28"/>
      <c r="DY238" s="28">
        <v>1</v>
      </c>
      <c r="DZ238" s="28"/>
      <c r="EA238" s="28"/>
      <c r="EB238" s="28"/>
      <c r="EC238" s="28"/>
      <c r="ED238" s="28"/>
      <c r="EE238" s="28"/>
      <c r="EF238" s="28"/>
      <c r="EG238" s="28"/>
      <c r="EH238" s="28"/>
      <c r="EI238" s="28">
        <v>1</v>
      </c>
      <c r="EJ238" s="28"/>
      <c r="EK238" s="28"/>
      <c r="EL238" s="28"/>
      <c r="EM238" s="28"/>
      <c r="EN238" s="28"/>
      <c r="EO238" s="28"/>
      <c r="EP238" s="28"/>
      <c r="EQ238" s="28"/>
      <c r="ER238" s="28"/>
      <c r="ES238" s="28"/>
      <c r="ET238" s="28"/>
      <c r="EU238" s="28"/>
      <c r="EV238" s="28"/>
      <c r="EW238" s="28"/>
      <c r="EX238" s="28"/>
      <c r="EY238" s="28"/>
      <c r="EZ238" s="28"/>
      <c r="FA238" s="28"/>
      <c r="FB238" s="28">
        <v>1</v>
      </c>
      <c r="FC238" s="28"/>
      <c r="FD238" s="28"/>
      <c r="FE238" s="28">
        <v>1</v>
      </c>
      <c r="FF238" s="28"/>
      <c r="FG238" s="28"/>
      <c r="FH238" s="28">
        <v>1</v>
      </c>
      <c r="FI238" s="28"/>
      <c r="FJ238" s="28"/>
      <c r="FK238" s="28"/>
      <c r="FL238" s="28"/>
      <c r="FM238" s="28"/>
      <c r="FN238" s="28"/>
      <c r="FO238" s="28"/>
      <c r="FP238" s="28"/>
      <c r="FQ238" s="28"/>
      <c r="FR238" s="28">
        <v>1</v>
      </c>
      <c r="FS238" s="28"/>
      <c r="FT238" s="28"/>
      <c r="FU238" s="28"/>
      <c r="FV238" s="28">
        <v>1</v>
      </c>
      <c r="FW238" s="28"/>
      <c r="FX238" s="28"/>
      <c r="FY238" s="28"/>
      <c r="FZ238" s="28">
        <v>1</v>
      </c>
      <c r="GA238" s="28"/>
      <c r="GB238" s="28"/>
      <c r="GC238" s="28">
        <v>1</v>
      </c>
      <c r="GD238" s="28"/>
      <c r="GE238" s="28"/>
      <c r="GF238" s="28"/>
    </row>
    <row r="239" spans="1:188" ht="13" x14ac:dyDescent="0.15">
      <c r="A239" s="27">
        <v>43605</v>
      </c>
      <c r="B239" s="28" t="s">
        <v>307</v>
      </c>
      <c r="C239" s="28">
        <v>19.736111000000001</v>
      </c>
      <c r="D239" s="28">
        <v>-155.03083799999999</v>
      </c>
      <c r="E239" s="28" t="s">
        <v>308</v>
      </c>
      <c r="F239" s="29">
        <v>0.40625</v>
      </c>
      <c r="G239" s="29">
        <v>0.46875</v>
      </c>
      <c r="H239" s="28">
        <v>8</v>
      </c>
      <c r="I239" s="28">
        <v>12</v>
      </c>
      <c r="J239" s="28" t="s">
        <v>217</v>
      </c>
      <c r="K239" s="28">
        <v>8</v>
      </c>
      <c r="L239" s="28">
        <v>43</v>
      </c>
      <c r="M239" s="28" t="s">
        <v>555</v>
      </c>
      <c r="N239" s="28"/>
      <c r="O239" s="28"/>
      <c r="P239" s="28"/>
      <c r="Q239" s="28">
        <v>1</v>
      </c>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v>1</v>
      </c>
      <c r="BM239" s="28"/>
      <c r="BN239" s="28"/>
      <c r="BO239" s="28"/>
      <c r="BP239" s="28">
        <v>1</v>
      </c>
      <c r="BQ239" s="28"/>
      <c r="BR239" s="28"/>
      <c r="BS239" s="28"/>
      <c r="BT239" s="28"/>
      <c r="BU239" s="28">
        <v>1</v>
      </c>
      <c r="BV239" s="28"/>
      <c r="BW239" s="28"/>
      <c r="BX239" s="28"/>
      <c r="BY239" s="28"/>
      <c r="BZ239" s="28"/>
      <c r="CA239" s="28"/>
      <c r="CB239" s="28"/>
      <c r="CC239" s="28"/>
      <c r="CD239" s="28"/>
      <c r="CE239" s="28"/>
      <c r="CF239" s="28"/>
      <c r="CG239" s="28"/>
      <c r="CH239" s="28"/>
      <c r="CI239" s="28"/>
      <c r="CJ239" s="28"/>
      <c r="CK239" s="28"/>
      <c r="CL239" s="28"/>
      <c r="CM239" s="28"/>
      <c r="CN239" s="28">
        <v>1</v>
      </c>
      <c r="CO239" s="28"/>
      <c r="CP239" s="28"/>
      <c r="CQ239" s="28"/>
      <c r="CR239" s="28"/>
      <c r="CS239" s="28"/>
      <c r="CT239" s="28"/>
      <c r="CU239" s="28"/>
      <c r="CV239" s="28"/>
      <c r="CW239" s="28"/>
      <c r="CX239" s="28"/>
      <c r="CY239" s="28"/>
      <c r="CZ239" s="28">
        <v>1</v>
      </c>
      <c r="DA239" s="28"/>
      <c r="DB239" s="28"/>
      <c r="DC239" s="28"/>
      <c r="DD239" s="28"/>
      <c r="DE239" s="28"/>
      <c r="DF239" s="28"/>
      <c r="DG239" s="28"/>
      <c r="DH239" s="28"/>
      <c r="DI239" s="28"/>
      <c r="DJ239" s="28"/>
      <c r="DK239" s="28"/>
      <c r="DL239" s="28"/>
      <c r="DM239" s="28"/>
      <c r="DN239" s="28"/>
      <c r="DO239" s="28">
        <v>1</v>
      </c>
      <c r="DP239" s="28"/>
      <c r="DQ239" s="28"/>
      <c r="DR239" s="28"/>
      <c r="DS239" s="28"/>
      <c r="DT239" s="28"/>
      <c r="DU239" s="28"/>
      <c r="DV239" s="28"/>
      <c r="DW239" s="28"/>
      <c r="DX239" s="28"/>
      <c r="DY239" s="28"/>
      <c r="DZ239" s="28">
        <v>1</v>
      </c>
      <c r="EA239" s="28"/>
      <c r="EB239" s="28"/>
      <c r="EC239" s="28"/>
      <c r="ED239" s="28">
        <v>1</v>
      </c>
      <c r="EE239" s="28"/>
      <c r="EF239" s="28"/>
      <c r="EG239" s="28"/>
      <c r="EH239" s="28"/>
      <c r="EI239" s="28">
        <v>1</v>
      </c>
      <c r="EJ239" s="28"/>
      <c r="EK239" s="28"/>
      <c r="EL239" s="28"/>
      <c r="EM239" s="28"/>
      <c r="EN239" s="28"/>
      <c r="EO239" s="28"/>
      <c r="EP239" s="28"/>
      <c r="EQ239" s="28"/>
      <c r="ER239" s="28"/>
      <c r="ES239" s="28"/>
      <c r="ET239" s="28"/>
      <c r="EU239" s="28"/>
      <c r="EV239" s="28"/>
      <c r="EW239" s="28">
        <v>1</v>
      </c>
      <c r="EX239" s="28"/>
      <c r="EY239" s="28"/>
      <c r="EZ239" s="28"/>
      <c r="FA239" s="28"/>
      <c r="FB239" s="28"/>
      <c r="FC239" s="28"/>
      <c r="FD239" s="28">
        <v>1</v>
      </c>
      <c r="FE239" s="28">
        <v>1</v>
      </c>
      <c r="FF239" s="28"/>
      <c r="FG239" s="28"/>
      <c r="FH239" s="28"/>
      <c r="FI239" s="28"/>
      <c r="FJ239" s="28"/>
      <c r="FK239" s="28"/>
      <c r="FL239" s="28"/>
      <c r="FM239" s="28"/>
      <c r="FN239" s="28"/>
      <c r="FO239" s="28"/>
      <c r="FP239" s="28"/>
      <c r="FQ239" s="28">
        <v>1</v>
      </c>
      <c r="FR239" s="28">
        <v>1</v>
      </c>
      <c r="FS239" s="28"/>
      <c r="FT239" s="28"/>
      <c r="FU239" s="28"/>
      <c r="FV239" s="28"/>
      <c r="FW239" s="28">
        <v>1</v>
      </c>
      <c r="FX239" s="28"/>
      <c r="FY239" s="28"/>
      <c r="FZ239" s="28"/>
      <c r="GA239" s="28"/>
      <c r="GB239" s="28"/>
      <c r="GC239" s="28"/>
      <c r="GD239" s="28"/>
      <c r="GE239" s="28"/>
      <c r="GF239" s="28"/>
    </row>
    <row r="240" spans="1:188" ht="13" x14ac:dyDescent="0.15">
      <c r="A240" s="24">
        <v>43734</v>
      </c>
      <c r="B240" s="25" t="s">
        <v>329</v>
      </c>
      <c r="C240" s="25">
        <v>21.140799999999999</v>
      </c>
      <c r="D240" s="25">
        <v>-157.29011499999999</v>
      </c>
      <c r="E240" s="25" t="s">
        <v>286</v>
      </c>
      <c r="F240" s="26">
        <v>0.375</v>
      </c>
      <c r="G240" s="26">
        <v>0.39166666666666666</v>
      </c>
      <c r="H240" s="25">
        <v>3</v>
      </c>
      <c r="I240" s="25">
        <v>14</v>
      </c>
      <c r="J240" s="25" t="s">
        <v>198</v>
      </c>
      <c r="K240" s="25">
        <v>14</v>
      </c>
      <c r="L240" s="25">
        <v>15</v>
      </c>
      <c r="M240" s="25" t="s">
        <v>504</v>
      </c>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v>1</v>
      </c>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v>1</v>
      </c>
      <c r="BX240" s="25"/>
      <c r="BY240" s="25"/>
      <c r="BZ240" s="25"/>
      <c r="CA240" s="25"/>
      <c r="CB240" s="25"/>
      <c r="CC240" s="25"/>
      <c r="CD240" s="25"/>
      <c r="CE240" s="25"/>
      <c r="CF240" s="25"/>
      <c r="CG240" s="25"/>
      <c r="CH240" s="25"/>
      <c r="CI240" s="25"/>
      <c r="CJ240" s="25"/>
      <c r="CK240" s="25"/>
      <c r="CL240" s="25"/>
      <c r="CM240" s="25"/>
      <c r="CN240" s="25"/>
      <c r="CO240" s="25"/>
      <c r="CP240" s="25"/>
      <c r="CQ240" s="25"/>
      <c r="CR240" s="25"/>
      <c r="CS240" s="25"/>
      <c r="CT240" s="25"/>
      <c r="CU240" s="25"/>
      <c r="CV240" s="25"/>
      <c r="CW240" s="25"/>
      <c r="CX240" s="25"/>
      <c r="CY240" s="25"/>
      <c r="CZ240" s="25"/>
      <c r="DA240" s="25"/>
      <c r="DB240" s="25"/>
      <c r="DC240" s="25"/>
      <c r="DD240" s="25"/>
      <c r="DE240" s="25"/>
      <c r="DF240" s="25"/>
      <c r="DG240" s="25"/>
      <c r="DH240" s="25"/>
      <c r="DI240" s="25"/>
      <c r="DJ240" s="25"/>
      <c r="DK240" s="25"/>
      <c r="DL240" s="25"/>
      <c r="DM240" s="25"/>
      <c r="DN240" s="25"/>
      <c r="DO240" s="25"/>
      <c r="DP240" s="25"/>
      <c r="DQ240" s="25"/>
      <c r="DR240" s="25"/>
      <c r="DS240" s="25"/>
      <c r="DT240" s="25"/>
      <c r="DU240" s="25"/>
      <c r="DV240" s="25"/>
      <c r="DW240" s="25"/>
      <c r="DX240" s="25"/>
      <c r="DY240" s="25"/>
      <c r="DZ240" s="25"/>
      <c r="EA240" s="25"/>
      <c r="EB240" s="25"/>
      <c r="EC240" s="25"/>
      <c r="ED240" s="25"/>
      <c r="EE240" s="25"/>
      <c r="EF240" s="25"/>
      <c r="EG240" s="25"/>
      <c r="EH240" s="25"/>
      <c r="EI240" s="25"/>
      <c r="EJ240" s="25"/>
      <c r="EK240" s="25"/>
      <c r="EL240" s="25"/>
      <c r="EM240" s="25"/>
      <c r="EN240" s="25"/>
      <c r="EO240" s="25"/>
      <c r="EP240" s="25"/>
      <c r="EQ240" s="25"/>
      <c r="ER240" s="25"/>
      <c r="ES240" s="25"/>
      <c r="ET240" s="25"/>
      <c r="EU240" s="25"/>
      <c r="EV240" s="25"/>
      <c r="EW240" s="25"/>
      <c r="EX240" s="25"/>
      <c r="EY240" s="25"/>
      <c r="EZ240" s="25"/>
      <c r="FA240" s="25"/>
      <c r="FB240" s="25">
        <v>1</v>
      </c>
      <c r="FC240" s="25"/>
      <c r="FD240" s="25"/>
      <c r="FE240" s="25"/>
      <c r="FF240" s="25"/>
      <c r="FG240" s="25"/>
      <c r="FH240" s="25"/>
      <c r="FI240" s="25"/>
      <c r="FJ240" s="25"/>
      <c r="FK240" s="25"/>
      <c r="FL240" s="25"/>
      <c r="FM240" s="25"/>
      <c r="FN240" s="25"/>
      <c r="FO240" s="25"/>
      <c r="FP240" s="25"/>
      <c r="FQ240" s="25"/>
      <c r="FR240" s="25"/>
      <c r="FS240" s="25"/>
      <c r="FT240" s="25"/>
      <c r="FU240" s="25"/>
      <c r="FV240" s="25"/>
      <c r="FW240" s="25"/>
      <c r="FX240" s="25"/>
      <c r="FY240" s="25"/>
      <c r="FZ240" s="25"/>
      <c r="GA240" s="25"/>
      <c r="GB240" s="25">
        <v>1</v>
      </c>
      <c r="GC240" s="25"/>
      <c r="GD240" s="25"/>
      <c r="GE240" s="25"/>
      <c r="GF240" s="25"/>
    </row>
    <row r="241" spans="1:188" ht="13" x14ac:dyDescent="0.15">
      <c r="A241" s="24">
        <v>43735</v>
      </c>
      <c r="B241" s="25" t="s">
        <v>329</v>
      </c>
      <c r="C241" s="25">
        <v>21.140799999999999</v>
      </c>
      <c r="D241" s="25">
        <v>-157.29011499999999</v>
      </c>
      <c r="E241" s="25" t="s">
        <v>286</v>
      </c>
      <c r="F241" s="26">
        <v>0.37291666666666667</v>
      </c>
      <c r="G241" s="26">
        <v>0.38958333333333334</v>
      </c>
      <c r="H241" s="25">
        <v>6</v>
      </c>
      <c r="I241" s="25">
        <v>13</v>
      </c>
      <c r="J241" s="25" t="s">
        <v>198</v>
      </c>
      <c r="K241" s="25">
        <v>13</v>
      </c>
      <c r="L241" s="25">
        <v>42</v>
      </c>
      <c r="M241" s="25" t="s">
        <v>506</v>
      </c>
      <c r="N241" s="25"/>
      <c r="O241" s="25"/>
      <c r="P241" s="25"/>
      <c r="Q241" s="25"/>
      <c r="R241" s="25">
        <v>1</v>
      </c>
      <c r="S241" s="25"/>
      <c r="T241" s="25"/>
      <c r="U241" s="25"/>
      <c r="V241" s="25"/>
      <c r="W241" s="25"/>
      <c r="X241" s="25"/>
      <c r="Y241" s="25"/>
      <c r="Z241" s="25"/>
      <c r="AA241" s="25"/>
      <c r="AB241" s="25"/>
      <c r="AC241" s="25"/>
      <c r="AD241" s="25"/>
      <c r="AE241" s="25"/>
      <c r="AF241" s="25">
        <v>1</v>
      </c>
      <c r="AG241" s="25"/>
      <c r="AH241" s="25"/>
      <c r="AI241" s="25"/>
      <c r="AJ241" s="25"/>
      <c r="AK241" s="25"/>
      <c r="AL241" s="25"/>
      <c r="AM241" s="25"/>
      <c r="AN241" s="25"/>
      <c r="AO241" s="25"/>
      <c r="AP241" s="25"/>
      <c r="AQ241" s="25"/>
      <c r="AR241" s="25">
        <v>1</v>
      </c>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v>1</v>
      </c>
      <c r="BP241" s="25"/>
      <c r="BQ241" s="25"/>
      <c r="BR241" s="25"/>
      <c r="BS241" s="25"/>
      <c r="BT241" s="25"/>
      <c r="BU241" s="25"/>
      <c r="BV241" s="25"/>
      <c r="BW241" s="25"/>
      <c r="BX241" s="25"/>
      <c r="BY241" s="25"/>
      <c r="BZ241" s="25"/>
      <c r="CA241" s="25">
        <v>1</v>
      </c>
      <c r="CB241" s="25"/>
      <c r="CC241" s="25"/>
      <c r="CD241" s="25"/>
      <c r="CE241" s="25"/>
      <c r="CF241" s="25"/>
      <c r="CG241" s="25"/>
      <c r="CH241" s="25"/>
      <c r="CI241" s="25"/>
      <c r="CJ241" s="25"/>
      <c r="CK241" s="25"/>
      <c r="CL241" s="25"/>
      <c r="CM241" s="25"/>
      <c r="CN241" s="25"/>
      <c r="CO241" s="25"/>
      <c r="CP241" s="25"/>
      <c r="CQ241" s="25"/>
      <c r="CR241" s="25">
        <v>1</v>
      </c>
      <c r="CS241" s="25"/>
      <c r="CT241" s="25"/>
      <c r="CU241" s="25"/>
      <c r="CV241" s="25"/>
      <c r="CW241" s="25"/>
      <c r="CX241" s="25"/>
      <c r="CY241" s="25"/>
      <c r="CZ241" s="25"/>
      <c r="DA241" s="25"/>
      <c r="DB241" s="25"/>
      <c r="DC241" s="25"/>
      <c r="DD241" s="25"/>
      <c r="DE241" s="25"/>
      <c r="DF241" s="25">
        <v>1</v>
      </c>
      <c r="DG241" s="25"/>
      <c r="DH241" s="25"/>
      <c r="DI241" s="25"/>
      <c r="DJ241" s="25"/>
      <c r="DK241" s="25"/>
      <c r="DL241" s="25"/>
      <c r="DM241" s="25"/>
      <c r="DN241" s="25"/>
      <c r="DO241" s="25"/>
      <c r="DP241" s="25"/>
      <c r="DQ241" s="25"/>
      <c r="DR241" s="25"/>
      <c r="DS241" s="25"/>
      <c r="DT241" s="25"/>
      <c r="DU241" s="25"/>
      <c r="DV241" s="25"/>
      <c r="DW241" s="25"/>
      <c r="DX241" s="25"/>
      <c r="DY241" s="25"/>
      <c r="DZ241" s="25"/>
      <c r="EA241" s="25"/>
      <c r="EB241" s="25"/>
      <c r="EC241" s="25"/>
      <c r="ED241" s="25"/>
      <c r="EE241" s="25"/>
      <c r="EF241" s="25"/>
      <c r="EG241" s="25"/>
      <c r="EH241" s="25"/>
      <c r="EI241" s="25"/>
      <c r="EJ241" s="25"/>
      <c r="EK241" s="25"/>
      <c r="EL241" s="25"/>
      <c r="EM241" s="25"/>
      <c r="EN241" s="25"/>
      <c r="EO241" s="25"/>
      <c r="EP241" s="25"/>
      <c r="EQ241" s="25"/>
      <c r="ER241" s="25"/>
      <c r="ES241" s="25"/>
      <c r="ET241" s="25"/>
      <c r="EU241" s="25"/>
      <c r="EV241" s="25"/>
      <c r="EW241" s="25"/>
      <c r="EX241" s="25"/>
      <c r="EY241" s="25"/>
      <c r="EZ241" s="25"/>
      <c r="FA241" s="25">
        <v>1</v>
      </c>
      <c r="FB241" s="25"/>
      <c r="FC241" s="25"/>
      <c r="FD241" s="25"/>
      <c r="FE241" s="25"/>
      <c r="FF241" s="25"/>
      <c r="FG241" s="25"/>
      <c r="FH241" s="25"/>
      <c r="FI241" s="25"/>
      <c r="FJ241" s="25"/>
      <c r="FK241" s="25"/>
      <c r="FL241" s="25"/>
      <c r="FM241" s="25"/>
      <c r="FN241" s="25"/>
      <c r="FO241" s="25"/>
      <c r="FP241" s="25"/>
      <c r="FQ241" s="25"/>
      <c r="FR241" s="25">
        <v>1</v>
      </c>
      <c r="FS241" s="25"/>
      <c r="FT241" s="25"/>
      <c r="FU241" s="25"/>
      <c r="FV241" s="25"/>
      <c r="FW241" s="25"/>
      <c r="FX241" s="25"/>
      <c r="FY241" s="25"/>
      <c r="FZ241" s="25"/>
      <c r="GA241" s="25"/>
      <c r="GB241" s="25"/>
      <c r="GC241" s="25"/>
      <c r="GD241" s="25"/>
      <c r="GE241" s="25"/>
      <c r="GF241" s="25"/>
    </row>
    <row r="242" spans="1:188" ht="16" x14ac:dyDescent="0.2">
      <c r="A242" s="33">
        <v>43839</v>
      </c>
      <c r="B242" s="4" t="s">
        <v>366</v>
      </c>
      <c r="C242" s="4">
        <v>19.715052</v>
      </c>
      <c r="D242" s="4">
        <v>-156.04913300000001</v>
      </c>
      <c r="E242" s="4" t="s">
        <v>508</v>
      </c>
      <c r="F242" s="34">
        <v>0.45138888888888901</v>
      </c>
      <c r="G242" s="34">
        <v>0.48611111111111099</v>
      </c>
      <c r="H242" s="22">
        <v>5</v>
      </c>
      <c r="I242" s="22">
        <v>20</v>
      </c>
      <c r="J242" s="22" t="s">
        <v>198</v>
      </c>
      <c r="K242" s="22">
        <v>5</v>
      </c>
      <c r="L242" s="22">
        <v>20</v>
      </c>
      <c r="M242" s="22" t="s">
        <v>509</v>
      </c>
      <c r="N242" s="22"/>
      <c r="O242" s="22">
        <v>20</v>
      </c>
      <c r="P242" s="22"/>
      <c r="Q242" s="22"/>
      <c r="R242" s="22"/>
      <c r="S242" s="22">
        <v>1</v>
      </c>
      <c r="T242" s="22"/>
      <c r="U242" s="22"/>
      <c r="V242" s="22"/>
      <c r="W242" s="22"/>
      <c r="X242" s="22"/>
      <c r="Y242" s="22"/>
      <c r="Z242" s="22"/>
      <c r="AA242" s="22"/>
      <c r="AB242" s="22"/>
      <c r="AC242" s="22">
        <v>1</v>
      </c>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v>1</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v>1</v>
      </c>
      <c r="DA242" s="22"/>
      <c r="DB242" s="22"/>
      <c r="DC242" s="22"/>
      <c r="DD242" s="22"/>
      <c r="DE242" s="22"/>
      <c r="DF242" s="22"/>
      <c r="DG242" s="22"/>
      <c r="DH242" s="22"/>
      <c r="DI242" s="22"/>
      <c r="DJ242" s="22"/>
      <c r="DK242" s="22"/>
      <c r="DL242" s="22"/>
      <c r="DM242" s="22"/>
      <c r="DN242" s="22"/>
      <c r="DO242" s="22">
        <v>1</v>
      </c>
      <c r="DP242" s="22"/>
      <c r="DQ242" s="22"/>
      <c r="DR242" s="22"/>
      <c r="DS242" s="22"/>
      <c r="DT242" s="22"/>
      <c r="DU242" s="22"/>
      <c r="DV242" s="22"/>
      <c r="DW242" s="22"/>
      <c r="DX242" s="22"/>
      <c r="DY242" s="22"/>
      <c r="DZ242" s="22"/>
      <c r="EA242" s="22"/>
      <c r="EB242" s="22"/>
      <c r="EC242" s="22"/>
      <c r="ED242" s="22"/>
      <c r="EE242" s="22"/>
      <c r="EF242" s="22"/>
      <c r="EG242" s="22"/>
      <c r="EH242" s="22"/>
      <c r="EI242" s="22"/>
      <c r="EJ242" s="22"/>
      <c r="EK242" s="22"/>
      <c r="EL242" s="22"/>
      <c r="EM242" s="22"/>
      <c r="EN242" s="22"/>
      <c r="EO242" s="22"/>
      <c r="EP242" s="22"/>
      <c r="EQ242" s="22"/>
      <c r="ER242" s="22"/>
      <c r="ES242" s="22"/>
      <c r="ET242" s="22"/>
      <c r="EU242" s="22"/>
      <c r="EV242" s="22"/>
      <c r="EW242" s="22"/>
      <c r="EX242" s="22"/>
      <c r="EY242" s="22"/>
      <c r="EZ242" s="22"/>
      <c r="FA242" s="22"/>
      <c r="FB242" s="22"/>
      <c r="FC242" s="22"/>
      <c r="FD242" s="22"/>
      <c r="FE242" s="22"/>
      <c r="FF242" s="22"/>
      <c r="FG242" s="22"/>
      <c r="FH242" s="22"/>
      <c r="FI242" s="22"/>
      <c r="FJ242" s="22"/>
      <c r="FK242" s="22"/>
      <c r="FL242" s="22"/>
      <c r="FM242" s="22"/>
      <c r="FN242" s="22"/>
      <c r="FO242" s="22"/>
      <c r="FP242" s="22"/>
      <c r="FQ242" s="22"/>
      <c r="FR242" s="22">
        <v>1</v>
      </c>
      <c r="FS242" s="22"/>
      <c r="FT242" s="22"/>
      <c r="FU242" s="22"/>
      <c r="FV242" s="22">
        <v>1</v>
      </c>
      <c r="FY242" s="22"/>
      <c r="FZ242" s="22"/>
      <c r="GA242" s="22"/>
      <c r="GB242" s="22"/>
      <c r="GC242" s="22"/>
      <c r="GD242" s="22"/>
      <c r="GE242" s="22"/>
      <c r="GF242" s="22"/>
    </row>
    <row r="243" spans="1:188" ht="16" x14ac:dyDescent="0.2">
      <c r="A243" s="33">
        <v>43840</v>
      </c>
      <c r="B243" s="4" t="s">
        <v>511</v>
      </c>
      <c r="C243" s="4">
        <v>19.5791</v>
      </c>
      <c r="D243" s="22">
        <v>-155.967804</v>
      </c>
      <c r="E243" s="4" t="s">
        <v>508</v>
      </c>
      <c r="F243" s="34">
        <v>0.42499999999999999</v>
      </c>
      <c r="G243" s="34">
        <v>0.46180555555555602</v>
      </c>
      <c r="H243" s="22">
        <v>5</v>
      </c>
      <c r="I243" s="22">
        <v>20</v>
      </c>
      <c r="J243" s="22" t="s">
        <v>198</v>
      </c>
      <c r="K243" s="22">
        <v>5</v>
      </c>
      <c r="L243" s="3">
        <v>24</v>
      </c>
      <c r="M243" s="3" t="s">
        <v>512</v>
      </c>
      <c r="O243" s="3">
        <v>24</v>
      </c>
      <c r="BE243" s="3"/>
      <c r="BF243" s="3"/>
      <c r="BG243" s="3"/>
      <c r="BH243" s="3"/>
      <c r="BI243" s="3"/>
      <c r="BJ243" s="3"/>
      <c r="BK243" s="3"/>
      <c r="BL243" s="3">
        <v>1</v>
      </c>
      <c r="FR243" s="3">
        <v>1</v>
      </c>
    </row>
    <row r="244" spans="1:188" ht="16" x14ac:dyDescent="0.2">
      <c r="A244" s="35">
        <v>43868</v>
      </c>
      <c r="B244" s="4" t="s">
        <v>511</v>
      </c>
      <c r="C244" s="4">
        <v>19.5791</v>
      </c>
      <c r="D244" s="4">
        <v>-155.967804</v>
      </c>
      <c r="E244" s="3" t="s">
        <v>508</v>
      </c>
      <c r="F244" s="34">
        <v>0.420833333333333</v>
      </c>
      <c r="G244" s="34">
        <v>0.45138888888888901</v>
      </c>
      <c r="H244" s="3">
        <v>5</v>
      </c>
      <c r="I244" s="3">
        <v>20</v>
      </c>
      <c r="J244" s="3" t="s">
        <v>198</v>
      </c>
      <c r="K244" s="3">
        <v>5</v>
      </c>
      <c r="L244" s="3">
        <v>25</v>
      </c>
      <c r="O244" s="3">
        <v>25</v>
      </c>
      <c r="BE244" s="3"/>
      <c r="BF244" s="3"/>
      <c r="BG244" s="3"/>
      <c r="BH244" s="3"/>
      <c r="BI244" s="3"/>
      <c r="BJ244" s="3"/>
      <c r="BK244" s="3"/>
      <c r="BL244" s="3">
        <v>1</v>
      </c>
      <c r="CH244" s="3"/>
      <c r="CI244" s="3"/>
      <c r="CJ244" s="3"/>
      <c r="CK244" s="3"/>
      <c r="CL244" s="3"/>
      <c r="CM244" s="3"/>
      <c r="CN244" s="3"/>
      <c r="CO244" s="3"/>
      <c r="CP244" s="3"/>
      <c r="CQ244" s="3"/>
      <c r="CR244" s="3"/>
      <c r="CS244" s="3"/>
      <c r="CT244" s="3">
        <v>1</v>
      </c>
      <c r="FR244" s="3">
        <v>1</v>
      </c>
    </row>
    <row r="245" spans="1:188" ht="16" x14ac:dyDescent="0.2">
      <c r="A245" s="13">
        <v>43882</v>
      </c>
      <c r="B245" s="3" t="s">
        <v>340</v>
      </c>
      <c r="C245" s="4">
        <v>19.643276</v>
      </c>
      <c r="D245" s="3">
        <v>-156.01019299999999</v>
      </c>
      <c r="E245" s="4" t="s">
        <v>508</v>
      </c>
      <c r="F245" s="34">
        <v>0.41875000000000001</v>
      </c>
      <c r="G245" s="34">
        <v>0.44444444444444398</v>
      </c>
      <c r="H245" s="3">
        <v>5</v>
      </c>
      <c r="I245" s="3">
        <v>20</v>
      </c>
      <c r="J245" s="3" t="s">
        <v>198</v>
      </c>
      <c r="K245" s="3">
        <v>5</v>
      </c>
      <c r="L245" s="3">
        <v>25</v>
      </c>
      <c r="O245" s="3">
        <v>25</v>
      </c>
      <c r="BE245" s="3"/>
      <c r="BF245" s="3"/>
      <c r="BG245" s="3"/>
      <c r="BH245" s="3"/>
      <c r="BI245" s="3"/>
      <c r="BJ245" s="3"/>
      <c r="BK245" s="3"/>
      <c r="BL245" s="3">
        <v>1</v>
      </c>
      <c r="BW245" s="3"/>
      <c r="BZ245" s="3"/>
      <c r="CA245" s="3"/>
      <c r="CB245" s="3">
        <v>1</v>
      </c>
      <c r="DM245" s="3"/>
      <c r="DN245" s="3"/>
      <c r="DO245" s="3"/>
      <c r="DP245" s="3"/>
      <c r="DQ245" s="3"/>
      <c r="DR245" s="3"/>
      <c r="DS245" s="3"/>
      <c r="DT245" s="3"/>
      <c r="DU245" s="3"/>
      <c r="DV245" s="3"/>
      <c r="DW245" s="3"/>
      <c r="DX245" s="3"/>
      <c r="DY245" s="3"/>
      <c r="DZ245" s="3"/>
      <c r="EA245" s="3"/>
      <c r="EB245" s="3"/>
      <c r="EC245" s="3"/>
      <c r="ED245" s="3"/>
      <c r="EE245" s="3"/>
      <c r="EF245" s="3"/>
      <c r="EG245" s="3"/>
      <c r="EH245" s="3"/>
      <c r="EI245" s="3">
        <v>1</v>
      </c>
      <c r="FF245" s="3"/>
      <c r="FG245" s="3"/>
      <c r="FH245" s="3"/>
      <c r="FI245" s="3"/>
      <c r="FJ245" s="3"/>
      <c r="FK245" s="3"/>
      <c r="FL245" s="3">
        <v>1</v>
      </c>
      <c r="FM245" s="3"/>
      <c r="FN245" s="3"/>
      <c r="FO245" s="3"/>
      <c r="FP245" s="3"/>
      <c r="FQ245" s="3">
        <v>1</v>
      </c>
      <c r="FR245" s="3">
        <v>1</v>
      </c>
      <c r="FS245" s="3"/>
      <c r="FT245" s="3"/>
      <c r="FU245" s="3"/>
      <c r="FV245" s="3">
        <v>1</v>
      </c>
    </row>
    <row r="246" spans="1:188" ht="16" x14ac:dyDescent="0.2">
      <c r="A246" s="35">
        <v>43885</v>
      </c>
      <c r="B246" s="3" t="s">
        <v>233</v>
      </c>
      <c r="C246" s="4">
        <v>21.066799</v>
      </c>
      <c r="D246" s="3">
        <v>-156.804993</v>
      </c>
      <c r="E246" s="3" t="s">
        <v>286</v>
      </c>
      <c r="F246" s="34">
        <v>0.47569444444444398</v>
      </c>
      <c r="G246" s="34">
        <v>0.51041666666666663</v>
      </c>
      <c r="H246" s="3">
        <v>5</v>
      </c>
      <c r="I246" s="3">
        <v>25</v>
      </c>
      <c r="J246" s="3" t="s">
        <v>198</v>
      </c>
      <c r="K246" s="3">
        <v>7</v>
      </c>
      <c r="L246" s="3">
        <v>28</v>
      </c>
      <c r="M246" s="3" t="s">
        <v>516</v>
      </c>
      <c r="N246" s="3"/>
      <c r="O246" s="3">
        <v>28</v>
      </c>
      <c r="Q246" s="3">
        <v>1</v>
      </c>
      <c r="AE246" s="3"/>
      <c r="AF246" s="3"/>
      <c r="AG246" s="3"/>
      <c r="AH246" s="3"/>
      <c r="AI246" s="3"/>
      <c r="AJ246" s="3"/>
      <c r="AK246" s="3"/>
      <c r="AL246" s="3"/>
      <c r="AM246" s="3">
        <v>1</v>
      </c>
      <c r="BE246" s="3"/>
      <c r="BF246" s="3"/>
      <c r="BG246" s="3"/>
      <c r="BH246" s="3"/>
      <c r="BI246" s="3"/>
      <c r="BJ246" s="3"/>
      <c r="BK246" s="3"/>
      <c r="BL246" s="3">
        <v>1</v>
      </c>
      <c r="BM246" s="3"/>
      <c r="BN246" s="3"/>
      <c r="BO246" s="3"/>
      <c r="BP246" s="3"/>
      <c r="BQ246" s="3"/>
      <c r="BR246" s="3"/>
      <c r="BS246" s="3"/>
      <c r="BT246" s="3"/>
      <c r="BU246" s="3">
        <v>1</v>
      </c>
      <c r="BV246" s="3"/>
      <c r="BX246" s="3"/>
      <c r="BY246" s="3">
        <v>1</v>
      </c>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v>1</v>
      </c>
      <c r="DG246" s="3"/>
      <c r="DH246" s="3"/>
      <c r="DI246" s="3"/>
      <c r="DJ246" s="3"/>
      <c r="DK246" s="3"/>
      <c r="DL246" s="3">
        <v>1</v>
      </c>
      <c r="DM246" s="3"/>
      <c r="DN246" s="3"/>
      <c r="DO246" s="3"/>
      <c r="DP246" s="3"/>
      <c r="DQ246" s="3"/>
      <c r="DR246" s="3"/>
      <c r="DS246" s="3"/>
      <c r="DT246" s="3"/>
      <c r="DU246" s="3"/>
      <c r="DV246" s="3"/>
      <c r="DW246" s="3"/>
      <c r="DX246" s="3"/>
      <c r="DY246" s="3"/>
      <c r="DZ246" s="3"/>
      <c r="EA246" s="3"/>
      <c r="EB246" s="3"/>
      <c r="EC246" s="3"/>
      <c r="ED246" s="3"/>
      <c r="EE246" s="3"/>
      <c r="EF246" s="3"/>
      <c r="EG246" s="3"/>
      <c r="EH246" s="3"/>
      <c r="EI246" s="3">
        <v>1</v>
      </c>
      <c r="EJ246" s="3"/>
      <c r="EK246" s="3"/>
      <c r="EL246" s="3"/>
      <c r="EM246" s="3"/>
      <c r="EN246" s="3"/>
      <c r="EO246" s="3"/>
      <c r="EP246" s="3"/>
      <c r="EQ246" s="3"/>
      <c r="ER246" s="3"/>
      <c r="ES246" s="3"/>
      <c r="ET246" s="3"/>
      <c r="EU246" s="3"/>
      <c r="EV246" s="3"/>
      <c r="EW246" s="3"/>
      <c r="EX246" s="3"/>
      <c r="EY246" s="3"/>
      <c r="EZ246" s="3"/>
      <c r="FA246" s="3"/>
      <c r="FB246" s="3"/>
      <c r="FC246" s="3"/>
      <c r="FD246" s="3"/>
      <c r="FE246" s="3">
        <v>1</v>
      </c>
      <c r="FF246" s="3"/>
      <c r="FG246" s="3"/>
      <c r="FH246" s="3"/>
      <c r="FI246" s="3"/>
      <c r="FJ246" s="3"/>
      <c r="FK246" s="3"/>
      <c r="FL246" s="3"/>
      <c r="FM246" s="3"/>
      <c r="FN246" s="3"/>
      <c r="FO246" s="3"/>
      <c r="FP246" s="3"/>
      <c r="FQ246" s="3"/>
      <c r="FR246" s="3">
        <v>1</v>
      </c>
      <c r="FS246" s="3"/>
      <c r="FT246" s="3"/>
      <c r="FU246" s="3"/>
      <c r="FV246" s="3"/>
      <c r="FY246" s="3"/>
      <c r="FZ246" s="3"/>
      <c r="GA246" s="3"/>
      <c r="GB246" s="3"/>
      <c r="GC246" s="3"/>
      <c r="GD246" s="3"/>
      <c r="GE246" s="3"/>
      <c r="GF246" s="3">
        <v>1</v>
      </c>
    </row>
    <row r="247" spans="1:188" ht="16" x14ac:dyDescent="0.2">
      <c r="A247" s="37">
        <v>43893</v>
      </c>
      <c r="B247" s="4" t="s">
        <v>244</v>
      </c>
      <c r="C247" s="30">
        <v>21.310611999999999</v>
      </c>
      <c r="D247" s="30">
        <v>-158.00441000000001</v>
      </c>
      <c r="E247" s="4" t="s">
        <v>326</v>
      </c>
      <c r="F247" s="38">
        <v>0.39583333333333298</v>
      </c>
      <c r="G247" s="38">
        <v>0.45833333333333298</v>
      </c>
      <c r="H247" s="30">
        <v>5</v>
      </c>
      <c r="I247" s="30">
        <v>8</v>
      </c>
      <c r="J247" s="4" t="s">
        <v>318</v>
      </c>
      <c r="K247" s="30">
        <v>4</v>
      </c>
      <c r="L247" s="3">
        <v>9</v>
      </c>
      <c r="M247" s="3" t="s">
        <v>518</v>
      </c>
      <c r="N247" s="3"/>
      <c r="O247" s="3">
        <v>9</v>
      </c>
      <c r="P247" s="3" t="s">
        <v>519</v>
      </c>
      <c r="Q247" s="3">
        <v>1</v>
      </c>
      <c r="R247" s="3"/>
      <c r="S247" s="3"/>
      <c r="T247" s="3"/>
      <c r="U247" s="3"/>
      <c r="V247" s="3"/>
      <c r="W247" s="3"/>
      <c r="X247" s="3"/>
      <c r="Y247" s="3"/>
      <c r="Z247" s="3"/>
      <c r="AA247" s="3"/>
      <c r="AB247" s="3"/>
      <c r="AC247" s="3"/>
      <c r="AD247" s="3">
        <v>1</v>
      </c>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v>1</v>
      </c>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v>1</v>
      </c>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v>1</v>
      </c>
    </row>
    <row r="248" spans="1:188" ht="16" x14ac:dyDescent="0.2">
      <c r="A248" s="37">
        <v>43901</v>
      </c>
      <c r="B248" s="4" t="s">
        <v>456</v>
      </c>
      <c r="C248" s="30">
        <v>21.316488</v>
      </c>
      <c r="D248" s="30">
        <v>-157.66426100000001</v>
      </c>
      <c r="E248" s="4" t="s">
        <v>469</v>
      </c>
      <c r="F248" s="38">
        <v>0.375694444444444</v>
      </c>
      <c r="G248" s="38">
        <v>0.41666666666666702</v>
      </c>
      <c r="H248" s="30">
        <v>5</v>
      </c>
      <c r="I248" s="30">
        <v>40</v>
      </c>
      <c r="J248" s="4" t="s">
        <v>470</v>
      </c>
      <c r="K248" s="30">
        <v>5</v>
      </c>
      <c r="L248" s="3">
        <v>25</v>
      </c>
      <c r="M248" s="3"/>
      <c r="N248" s="3"/>
      <c r="O248" s="3">
        <v>25</v>
      </c>
      <c r="P248" s="3" t="s">
        <v>521</v>
      </c>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v>1</v>
      </c>
      <c r="BM248" s="3"/>
      <c r="BN248" s="3"/>
      <c r="BO248" s="3"/>
      <c r="BP248" s="3"/>
      <c r="BQ248" s="3"/>
      <c r="BR248" s="3"/>
      <c r="BS248" s="3"/>
      <c r="BT248" s="3"/>
      <c r="BU248" s="3"/>
      <c r="BV248" s="3"/>
      <c r="BW248" s="3"/>
      <c r="BX248" s="3"/>
      <c r="BY248" s="3"/>
      <c r="BZ248" s="3"/>
      <c r="CA248" s="3"/>
      <c r="CB248" s="3">
        <v>1</v>
      </c>
      <c r="CC248" s="3"/>
      <c r="CD248" s="3"/>
      <c r="CE248" s="3"/>
      <c r="CF248" s="3"/>
      <c r="CG248" s="3">
        <v>1</v>
      </c>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v>1</v>
      </c>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v>1</v>
      </c>
      <c r="FS248" s="3"/>
      <c r="FT248" s="3"/>
      <c r="FU248" s="3"/>
      <c r="FV248" s="3"/>
      <c r="FY248" s="3"/>
      <c r="FZ248" s="3"/>
      <c r="GA248" s="3"/>
      <c r="GB248" s="3"/>
      <c r="GC248" s="3"/>
      <c r="GD248" s="3"/>
      <c r="GE248" s="3"/>
      <c r="GF248" s="3"/>
    </row>
    <row r="249" spans="1:188" ht="13" x14ac:dyDescent="0.15">
      <c r="A249" s="19">
        <v>43902</v>
      </c>
      <c r="B249" s="20" t="s">
        <v>456</v>
      </c>
      <c r="C249" s="20">
        <v>21.316488</v>
      </c>
      <c r="D249" s="20">
        <v>-157.66426100000001</v>
      </c>
      <c r="E249" s="20" t="s">
        <v>607</v>
      </c>
      <c r="F249" s="21">
        <v>0.41666666666666669</v>
      </c>
      <c r="G249" s="21">
        <v>0.48958333333333331</v>
      </c>
      <c r="H249" s="20">
        <v>3</v>
      </c>
      <c r="I249" s="20">
        <v>10</v>
      </c>
      <c r="J249" s="20" t="s">
        <v>227</v>
      </c>
      <c r="K249" s="20">
        <v>10</v>
      </c>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0"/>
      <c r="DG249" s="20"/>
      <c r="DH249" s="20"/>
      <c r="DI249" s="20"/>
      <c r="DJ249" s="20"/>
      <c r="DK249" s="20"/>
      <c r="DL249" s="20"/>
      <c r="DM249" s="20"/>
      <c r="DN249" s="20"/>
      <c r="DO249" s="20"/>
      <c r="DP249" s="20"/>
      <c r="DQ249" s="20"/>
      <c r="DR249" s="20"/>
      <c r="DS249" s="20"/>
      <c r="DT249" s="20"/>
      <c r="DU249" s="20"/>
      <c r="DV249" s="20"/>
      <c r="DW249" s="20"/>
      <c r="DX249" s="20"/>
      <c r="DY249" s="20"/>
      <c r="DZ249" s="20"/>
      <c r="EA249" s="20"/>
      <c r="EB249" s="20"/>
      <c r="EC249" s="20"/>
      <c r="ED249" s="20"/>
      <c r="EE249" s="20"/>
      <c r="EF249" s="20"/>
      <c r="EG249" s="20"/>
      <c r="EH249" s="20"/>
      <c r="EI249" s="20"/>
      <c r="EJ249" s="20"/>
      <c r="EK249" s="20"/>
      <c r="EL249" s="20"/>
      <c r="EM249" s="20"/>
      <c r="EN249" s="20"/>
      <c r="EO249" s="20"/>
      <c r="EP249" s="20"/>
      <c r="EQ249" s="20"/>
      <c r="ER249" s="20"/>
      <c r="ES249" s="20"/>
      <c r="ET249" s="20"/>
      <c r="EU249" s="20"/>
      <c r="EV249" s="20"/>
      <c r="EW249" s="20"/>
      <c r="EX249" s="20"/>
      <c r="EY249" s="20"/>
      <c r="EZ249" s="20"/>
      <c r="FA249" s="20"/>
      <c r="FB249" s="20"/>
      <c r="FC249" s="20"/>
      <c r="FD249" s="20"/>
      <c r="FE249" s="20"/>
      <c r="FF249" s="20"/>
      <c r="FG249" s="20"/>
      <c r="FH249" s="20"/>
      <c r="FI249" s="20"/>
      <c r="FJ249" s="20"/>
      <c r="FK249" s="20"/>
      <c r="FL249" s="20"/>
      <c r="FM249" s="20"/>
      <c r="FN249" s="20"/>
      <c r="FO249" s="20"/>
      <c r="FP249" s="20"/>
      <c r="FQ249" s="20"/>
      <c r="FR249" s="20"/>
      <c r="FS249" s="20"/>
      <c r="FT249" s="20"/>
      <c r="FU249" s="20"/>
      <c r="FV249" s="20"/>
      <c r="FW249" s="20"/>
      <c r="FX249" s="20"/>
      <c r="FY249" s="20"/>
      <c r="FZ249" s="20"/>
      <c r="GA249" s="20"/>
      <c r="GB249" s="20"/>
      <c r="GC249" s="20"/>
      <c r="GD249" s="20"/>
      <c r="GE249" s="20"/>
      <c r="GF249"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U18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2.6640625" defaultRowHeight="15.75" customHeight="1" x14ac:dyDescent="0.15"/>
  <cols>
    <col min="1" max="1" width="9.6640625" customWidth="1"/>
    <col min="2" max="2" width="17.83203125" customWidth="1"/>
    <col min="5" max="5" width="28.5" customWidth="1"/>
    <col min="6" max="6" width="10.1640625" customWidth="1"/>
    <col min="7" max="7" width="9.83203125" customWidth="1"/>
    <col min="8" max="8" width="8.33203125" customWidth="1"/>
    <col min="9" max="9" width="13.5" customWidth="1"/>
    <col min="10" max="10" width="9.5" customWidth="1"/>
    <col min="11" max="11" width="13.1640625" customWidth="1"/>
    <col min="12" max="12" width="21.1640625" customWidth="1"/>
    <col min="13" max="13" width="16.1640625" customWidth="1"/>
    <col min="15" max="15" width="16" customWidth="1"/>
    <col min="17" max="17" width="20.6640625" customWidth="1"/>
    <col min="18" max="19" width="19.1640625" customWidth="1"/>
    <col min="20" max="29" width="24.6640625" customWidth="1"/>
    <col min="30" max="30" width="21.33203125" customWidth="1"/>
    <col min="31" max="31" width="13.1640625" customWidth="1"/>
    <col min="32" max="32" width="13.33203125" customWidth="1"/>
    <col min="33" max="33" width="16.6640625" customWidth="1"/>
    <col min="34" max="34" width="17.6640625" customWidth="1"/>
    <col min="35" max="36" width="21.1640625" customWidth="1"/>
    <col min="37" max="38" width="13.33203125" customWidth="1"/>
    <col min="39" max="39" width="11.1640625" customWidth="1"/>
    <col min="40" max="41" width="17.33203125" customWidth="1"/>
    <col min="42" max="44" width="20" customWidth="1"/>
    <col min="45" max="47" width="17.1640625" customWidth="1"/>
    <col min="48" max="49" width="20.5" customWidth="1"/>
    <col min="50" max="51" width="17.1640625" customWidth="1"/>
    <col min="52" max="53" width="28.33203125" customWidth="1"/>
    <col min="54" max="54" width="17.1640625" customWidth="1"/>
    <col min="55" max="55" width="14.33203125" customWidth="1"/>
    <col min="56" max="56" width="11.33203125" customWidth="1"/>
    <col min="57" max="64" width="21" customWidth="1"/>
    <col min="65" max="67" width="16.33203125" customWidth="1"/>
    <col min="68" max="68" width="19" customWidth="1"/>
    <col min="69" max="69" width="20" customWidth="1"/>
    <col min="70" max="72" width="20.6640625" customWidth="1"/>
    <col min="73" max="73" width="16.33203125" customWidth="1"/>
    <col min="74" max="74" width="23.1640625" customWidth="1"/>
    <col min="75" max="75" width="18.6640625" customWidth="1"/>
    <col min="76" max="76" width="17.6640625" customWidth="1"/>
    <col min="77" max="77" width="11.1640625" customWidth="1"/>
    <col min="78" max="79" width="20.6640625" customWidth="1"/>
    <col min="80" max="80" width="18.6640625" customWidth="1"/>
    <col min="81" max="81" width="19" customWidth="1"/>
    <col min="82" max="85" width="12.6640625" customWidth="1"/>
    <col min="86" max="86" width="19.5" customWidth="1"/>
    <col min="87" max="92" width="16.5" customWidth="1"/>
    <col min="93" max="93" width="18.5" customWidth="1"/>
    <col min="94" max="96" width="16.5" customWidth="1"/>
    <col min="97" max="97" width="19.1640625" customWidth="1"/>
    <col min="99" max="99" width="13" customWidth="1"/>
    <col min="100" max="100" width="20.1640625" customWidth="1"/>
    <col min="101" max="103" width="16.6640625" customWidth="1"/>
    <col min="104" max="104" width="13" customWidth="1"/>
    <col min="105" max="106" width="19" customWidth="1"/>
    <col min="107" max="108" width="15.6640625" customWidth="1"/>
    <col min="109" max="109" width="16.5" customWidth="1"/>
    <col min="110" max="110" width="10.5" customWidth="1"/>
    <col min="111" max="113" width="20.6640625" customWidth="1"/>
    <col min="114" max="114" width="13.6640625" customWidth="1"/>
    <col min="115" max="115" width="21.5" customWidth="1"/>
    <col min="116" max="116" width="12.1640625" customWidth="1"/>
    <col min="117" max="117" width="18.83203125" customWidth="1"/>
    <col min="118" max="119" width="15.1640625" customWidth="1"/>
    <col min="120" max="120" width="17.5" customWidth="1"/>
    <col min="121" max="122" width="15.1640625" customWidth="1"/>
    <col min="123" max="125" width="22.1640625" customWidth="1"/>
    <col min="126" max="126" width="19.5" customWidth="1"/>
    <col min="127" max="127" width="15.5" customWidth="1"/>
    <col min="128" max="129" width="16.33203125" customWidth="1"/>
    <col min="130" max="130" width="10" customWidth="1"/>
    <col min="131" max="132" width="13" customWidth="1"/>
    <col min="133" max="133" width="10" customWidth="1"/>
    <col min="134" max="134" width="12" customWidth="1"/>
    <col min="135" max="135" width="23.5" customWidth="1"/>
    <col min="136" max="138" width="20" customWidth="1"/>
    <col min="139" max="139" width="10" customWidth="1"/>
    <col min="140" max="145" width="18" customWidth="1"/>
    <col min="146" max="147" width="13.6640625" customWidth="1"/>
    <col min="148" max="151" width="21.6640625" customWidth="1"/>
    <col min="152" max="152" width="19.1640625" customWidth="1"/>
    <col min="153" max="153" width="13.6640625" customWidth="1"/>
    <col min="154" max="155" width="17.6640625" customWidth="1"/>
    <col min="156" max="156" width="18.5" customWidth="1"/>
    <col min="157" max="157" width="13.6640625" customWidth="1"/>
    <col min="158" max="158" width="16.33203125" customWidth="1"/>
    <col min="159" max="159" width="22.1640625" customWidth="1"/>
    <col min="160" max="161" width="13.6640625" customWidth="1"/>
    <col min="162" max="162" width="20.1640625" customWidth="1"/>
    <col min="163" max="164" width="17.6640625" customWidth="1"/>
    <col min="165" max="167" width="18.5" customWidth="1"/>
    <col min="168" max="168" width="17.6640625" customWidth="1"/>
    <col min="169" max="172" width="15" customWidth="1"/>
    <col min="173" max="173" width="7.6640625" customWidth="1"/>
    <col min="174" max="175" width="12.1640625" customWidth="1"/>
    <col min="176" max="176" width="12.83203125" customWidth="1"/>
    <col min="177" max="177" width="7.83203125" customWidth="1"/>
    <col min="178" max="178" width="22.6640625" customWidth="1"/>
    <col min="179" max="180" width="15.1640625" customWidth="1"/>
    <col min="181" max="181" width="21" customWidth="1"/>
    <col min="182" max="183" width="15.1640625" customWidth="1"/>
    <col min="184" max="184" width="16.6640625" customWidth="1"/>
    <col min="185" max="186" width="15.1640625" customWidth="1"/>
    <col min="187" max="189" width="22.6640625" customWidth="1"/>
    <col min="190" max="191" width="33.6640625" customWidth="1"/>
    <col min="192" max="192" width="17.1640625" customWidth="1"/>
  </cols>
  <sheetData>
    <row r="1" spans="1:203" ht="16" x14ac:dyDescent="0.2">
      <c r="A1" s="1" t="s">
        <v>2</v>
      </c>
      <c r="B1" s="2"/>
      <c r="D1" s="2"/>
      <c r="E1" s="2"/>
      <c r="F1" s="1"/>
      <c r="G1" s="1"/>
      <c r="H1" s="5" t="s">
        <v>4</v>
      </c>
      <c r="I1" s="1"/>
      <c r="J1" s="1"/>
      <c r="K1" s="1"/>
      <c r="L1" s="1"/>
      <c r="M1" s="1"/>
      <c r="N1" s="1"/>
      <c r="O1" s="1"/>
      <c r="P1" s="1"/>
      <c r="Q1" s="2"/>
      <c r="R1" s="3"/>
      <c r="S1" s="4"/>
      <c r="T1" s="3"/>
      <c r="U1" s="3"/>
      <c r="V1" s="3"/>
      <c r="W1" s="3"/>
      <c r="X1" s="3"/>
      <c r="Y1" s="3"/>
      <c r="Z1" s="3"/>
      <c r="AA1" s="2"/>
      <c r="AB1" s="3"/>
      <c r="AC1" s="4"/>
      <c r="AD1" s="2"/>
      <c r="AE1" s="4"/>
      <c r="AF1" s="4"/>
      <c r="AG1" s="3"/>
      <c r="AH1" s="1"/>
      <c r="AI1" s="3"/>
      <c r="AJ1" s="3"/>
      <c r="AK1" s="3"/>
      <c r="AL1" s="2"/>
      <c r="AM1" s="4"/>
      <c r="AN1" s="3"/>
      <c r="AO1" s="4"/>
      <c r="AP1" s="3"/>
      <c r="AQ1" s="3"/>
      <c r="AR1" s="3"/>
      <c r="AS1" s="3"/>
      <c r="AT1" s="3"/>
      <c r="AU1" s="3"/>
      <c r="AV1" s="3"/>
      <c r="AW1" s="7"/>
      <c r="AX1" s="3"/>
      <c r="AY1" s="3"/>
      <c r="AZ1" s="1"/>
      <c r="BA1" s="1"/>
      <c r="BB1" s="4"/>
      <c r="BC1" s="4"/>
      <c r="BD1" s="2"/>
      <c r="BE1" s="3"/>
      <c r="BF1" s="3"/>
      <c r="BG1" s="3"/>
      <c r="BH1" s="3"/>
      <c r="BI1" s="3"/>
      <c r="BJ1" s="2"/>
      <c r="BK1" s="4"/>
      <c r="BL1" s="2"/>
      <c r="BM1" s="4"/>
      <c r="BN1" s="3"/>
      <c r="BO1" s="4"/>
      <c r="BP1" s="3"/>
      <c r="BQ1" s="4"/>
      <c r="BR1" s="3"/>
      <c r="BS1" s="3"/>
      <c r="BT1" s="3"/>
      <c r="BU1" s="2"/>
      <c r="BV1" s="4"/>
      <c r="BW1" s="3"/>
      <c r="BX1" s="3"/>
      <c r="BY1" s="2"/>
      <c r="BZ1" s="3"/>
      <c r="CA1" s="3"/>
      <c r="CB1" s="2"/>
      <c r="CC1" s="3"/>
      <c r="CD1" s="3"/>
      <c r="CE1" s="3"/>
      <c r="CF1" s="3"/>
      <c r="CG1" s="4"/>
      <c r="CH1" s="3"/>
      <c r="CI1" s="3"/>
      <c r="CJ1" s="3"/>
      <c r="CK1" s="3"/>
      <c r="CL1" s="3"/>
      <c r="CM1" s="3"/>
      <c r="CN1" s="1"/>
      <c r="CO1" s="3"/>
      <c r="CP1" s="3"/>
      <c r="CQ1" s="3"/>
      <c r="CR1" s="1"/>
      <c r="CS1" s="4"/>
      <c r="CT1" s="4"/>
      <c r="CU1" s="3"/>
      <c r="CV1" s="3"/>
      <c r="CW1" s="3"/>
      <c r="CX1" s="3"/>
      <c r="CY1" s="3"/>
      <c r="CZ1" s="4"/>
      <c r="DA1" s="3"/>
      <c r="DB1" s="3"/>
      <c r="DC1" s="3"/>
      <c r="DD1" s="3"/>
      <c r="DE1" s="3"/>
      <c r="DF1" s="2"/>
      <c r="DG1" s="4"/>
      <c r="DH1" s="3"/>
      <c r="DI1" s="4"/>
      <c r="DJ1" s="3"/>
      <c r="DK1" s="4"/>
      <c r="DL1" s="2"/>
      <c r="DM1" s="3"/>
      <c r="DN1" s="3"/>
      <c r="DO1" s="4"/>
      <c r="DP1" s="3"/>
      <c r="DQ1" s="3"/>
      <c r="DR1" s="1"/>
      <c r="DS1" s="3"/>
      <c r="DT1" s="3"/>
      <c r="DU1" s="3"/>
      <c r="DV1" s="3"/>
      <c r="DW1" s="3"/>
      <c r="DX1" s="3"/>
      <c r="DY1" s="4"/>
      <c r="DZ1" s="2"/>
      <c r="EA1" s="3"/>
      <c r="EB1" s="3"/>
      <c r="EC1" s="3"/>
      <c r="ED1" s="3"/>
      <c r="EE1" s="3"/>
      <c r="EF1" s="3"/>
      <c r="EG1" s="3"/>
      <c r="EH1" s="3"/>
      <c r="EI1" s="2"/>
      <c r="EJ1" s="3"/>
      <c r="EK1" s="3"/>
      <c r="EL1" s="3"/>
      <c r="EM1" s="3"/>
      <c r="EN1" s="3"/>
      <c r="EO1" s="3"/>
      <c r="EP1" s="3"/>
      <c r="EQ1" s="3"/>
      <c r="ER1" s="3"/>
      <c r="ES1" s="3"/>
      <c r="ET1" s="3"/>
      <c r="EU1" s="3"/>
      <c r="EV1" s="3"/>
      <c r="EW1" s="3"/>
      <c r="EX1" s="3"/>
      <c r="EY1" s="3"/>
      <c r="EZ1" s="3"/>
      <c r="FA1" s="1"/>
      <c r="FB1" s="3"/>
      <c r="FC1" s="3"/>
      <c r="FD1" s="4"/>
      <c r="FE1" s="4"/>
      <c r="FF1" s="3"/>
      <c r="FG1" s="3"/>
      <c r="FH1" s="1"/>
      <c r="FI1" s="3"/>
      <c r="FJ1" s="4"/>
      <c r="FK1" s="4"/>
      <c r="FL1" s="2"/>
      <c r="FM1" s="3"/>
      <c r="FN1" s="3"/>
      <c r="FO1" s="3"/>
      <c r="FP1" s="2"/>
      <c r="FQ1" s="2"/>
      <c r="FR1" s="3"/>
      <c r="FS1" s="3"/>
      <c r="FT1" s="3"/>
      <c r="FU1" s="4"/>
      <c r="FV1" s="3"/>
      <c r="FW1" s="3"/>
      <c r="FX1" s="3"/>
      <c r="FY1" s="3"/>
      <c r="FZ1" s="3"/>
      <c r="GA1" s="3"/>
      <c r="GB1" s="3"/>
      <c r="GC1" s="4"/>
      <c r="GD1" s="4"/>
      <c r="GE1" s="4"/>
      <c r="GF1" s="4"/>
      <c r="GG1" s="4"/>
      <c r="GH1" s="4"/>
      <c r="GI1" s="4"/>
      <c r="GJ1" s="3"/>
      <c r="GK1" s="3"/>
      <c r="GL1" s="1"/>
      <c r="GM1" s="1"/>
      <c r="GN1" s="1"/>
      <c r="GO1" s="1"/>
      <c r="GP1" s="1"/>
      <c r="GQ1" s="1"/>
      <c r="GR1" s="1"/>
      <c r="GS1" s="1"/>
      <c r="GT1" s="1"/>
      <c r="GU1" s="1"/>
    </row>
    <row r="2" spans="1:203" ht="16" x14ac:dyDescent="0.2">
      <c r="A2" s="1" t="s">
        <v>6</v>
      </c>
      <c r="B2" s="2" t="s">
        <v>7</v>
      </c>
      <c r="C2" s="2" t="s">
        <v>8</v>
      </c>
      <c r="D2" s="2" t="s">
        <v>9</v>
      </c>
      <c r="E2" s="2" t="s">
        <v>10</v>
      </c>
      <c r="F2" s="1" t="s">
        <v>11</v>
      </c>
      <c r="G2" s="1" t="s">
        <v>12</v>
      </c>
      <c r="H2" s="1" t="s">
        <v>13</v>
      </c>
      <c r="I2" s="1" t="s">
        <v>14</v>
      </c>
      <c r="J2" s="1" t="s">
        <v>15</v>
      </c>
      <c r="K2" s="1" t="s">
        <v>16</v>
      </c>
      <c r="L2" s="1" t="s">
        <v>17</v>
      </c>
      <c r="M2" s="1" t="s">
        <v>18</v>
      </c>
      <c r="N2" s="1" t="s">
        <v>27</v>
      </c>
      <c r="O2" s="1" t="s">
        <v>28</v>
      </c>
      <c r="P2" s="1" t="s">
        <v>20</v>
      </c>
      <c r="Q2" s="2" t="s">
        <v>21</v>
      </c>
      <c r="R2" s="3" t="s">
        <v>22</v>
      </c>
      <c r="S2" s="4" t="s">
        <v>23</v>
      </c>
      <c r="T2" s="3" t="s">
        <v>24</v>
      </c>
      <c r="U2" s="8" t="s">
        <v>25</v>
      </c>
      <c r="V2" s="8" t="s">
        <v>29</v>
      </c>
      <c r="W2" s="8" t="s">
        <v>30</v>
      </c>
      <c r="X2" s="3" t="s">
        <v>31</v>
      </c>
      <c r="Y2" s="3" t="s">
        <v>32</v>
      </c>
      <c r="Z2" s="8" t="s">
        <v>33</v>
      </c>
      <c r="AA2" s="2" t="s">
        <v>34</v>
      </c>
      <c r="AB2" s="3" t="s">
        <v>35</v>
      </c>
      <c r="AC2" s="4" t="s">
        <v>36</v>
      </c>
      <c r="AD2" s="2" t="s">
        <v>37</v>
      </c>
      <c r="AE2" s="4" t="s">
        <v>38</v>
      </c>
      <c r="AF2" s="4" t="s">
        <v>39</v>
      </c>
      <c r="AG2" s="8" t="s">
        <v>40</v>
      </c>
      <c r="AH2" s="1" t="s">
        <v>41</v>
      </c>
      <c r="AI2" s="3" t="s">
        <v>42</v>
      </c>
      <c r="AJ2" s="8" t="s">
        <v>43</v>
      </c>
      <c r="AK2" s="3" t="s">
        <v>44</v>
      </c>
      <c r="AL2" s="2" t="s">
        <v>45</v>
      </c>
      <c r="AM2" s="4" t="s">
        <v>46</v>
      </c>
      <c r="AN2" s="8" t="s">
        <v>47</v>
      </c>
      <c r="AO2" s="4" t="s">
        <v>48</v>
      </c>
      <c r="AP2" s="3" t="s">
        <v>49</v>
      </c>
      <c r="AQ2" s="3" t="s">
        <v>50</v>
      </c>
      <c r="AR2" s="3" t="s">
        <v>51</v>
      </c>
      <c r="AS2" s="3" t="s">
        <v>52</v>
      </c>
      <c r="AT2" s="8" t="s">
        <v>53</v>
      </c>
      <c r="AU2" s="8" t="s">
        <v>54</v>
      </c>
      <c r="AV2" s="8" t="s">
        <v>55</v>
      </c>
      <c r="AW2" s="9" t="s">
        <v>56</v>
      </c>
      <c r="AX2" s="8" t="s">
        <v>57</v>
      </c>
      <c r="AY2" s="8" t="s">
        <v>58</v>
      </c>
      <c r="AZ2" s="10" t="s">
        <v>59</v>
      </c>
      <c r="BA2" s="10" t="s">
        <v>60</v>
      </c>
      <c r="BB2" s="4" t="s">
        <v>61</v>
      </c>
      <c r="BC2" s="4" t="s">
        <v>62</v>
      </c>
      <c r="BD2" s="2" t="s">
        <v>63</v>
      </c>
      <c r="BE2" s="3" t="s">
        <v>64</v>
      </c>
      <c r="BF2" s="8" t="s">
        <v>65</v>
      </c>
      <c r="BG2" s="3" t="s">
        <v>66</v>
      </c>
      <c r="BH2" s="8" t="s">
        <v>67</v>
      </c>
      <c r="BI2" s="8" t="s">
        <v>68</v>
      </c>
      <c r="BJ2" s="2" t="s">
        <v>69</v>
      </c>
      <c r="BK2" s="4" t="s">
        <v>70</v>
      </c>
      <c r="BL2" s="2" t="s">
        <v>71</v>
      </c>
      <c r="BM2" s="4" t="s">
        <v>73</v>
      </c>
      <c r="BN2" s="8" t="s">
        <v>74</v>
      </c>
      <c r="BO2" s="4" t="s">
        <v>75</v>
      </c>
      <c r="BP2" s="3" t="s">
        <v>76</v>
      </c>
      <c r="BQ2" s="4" t="s">
        <v>77</v>
      </c>
      <c r="BR2" s="3" t="s">
        <v>78</v>
      </c>
      <c r="BS2" s="8" t="s">
        <v>79</v>
      </c>
      <c r="BT2" s="3" t="s">
        <v>80</v>
      </c>
      <c r="BU2" s="11" t="s">
        <v>81</v>
      </c>
      <c r="BV2" s="4" t="s">
        <v>82</v>
      </c>
      <c r="BW2" s="3" t="s">
        <v>83</v>
      </c>
      <c r="BX2" s="3" t="s">
        <v>84</v>
      </c>
      <c r="BY2" s="2" t="s">
        <v>85</v>
      </c>
      <c r="BZ2" s="3" t="s">
        <v>86</v>
      </c>
      <c r="CA2" s="3" t="s">
        <v>87</v>
      </c>
      <c r="CB2" s="2" t="s">
        <v>88</v>
      </c>
      <c r="CC2" s="8" t="s">
        <v>89</v>
      </c>
      <c r="CD2" s="8" t="s">
        <v>90</v>
      </c>
      <c r="CE2" s="3" t="s">
        <v>91</v>
      </c>
      <c r="CF2" s="8" t="s">
        <v>92</v>
      </c>
      <c r="CG2" s="4" t="s">
        <v>93</v>
      </c>
      <c r="CH2" s="3" t="s">
        <v>94</v>
      </c>
      <c r="CI2" s="8" t="s">
        <v>95</v>
      </c>
      <c r="CJ2" s="3" t="s">
        <v>96</v>
      </c>
      <c r="CK2" s="3" t="s">
        <v>97</v>
      </c>
      <c r="CL2" s="8" t="s">
        <v>98</v>
      </c>
      <c r="CM2" s="3" t="s">
        <v>99</v>
      </c>
      <c r="CN2" s="1" t="s">
        <v>100</v>
      </c>
      <c r="CO2" s="8" t="s">
        <v>101</v>
      </c>
      <c r="CP2" s="8" t="s">
        <v>102</v>
      </c>
      <c r="CQ2" s="3" t="s">
        <v>103</v>
      </c>
      <c r="CR2" s="1" t="s">
        <v>104</v>
      </c>
      <c r="CS2" s="4" t="s">
        <v>105</v>
      </c>
      <c r="CT2" s="4" t="s">
        <v>106</v>
      </c>
      <c r="CU2" s="8" t="s">
        <v>107</v>
      </c>
      <c r="CV2" s="8" t="s">
        <v>108</v>
      </c>
      <c r="CW2" s="8" t="s">
        <v>109</v>
      </c>
      <c r="CX2" s="8" t="s">
        <v>110</v>
      </c>
      <c r="CY2" s="8" t="s">
        <v>111</v>
      </c>
      <c r="CZ2" s="4" t="s">
        <v>112</v>
      </c>
      <c r="DA2" s="8" t="s">
        <v>113</v>
      </c>
      <c r="DB2" s="3" t="s">
        <v>114</v>
      </c>
      <c r="DC2" s="8" t="s">
        <v>115</v>
      </c>
      <c r="DD2" s="8" t="s">
        <v>116</v>
      </c>
      <c r="DE2" s="3" t="s">
        <v>117</v>
      </c>
      <c r="DF2" s="2" t="s">
        <v>118</v>
      </c>
      <c r="DG2" s="4" t="s">
        <v>119</v>
      </c>
      <c r="DH2" s="3" t="s">
        <v>120</v>
      </c>
      <c r="DI2" s="4" t="s">
        <v>121</v>
      </c>
      <c r="DJ2" s="8" t="s">
        <v>122</v>
      </c>
      <c r="DK2" s="4" t="s">
        <v>123</v>
      </c>
      <c r="DL2" s="2" t="s">
        <v>124</v>
      </c>
      <c r="DM2" s="3" t="s">
        <v>125</v>
      </c>
      <c r="DN2" s="3" t="s">
        <v>126</v>
      </c>
      <c r="DO2" s="4" t="s">
        <v>127</v>
      </c>
      <c r="DP2" s="3" t="s">
        <v>128</v>
      </c>
      <c r="DQ2" s="3" t="s">
        <v>129</v>
      </c>
      <c r="DR2" s="1" t="s">
        <v>130</v>
      </c>
      <c r="DS2" s="8" t="s">
        <v>131</v>
      </c>
      <c r="DT2" s="8" t="s">
        <v>132</v>
      </c>
      <c r="DU2" s="3" t="s">
        <v>133</v>
      </c>
      <c r="DV2" s="8" t="s">
        <v>134</v>
      </c>
      <c r="DW2" s="3" t="s">
        <v>135</v>
      </c>
      <c r="DX2" s="3" t="s">
        <v>136</v>
      </c>
      <c r="DY2" s="4" t="s">
        <v>137</v>
      </c>
      <c r="DZ2" s="2" t="s">
        <v>138</v>
      </c>
      <c r="EA2" s="8" t="s">
        <v>139</v>
      </c>
      <c r="EB2" s="8" t="s">
        <v>140</v>
      </c>
      <c r="EC2" s="3" t="s">
        <v>141</v>
      </c>
      <c r="ED2" s="8" t="s">
        <v>142</v>
      </c>
      <c r="EE2" s="8" t="s">
        <v>143</v>
      </c>
      <c r="EF2" s="8" t="s">
        <v>146</v>
      </c>
      <c r="EG2" s="8" t="s">
        <v>144</v>
      </c>
      <c r="EH2" s="3" t="s">
        <v>145</v>
      </c>
      <c r="EI2" s="2" t="s">
        <v>147</v>
      </c>
      <c r="EJ2" s="8" t="s">
        <v>148</v>
      </c>
      <c r="EK2" s="8" t="s">
        <v>149</v>
      </c>
      <c r="EL2" s="3" t="s">
        <v>150</v>
      </c>
      <c r="EM2" s="3" t="s">
        <v>151</v>
      </c>
      <c r="EN2" s="8" t="s">
        <v>152</v>
      </c>
      <c r="EO2" s="3" t="s">
        <v>153</v>
      </c>
      <c r="EP2" s="3" t="s">
        <v>154</v>
      </c>
      <c r="EQ2" s="3" t="s">
        <v>155</v>
      </c>
      <c r="ER2" s="8" t="s">
        <v>156</v>
      </c>
      <c r="ES2" s="8" t="s">
        <v>157</v>
      </c>
      <c r="ET2" s="8" t="s">
        <v>158</v>
      </c>
      <c r="EU2" s="3" t="s">
        <v>159</v>
      </c>
      <c r="EV2" s="3" t="s">
        <v>160</v>
      </c>
      <c r="EW2" s="3" t="s">
        <v>161</v>
      </c>
      <c r="EX2" s="8" t="s">
        <v>162</v>
      </c>
      <c r="EY2" s="3" t="s">
        <v>163</v>
      </c>
      <c r="EZ2" s="3" t="s">
        <v>164</v>
      </c>
      <c r="FA2" s="1" t="s">
        <v>165</v>
      </c>
      <c r="FB2" s="3" t="s">
        <v>166</v>
      </c>
      <c r="FC2" s="8" t="s">
        <v>167</v>
      </c>
      <c r="FD2" s="4" t="s">
        <v>200</v>
      </c>
      <c r="FE2" s="12" t="s">
        <v>169</v>
      </c>
      <c r="FF2" s="3" t="s">
        <v>170</v>
      </c>
      <c r="FG2" s="3" t="s">
        <v>171</v>
      </c>
      <c r="FH2" s="1" t="s">
        <v>172</v>
      </c>
      <c r="FI2" s="8" t="s">
        <v>173</v>
      </c>
      <c r="FJ2" s="4" t="s">
        <v>174</v>
      </c>
      <c r="FK2" s="4" t="s">
        <v>175</v>
      </c>
      <c r="FL2" s="2" t="s">
        <v>176</v>
      </c>
      <c r="FM2" s="3" t="s">
        <v>177</v>
      </c>
      <c r="FN2" s="3" t="s">
        <v>178</v>
      </c>
      <c r="FO2" s="8" t="s">
        <v>179</v>
      </c>
      <c r="FP2" s="2" t="s">
        <v>180</v>
      </c>
      <c r="FQ2" s="2" t="s">
        <v>181</v>
      </c>
      <c r="FR2" s="3" t="s">
        <v>182</v>
      </c>
      <c r="FS2" s="3" t="s">
        <v>183</v>
      </c>
      <c r="FT2" s="8" t="s">
        <v>184</v>
      </c>
      <c r="FU2" s="4" t="s">
        <v>185</v>
      </c>
      <c r="FV2" s="3" t="s">
        <v>194</v>
      </c>
      <c r="FW2" s="3" t="s">
        <v>186</v>
      </c>
      <c r="FX2" s="3" t="s">
        <v>187</v>
      </c>
      <c r="FY2" s="8" t="s">
        <v>188</v>
      </c>
      <c r="FZ2" s="3" t="s">
        <v>189</v>
      </c>
      <c r="GA2" s="3" t="s">
        <v>190</v>
      </c>
      <c r="GB2" s="8" t="s">
        <v>191</v>
      </c>
      <c r="GC2" s="4" t="s">
        <v>192</v>
      </c>
      <c r="GD2" s="12" t="s">
        <v>193</v>
      </c>
      <c r="GE2" s="4" t="s">
        <v>195</v>
      </c>
      <c r="GF2" s="4" t="s">
        <v>207</v>
      </c>
      <c r="GG2" s="4" t="s">
        <v>208</v>
      </c>
      <c r="GH2" s="4" t="s">
        <v>209</v>
      </c>
      <c r="GI2" s="4" t="s">
        <v>210</v>
      </c>
      <c r="GJ2" s="3" t="s">
        <v>211</v>
      </c>
      <c r="GK2" s="3" t="s">
        <v>213</v>
      </c>
      <c r="GL2" s="1"/>
      <c r="GM2" s="1"/>
      <c r="GN2" s="1"/>
      <c r="GO2" s="1"/>
      <c r="GP2" s="1"/>
      <c r="GQ2" s="1"/>
      <c r="GR2" s="1"/>
      <c r="GS2" s="1"/>
      <c r="GT2" s="1"/>
      <c r="GU2" s="1"/>
    </row>
    <row r="3" spans="1:203" ht="16" x14ac:dyDescent="0.2">
      <c r="A3" s="13">
        <v>38018</v>
      </c>
      <c r="B3" s="3" t="s">
        <v>196</v>
      </c>
      <c r="C3" s="3">
        <v>21.559277999999999</v>
      </c>
      <c r="D3" s="3">
        <v>-157.87190200000001</v>
      </c>
      <c r="E3" s="3" t="s">
        <v>197</v>
      </c>
      <c r="F3" s="14">
        <v>0</v>
      </c>
      <c r="G3" s="14">
        <v>4.1666666666666664E-2</v>
      </c>
      <c r="H3" s="3">
        <v>6</v>
      </c>
      <c r="I3" s="3">
        <v>10</v>
      </c>
      <c r="J3" s="3" t="s">
        <v>198</v>
      </c>
      <c r="K3" s="3">
        <v>11</v>
      </c>
      <c r="L3" s="3">
        <v>22</v>
      </c>
      <c r="M3" s="3" t="s">
        <v>199</v>
      </c>
      <c r="O3" s="3">
        <v>22</v>
      </c>
      <c r="Q3" s="3">
        <v>23</v>
      </c>
      <c r="AC3" s="3">
        <v>15</v>
      </c>
      <c r="AE3" s="3">
        <v>15</v>
      </c>
      <c r="AJ3" s="3">
        <v>11</v>
      </c>
      <c r="BL3" s="3">
        <v>6</v>
      </c>
      <c r="DO3" s="3">
        <v>1</v>
      </c>
      <c r="EC3" s="3">
        <v>8</v>
      </c>
      <c r="FA3" s="3">
        <v>15</v>
      </c>
      <c r="FQ3" s="3">
        <v>54</v>
      </c>
      <c r="FR3" s="3">
        <v>1</v>
      </c>
      <c r="GC3" s="3">
        <v>17</v>
      </c>
      <c r="GE3" s="3">
        <f t="shared" ref="GE3:GE181" si="0">COUNT(Q3:GD3)</f>
        <v>11</v>
      </c>
      <c r="GF3" s="3">
        <f t="shared" ref="GF3:GF181" si="1">COUNTIF(Q3:GD3,"&gt;=2")</f>
        <v>9</v>
      </c>
      <c r="GG3" s="3">
        <f t="shared" ref="GG3:GG181" si="2">COUNTIF(Q3:GD3,"&gt;=5")</f>
        <v>9</v>
      </c>
      <c r="GH3" s="3">
        <f t="shared" ref="GH3:GH181" si="3">1-((Q3*(Q3-1)+R3*(R3-1)+S3*(S3-1)+T3*(T3-1)+U3*(U3-1)+V3*(V3-1)+W3*(W3-1)+X3*(X3-1)+Y3*(Y3-1)+Z3*(Z3-1)+AA3*(AA3-1)+AB3*(AB3-1)+AC3*(AC3-1)+AD3*(AD3-1)+AE3*(AE3-1)+AF3*(AF3-1)+AG3*(AG3-1)+AH3*(AH3-1)+AI3*(AI3-1)+AJ3*(AJ3-1)+AK3*(AK3-1)+AL3*(AL3-1)+AM3*(AM3-1)+AN3*(AN3-1)+AO3*(AO3-1)+AP3*(AP3-1)+AQ3*(AQ3-1)+AR3*(AR3-1)+AS3*(AS3-1)+AT3*(AT3-1)+AU3*(AU3-1)+AV3*(AV3-1)+AW3*(AW3-1)+AX3*(AX3-1)+AY3*(AY3-1)+AZ3*(AZ3-1)+BA3*(BA3-1)+BB3*(BB3-1)+BC3*(BC3-1)+BD3*(BD3-1)+BE3*(BE3-1)+BF3*(BF3-1)+BG3*(BG3-1)+BH3*(BH3-1)+BI3*(BI3-1)+BJ3*(BJ3-1)+BK3*(BK3-1)+BL3*(BL3-1)+BM3*(BM3-1)+BN3*(BN3-1)+BO3*(BO3-1)+BP3*(BP3-1)+BQ3*(BQ3-1)+BR3*(BR3-1)+BS3*(BS3-1)+BT3*(BT3-1)+BU3*(BU3-1)+BV3*(BV3-1)+BW3*(BW3-1)+BX3*(BX3-1)+BY3*(BY3-1)+BZ3*(BZ3-1)+CA3*(CA3-1)+CB3*(CB3-1)+CC3*(CC3-1)+CD3*(CD3-1)+CE3*(CE3-1)+CF3*(CF3-1)+CG3*(CG3-1)+CH3*(CH3-1)+CI3*(CI3-1)+CJ3*(CJ3-1)+CK3*(CK3-1)+CL3*(CL3-1)+CM3*(CM3-1)+CN3*(CN3-1)+CO3*(CO3-1)+CP3*(CP3-1)+CQ3*(CQ3-1)+CR3*(CR3-1)+CS3*(CS3-1)+CT3*(CT3-1)+CU3*(CU3-1)+CV3*(CV3-1)+CW3*(CW3-1)+CX3*(CX3-1)+CY3*(CY3-1)+CZ3*(CZ3-1)+DA3*(DA3-1)+DB3*(DB3-1)+DC3*(DC3-1)+DD3*(DD3-1)+DE3*(DE3-1)+DF3*(DF3-1)+DG3*(DG3-1)+DH3*(DH3-1)+DI3*(DI3-1)+DJ3*(DJ3-1)+DK3*(DK3-1)+DL3*(DL3-1)+DM3*(DM3-1)+DN3*(DN3-1)+DO3*(DO3-1)+DP3*(DP3-1)+DQ3*(DQ3-1)+DR3*(DR3-1)+DS3*(DS3-1)+DT3*(DT3-1)+DU3*(DU3-1)+DV3*(DV3-1)+DW3*(DW3-1)+DX3*(DX3-1)+DY3*(DY3-1)+DZ3*(DZ3-1)+EA3*(EA3-1)+EB3*(EB3-1)+EC3*(EC3-1)+ED3*(ED3-1)+EE3*(EE3-1)+EF3*(EF3-1)+EG3*(EG3-1)+EH3*(EH3-1)+EI3*(EI3-1)+EJ3*(EJ3-1)+EK3*(EK3-1)+EL3*(EL3-1)+EM3*(EM3-1)+EN3*(EN3-1)+EO3*(EO3-1)+EP3*(EP3-1)+EQ3*(EQ3-1)+ER3*(ER3-1)+ES3*(ES3-1)+ET3*(ET3-1)+EU3*(EU3-1)+EV3*(EV3-1)+EW3*(EW3-1)+EX3*(EX3-1)+EY3*(EY3-1)+EZ3*(EZ3-1)+FA3*(FA3-1)+FB3*(FB3-1)+FC3*(FC3-1)+FD3*(FD3-1)+FE3*(FE3-1)+FF3*(FF3-1)+FG3*(FG3-1)+FH3*(FH3-1)+FI3*(FI3-1)+FJ3*(FJ3-1)+FK3*(FK3-1)+FL3*(FL3-1)+FM3*(FM3-1)+FN3*(FN3-1)+FO3*(FO3-1)+FP3*(FP3-1)+FQ3*(FQ3-1)+FR3*(FR3-1)+FS3*(FS3-1)+FT3*(FT3-1)+FU3*(FU3-1)+FV3*(FV3-1)+FW3*(FW3-1)+FX3*(FX3-1)+FY3*(FY3-1)+FZ3*(FZ3-1)+GA3*(GA3-1)+GB3*(GB3-1)+GC3*(GC3-1)+GD3*(GD3-1))/(GI3*(GI3-1)))</f>
        <v>0.83694779116465867</v>
      </c>
      <c r="GI3" s="3">
        <f t="shared" ref="GI3:GI181" si="4">SUM(Q3:GD3)</f>
        <v>166</v>
      </c>
      <c r="GJ3" s="3">
        <f t="shared" ref="GJ3:GJ181" si="5">25*O3</f>
        <v>550</v>
      </c>
      <c r="GK3" s="3">
        <f t="shared" ref="GK3:GK181" si="6">GJ3-GI3</f>
        <v>384</v>
      </c>
      <c r="GS3" s="22"/>
      <c r="GT3" s="22"/>
      <c r="GU3" s="22"/>
    </row>
    <row r="4" spans="1:203" ht="16" x14ac:dyDescent="0.2">
      <c r="A4" s="13">
        <v>38041</v>
      </c>
      <c r="B4" s="3" t="s">
        <v>201</v>
      </c>
      <c r="C4" s="3">
        <v>21.25544</v>
      </c>
      <c r="D4" s="3">
        <v>-157.810303</v>
      </c>
      <c r="E4" s="3" t="s">
        <v>197</v>
      </c>
      <c r="F4" s="14">
        <v>0</v>
      </c>
      <c r="G4" s="14">
        <v>4.1666666666666664E-2</v>
      </c>
      <c r="H4" s="3">
        <v>6</v>
      </c>
      <c r="I4" s="3">
        <v>11</v>
      </c>
      <c r="J4" s="3" t="s">
        <v>198</v>
      </c>
      <c r="K4" s="3">
        <v>12</v>
      </c>
      <c r="L4" s="3">
        <v>58</v>
      </c>
      <c r="M4" s="3" t="s">
        <v>202</v>
      </c>
      <c r="O4" s="3">
        <v>58</v>
      </c>
      <c r="Q4" s="3">
        <v>3</v>
      </c>
      <c r="AE4" s="3">
        <v>3</v>
      </c>
      <c r="AN4" s="3">
        <v>1</v>
      </c>
      <c r="BA4" s="3">
        <v>5</v>
      </c>
      <c r="BL4" s="3">
        <v>4</v>
      </c>
      <c r="BP4" s="3">
        <v>10</v>
      </c>
      <c r="BY4" s="3">
        <v>102</v>
      </c>
      <c r="CA4" s="3">
        <v>3</v>
      </c>
      <c r="CR4" s="3">
        <v>2</v>
      </c>
      <c r="DL4" s="3">
        <v>51</v>
      </c>
      <c r="DO4" s="3">
        <v>3</v>
      </c>
      <c r="DR4" s="3">
        <v>27</v>
      </c>
      <c r="DU4" s="3">
        <v>4</v>
      </c>
      <c r="EC4" s="3">
        <v>2</v>
      </c>
      <c r="EI4" s="3">
        <v>332</v>
      </c>
      <c r="FA4" s="3">
        <v>81</v>
      </c>
      <c r="FB4" s="3">
        <v>3</v>
      </c>
      <c r="FP4" s="3">
        <v>15</v>
      </c>
      <c r="FQ4" s="3">
        <v>308</v>
      </c>
      <c r="GB4" s="3">
        <v>1</v>
      </c>
      <c r="GC4" s="3">
        <v>3</v>
      </c>
      <c r="GE4" s="3">
        <f t="shared" si="0"/>
        <v>21</v>
      </c>
      <c r="GF4" s="3">
        <f t="shared" si="1"/>
        <v>19</v>
      </c>
      <c r="GG4" s="3">
        <f t="shared" si="2"/>
        <v>9</v>
      </c>
      <c r="GH4" s="3">
        <f t="shared" si="3"/>
        <v>0.75727057035468248</v>
      </c>
      <c r="GI4" s="3">
        <f t="shared" si="4"/>
        <v>963</v>
      </c>
      <c r="GJ4" s="3">
        <f t="shared" si="5"/>
        <v>1450</v>
      </c>
      <c r="GK4" s="3">
        <f t="shared" si="6"/>
        <v>487</v>
      </c>
      <c r="GS4" s="22"/>
      <c r="GT4" s="22"/>
      <c r="GU4" s="22"/>
    </row>
    <row r="5" spans="1:203" ht="16" x14ac:dyDescent="0.2">
      <c r="A5" s="13">
        <v>38050</v>
      </c>
      <c r="B5" s="3" t="s">
        <v>196</v>
      </c>
      <c r="C5" s="3">
        <v>21.559277999999999</v>
      </c>
      <c r="D5" s="3">
        <v>-157.87190200000001</v>
      </c>
      <c r="E5" s="3" t="s">
        <v>197</v>
      </c>
      <c r="F5" s="14">
        <v>0</v>
      </c>
      <c r="G5" s="14">
        <v>4.1666666666666664E-2</v>
      </c>
      <c r="H5" s="3">
        <v>6</v>
      </c>
      <c r="I5" s="3">
        <v>10</v>
      </c>
      <c r="J5" s="3" t="s">
        <v>198</v>
      </c>
      <c r="K5" s="3">
        <v>11</v>
      </c>
      <c r="L5" s="3">
        <v>33</v>
      </c>
      <c r="M5" s="3" t="s">
        <v>204</v>
      </c>
      <c r="O5" s="3">
        <v>33</v>
      </c>
      <c r="Q5" s="3">
        <v>30</v>
      </c>
      <c r="AC5" s="3">
        <v>13</v>
      </c>
      <c r="AE5" s="3">
        <v>28</v>
      </c>
      <c r="AJ5" s="3">
        <v>13</v>
      </c>
      <c r="BL5" s="3">
        <v>6</v>
      </c>
      <c r="EC5" s="3">
        <v>4</v>
      </c>
      <c r="FA5" s="3">
        <v>15</v>
      </c>
      <c r="FB5" s="3">
        <v>8</v>
      </c>
      <c r="FQ5" s="3">
        <v>73</v>
      </c>
      <c r="FR5" s="3">
        <v>2</v>
      </c>
      <c r="GC5" s="3">
        <v>103</v>
      </c>
      <c r="GE5" s="3">
        <f t="shared" si="0"/>
        <v>11</v>
      </c>
      <c r="GF5" s="3">
        <f t="shared" si="1"/>
        <v>11</v>
      </c>
      <c r="GG5" s="3">
        <f t="shared" si="2"/>
        <v>9</v>
      </c>
      <c r="GH5" s="3">
        <f t="shared" si="3"/>
        <v>0.79234405626657445</v>
      </c>
      <c r="GI5" s="3">
        <f t="shared" si="4"/>
        <v>295</v>
      </c>
      <c r="GJ5" s="3">
        <f t="shared" si="5"/>
        <v>825</v>
      </c>
      <c r="GK5" s="3">
        <f t="shared" si="6"/>
        <v>530</v>
      </c>
      <c r="GS5" s="22"/>
      <c r="GT5" s="22"/>
      <c r="GU5" s="22"/>
    </row>
    <row r="6" spans="1:203" ht="16" x14ac:dyDescent="0.2">
      <c r="A6" s="13">
        <v>38384</v>
      </c>
      <c r="B6" s="3" t="s">
        <v>196</v>
      </c>
      <c r="C6" s="3">
        <v>21.559277999999999</v>
      </c>
      <c r="D6" s="3">
        <v>-157.87190200000001</v>
      </c>
      <c r="E6" s="3" t="s">
        <v>197</v>
      </c>
      <c r="F6" s="14">
        <v>0</v>
      </c>
      <c r="G6" s="14">
        <v>4.1666666666666664E-2</v>
      </c>
      <c r="H6" s="3">
        <v>7</v>
      </c>
      <c r="I6" s="3">
        <v>9</v>
      </c>
      <c r="J6" s="3" t="s">
        <v>198</v>
      </c>
      <c r="K6" s="3">
        <v>10</v>
      </c>
      <c r="L6" s="3">
        <v>31</v>
      </c>
      <c r="M6" s="3" t="s">
        <v>206</v>
      </c>
      <c r="O6" s="3">
        <v>31</v>
      </c>
      <c r="Q6" s="3">
        <v>85</v>
      </c>
      <c r="AC6" s="3">
        <v>14</v>
      </c>
      <c r="AE6" s="3">
        <v>37</v>
      </c>
      <c r="AJ6" s="3">
        <v>4</v>
      </c>
      <c r="DG6" s="3">
        <v>4</v>
      </c>
      <c r="DH6" s="3">
        <v>1</v>
      </c>
      <c r="EC6" s="3">
        <v>21</v>
      </c>
      <c r="FB6" s="3">
        <v>2</v>
      </c>
      <c r="FR6" s="3">
        <v>1</v>
      </c>
      <c r="GB6" s="3">
        <v>15</v>
      </c>
      <c r="GC6" s="3">
        <v>5</v>
      </c>
      <c r="GE6" s="3">
        <f t="shared" si="0"/>
        <v>11</v>
      </c>
      <c r="GF6" s="3">
        <f t="shared" si="1"/>
        <v>9</v>
      </c>
      <c r="GG6" s="3">
        <f t="shared" si="2"/>
        <v>6</v>
      </c>
      <c r="GH6" s="3">
        <f t="shared" si="3"/>
        <v>0.73741979061128005</v>
      </c>
      <c r="GI6" s="3">
        <f t="shared" si="4"/>
        <v>189</v>
      </c>
      <c r="GJ6" s="3">
        <f t="shared" si="5"/>
        <v>775</v>
      </c>
      <c r="GK6" s="3">
        <f t="shared" si="6"/>
        <v>586</v>
      </c>
      <c r="GS6" s="4"/>
      <c r="GT6" s="22"/>
      <c r="GU6" s="22"/>
    </row>
    <row r="7" spans="1:203" ht="16" x14ac:dyDescent="0.2">
      <c r="A7" s="13">
        <v>38401</v>
      </c>
      <c r="B7" s="3" t="s">
        <v>201</v>
      </c>
      <c r="C7" s="3">
        <v>21.25544</v>
      </c>
      <c r="D7" s="3">
        <v>-157.810303</v>
      </c>
      <c r="E7" s="3" t="s">
        <v>197</v>
      </c>
      <c r="F7" s="14">
        <v>0</v>
      </c>
      <c r="G7" s="14">
        <v>4.1666666666666664E-2</v>
      </c>
      <c r="H7" s="3">
        <v>6</v>
      </c>
      <c r="I7" s="3">
        <v>9</v>
      </c>
      <c r="J7" s="3" t="s">
        <v>198</v>
      </c>
      <c r="K7" s="3">
        <v>10</v>
      </c>
      <c r="L7" s="3">
        <v>56</v>
      </c>
      <c r="M7" s="3"/>
      <c r="O7" s="3">
        <v>56</v>
      </c>
      <c r="Q7" s="3">
        <v>6</v>
      </c>
      <c r="AE7" s="3">
        <v>3</v>
      </c>
      <c r="BP7" s="3">
        <v>3</v>
      </c>
      <c r="BV7" s="3">
        <v>15</v>
      </c>
      <c r="CA7" s="3">
        <v>3</v>
      </c>
      <c r="CU7" s="3">
        <v>1</v>
      </c>
      <c r="DL7" s="3">
        <v>132</v>
      </c>
      <c r="DO7" s="3">
        <v>1</v>
      </c>
      <c r="DV7" s="3">
        <v>1</v>
      </c>
      <c r="EC7" s="3">
        <v>6</v>
      </c>
      <c r="EI7" s="3">
        <v>332</v>
      </c>
      <c r="FA7" s="3">
        <v>99</v>
      </c>
      <c r="FB7" s="3">
        <v>1</v>
      </c>
      <c r="FQ7" s="3">
        <v>208</v>
      </c>
      <c r="GC7" s="3">
        <v>12</v>
      </c>
      <c r="GE7" s="3">
        <f t="shared" si="0"/>
        <v>15</v>
      </c>
      <c r="GF7" s="3">
        <f t="shared" si="1"/>
        <v>11</v>
      </c>
      <c r="GG7" s="3">
        <f t="shared" si="2"/>
        <v>8</v>
      </c>
      <c r="GH7" s="3">
        <f t="shared" si="3"/>
        <v>0.73339186939953227</v>
      </c>
      <c r="GI7" s="3">
        <f t="shared" si="4"/>
        <v>823</v>
      </c>
      <c r="GJ7" s="3">
        <f t="shared" si="5"/>
        <v>1400</v>
      </c>
      <c r="GK7" s="3">
        <f t="shared" si="6"/>
        <v>577</v>
      </c>
      <c r="GS7" s="30"/>
      <c r="GT7" s="22"/>
      <c r="GU7" s="22"/>
    </row>
    <row r="8" spans="1:203" ht="16" x14ac:dyDescent="0.2">
      <c r="A8" s="13">
        <v>38416</v>
      </c>
      <c r="B8" s="3" t="s">
        <v>196</v>
      </c>
      <c r="C8" s="3">
        <v>21.559277999999999</v>
      </c>
      <c r="D8" s="3">
        <v>-157.87190200000001</v>
      </c>
      <c r="E8" s="3" t="s">
        <v>197</v>
      </c>
      <c r="F8" s="14">
        <v>0</v>
      </c>
      <c r="G8" s="14">
        <v>4.1666666666666664E-2</v>
      </c>
      <c r="H8" s="3">
        <v>7</v>
      </c>
      <c r="I8" s="3">
        <v>9</v>
      </c>
      <c r="J8" s="3" t="s">
        <v>198</v>
      </c>
      <c r="K8" s="3">
        <v>10</v>
      </c>
      <c r="L8" s="3">
        <v>29</v>
      </c>
      <c r="M8" s="3" t="s">
        <v>214</v>
      </c>
      <c r="O8" s="3">
        <v>29</v>
      </c>
      <c r="Q8" s="3">
        <v>57</v>
      </c>
      <c r="AC8" s="3">
        <v>15</v>
      </c>
      <c r="AE8" s="3">
        <v>28</v>
      </c>
      <c r="AJ8" s="3">
        <v>1</v>
      </c>
      <c r="DG8" s="3">
        <v>2</v>
      </c>
      <c r="DO8" s="3">
        <v>1</v>
      </c>
      <c r="EC8" s="3">
        <v>14</v>
      </c>
      <c r="EI8" s="3">
        <v>10</v>
      </c>
      <c r="FB8" s="3">
        <v>1</v>
      </c>
      <c r="GC8" s="3">
        <v>8</v>
      </c>
      <c r="GE8" s="3">
        <f t="shared" si="0"/>
        <v>10</v>
      </c>
      <c r="GF8" s="3">
        <f t="shared" si="1"/>
        <v>7</v>
      </c>
      <c r="GG8" s="3">
        <f t="shared" si="2"/>
        <v>6</v>
      </c>
      <c r="GH8" s="3">
        <f t="shared" si="3"/>
        <v>0.75912408759124084</v>
      </c>
      <c r="GI8" s="3">
        <f t="shared" si="4"/>
        <v>137</v>
      </c>
      <c r="GJ8" s="3">
        <f t="shared" si="5"/>
        <v>725</v>
      </c>
      <c r="GK8" s="3">
        <f t="shared" si="6"/>
        <v>588</v>
      </c>
      <c r="GS8" s="31"/>
      <c r="GT8" s="31"/>
      <c r="GU8" s="31"/>
    </row>
    <row r="9" spans="1:203" ht="16" x14ac:dyDescent="0.2">
      <c r="A9" s="17">
        <v>38416</v>
      </c>
      <c r="B9" s="15" t="s">
        <v>201</v>
      </c>
      <c r="C9" s="15">
        <v>21.25544</v>
      </c>
      <c r="D9" s="15">
        <v>-157.810303</v>
      </c>
      <c r="E9" s="15" t="s">
        <v>197</v>
      </c>
      <c r="F9" s="18">
        <v>0</v>
      </c>
      <c r="G9" s="18">
        <v>4.1666666666666664E-2</v>
      </c>
      <c r="H9" s="15">
        <v>7</v>
      </c>
      <c r="I9" s="15">
        <v>9</v>
      </c>
      <c r="J9" s="15" t="s">
        <v>198</v>
      </c>
      <c r="K9" s="15">
        <v>10</v>
      </c>
      <c r="L9" s="15">
        <v>56</v>
      </c>
      <c r="M9" s="15" t="s">
        <v>215</v>
      </c>
      <c r="N9" s="15"/>
      <c r="O9" s="15">
        <v>56</v>
      </c>
      <c r="P9" s="15"/>
      <c r="Q9" s="15">
        <v>23</v>
      </c>
      <c r="R9" s="15"/>
      <c r="S9" s="15"/>
      <c r="T9" s="15"/>
      <c r="U9" s="15"/>
      <c r="V9" s="15"/>
      <c r="W9" s="15"/>
      <c r="X9" s="15"/>
      <c r="Y9" s="15"/>
      <c r="Z9" s="15"/>
      <c r="AA9" s="15"/>
      <c r="AB9" s="15"/>
      <c r="AC9" s="15"/>
      <c r="AD9" s="15"/>
      <c r="AE9" s="15">
        <v>1</v>
      </c>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v>3</v>
      </c>
      <c r="BQ9" s="15"/>
      <c r="BR9" s="15"/>
      <c r="BS9" s="15"/>
      <c r="BT9" s="15"/>
      <c r="BU9" s="15"/>
      <c r="BV9" s="15">
        <v>8</v>
      </c>
      <c r="BW9" s="15"/>
      <c r="BX9" s="15"/>
      <c r="BY9" s="15">
        <v>6</v>
      </c>
      <c r="BZ9" s="15"/>
      <c r="CA9" s="15">
        <v>4</v>
      </c>
      <c r="CB9" s="15"/>
      <c r="CC9" s="15">
        <v>1</v>
      </c>
      <c r="CD9" s="15"/>
      <c r="CE9" s="15"/>
      <c r="CF9" s="15"/>
      <c r="CG9" s="15"/>
      <c r="CH9" s="15"/>
      <c r="CI9" s="15"/>
      <c r="CJ9" s="15"/>
      <c r="CK9" s="15"/>
      <c r="CL9" s="15"/>
      <c r="CM9" s="15"/>
      <c r="CN9" s="15"/>
      <c r="CO9" s="15"/>
      <c r="CP9" s="15"/>
      <c r="CQ9" s="15"/>
      <c r="CR9" s="15">
        <v>3</v>
      </c>
      <c r="CS9" s="15"/>
      <c r="CT9" s="15"/>
      <c r="CU9" s="15">
        <v>1</v>
      </c>
      <c r="CV9" s="15"/>
      <c r="CW9" s="15"/>
      <c r="CX9" s="15"/>
      <c r="CY9" s="15"/>
      <c r="CZ9" s="15"/>
      <c r="DA9" s="15"/>
      <c r="DB9" s="15"/>
      <c r="DC9" s="15"/>
      <c r="DD9" s="15"/>
      <c r="DE9" s="15"/>
      <c r="DF9" s="15"/>
      <c r="DG9" s="15"/>
      <c r="DH9" s="15"/>
      <c r="DI9" s="15"/>
      <c r="DJ9" s="15"/>
      <c r="DK9" s="15"/>
      <c r="DL9" s="15">
        <v>122</v>
      </c>
      <c r="DM9" s="15"/>
      <c r="DN9" s="15"/>
      <c r="DO9" s="15">
        <v>1</v>
      </c>
      <c r="DP9" s="15"/>
      <c r="DQ9" s="15"/>
      <c r="DR9" s="15"/>
      <c r="DS9" s="15"/>
      <c r="DT9" s="15"/>
      <c r="DU9" s="15"/>
      <c r="DV9" s="15"/>
      <c r="DW9" s="15"/>
      <c r="DX9" s="15"/>
      <c r="DY9" s="15"/>
      <c r="DZ9" s="15"/>
      <c r="EA9" s="15"/>
      <c r="EB9" s="15"/>
      <c r="EC9" s="15">
        <v>1</v>
      </c>
      <c r="ED9" s="15"/>
      <c r="EE9" s="15"/>
      <c r="EF9" s="15"/>
      <c r="EG9" s="15"/>
      <c r="EH9" s="15"/>
      <c r="EI9" s="15">
        <v>301</v>
      </c>
      <c r="EJ9" s="15"/>
      <c r="EK9" s="15"/>
      <c r="EL9" s="15"/>
      <c r="EM9" s="15"/>
      <c r="EN9" s="15"/>
      <c r="EO9" s="15"/>
      <c r="EP9" s="15"/>
      <c r="EQ9" s="15"/>
      <c r="ER9" s="15"/>
      <c r="ES9" s="15"/>
      <c r="ET9" s="15"/>
      <c r="EU9" s="15"/>
      <c r="EV9" s="15"/>
      <c r="EW9" s="15"/>
      <c r="EX9" s="15"/>
      <c r="EY9" s="15"/>
      <c r="EZ9" s="15"/>
      <c r="FA9" s="15">
        <v>130</v>
      </c>
      <c r="FB9" s="15"/>
      <c r="FC9" s="15"/>
      <c r="FD9" s="15"/>
      <c r="FE9" s="15"/>
      <c r="FF9" s="15"/>
      <c r="FG9" s="15"/>
      <c r="FH9" s="15"/>
      <c r="FI9" s="15"/>
      <c r="FJ9" s="15"/>
      <c r="FK9" s="15"/>
      <c r="FL9" s="15"/>
      <c r="FM9" s="15"/>
      <c r="FN9" s="15"/>
      <c r="FO9" s="15"/>
      <c r="FP9" s="15">
        <v>1</v>
      </c>
      <c r="FQ9" s="15">
        <v>91</v>
      </c>
      <c r="FR9" s="15"/>
      <c r="FS9" s="15"/>
      <c r="FT9" s="15"/>
      <c r="FU9" s="15"/>
      <c r="FV9" s="15"/>
      <c r="FW9" s="15"/>
      <c r="FX9" s="15"/>
      <c r="FY9" s="15"/>
      <c r="FZ9" s="15"/>
      <c r="GA9" s="15"/>
      <c r="GB9" s="15"/>
      <c r="GC9" s="15">
        <v>257</v>
      </c>
      <c r="GD9" s="15"/>
      <c r="GE9" s="3">
        <f t="shared" si="0"/>
        <v>17</v>
      </c>
      <c r="GF9" s="3">
        <f t="shared" si="1"/>
        <v>11</v>
      </c>
      <c r="GG9" s="3">
        <f t="shared" si="2"/>
        <v>8</v>
      </c>
      <c r="GH9" s="3">
        <f t="shared" si="3"/>
        <v>0.7839438955873651</v>
      </c>
      <c r="GI9" s="3">
        <f t="shared" si="4"/>
        <v>954</v>
      </c>
      <c r="GJ9" s="3">
        <f t="shared" si="5"/>
        <v>1400</v>
      </c>
      <c r="GK9" s="3">
        <f t="shared" si="6"/>
        <v>446</v>
      </c>
      <c r="GL9" s="15"/>
      <c r="GM9" s="15"/>
      <c r="GN9" s="15"/>
      <c r="GO9" s="15"/>
      <c r="GP9" s="15"/>
      <c r="GQ9" s="15"/>
      <c r="GR9" s="15"/>
      <c r="GS9" s="32"/>
      <c r="GT9" s="32"/>
      <c r="GU9" s="32"/>
    </row>
    <row r="10" spans="1:203" ht="15.75" customHeight="1" x14ac:dyDescent="0.15">
      <c r="A10" s="13">
        <v>38440</v>
      </c>
      <c r="B10" s="3" t="s">
        <v>216</v>
      </c>
      <c r="C10" s="3">
        <v>21.3002</v>
      </c>
      <c r="D10" s="3">
        <v>-157.882599</v>
      </c>
      <c r="E10" s="3" t="s">
        <v>197</v>
      </c>
      <c r="F10" s="14">
        <v>0</v>
      </c>
      <c r="G10" s="14">
        <v>4.1666666666666664E-2</v>
      </c>
      <c r="H10" s="3">
        <v>4</v>
      </c>
      <c r="I10" s="3">
        <v>22</v>
      </c>
      <c r="J10" s="3" t="s">
        <v>217</v>
      </c>
      <c r="K10" s="3">
        <v>10</v>
      </c>
      <c r="L10" s="3">
        <v>26</v>
      </c>
      <c r="M10" s="3" t="s">
        <v>218</v>
      </c>
      <c r="O10" s="3">
        <v>26</v>
      </c>
      <c r="BY10" s="3">
        <v>6</v>
      </c>
      <c r="EI10" s="3">
        <v>181</v>
      </c>
      <c r="FA10" s="3">
        <v>3</v>
      </c>
      <c r="FL10" s="3">
        <v>4</v>
      </c>
      <c r="FQ10" s="3">
        <v>2</v>
      </c>
      <c r="GC10" s="3">
        <v>5</v>
      </c>
      <c r="GE10" s="3">
        <f t="shared" si="0"/>
        <v>6</v>
      </c>
      <c r="GF10" s="3">
        <f t="shared" si="1"/>
        <v>6</v>
      </c>
      <c r="GG10" s="3">
        <f t="shared" si="2"/>
        <v>3</v>
      </c>
      <c r="GH10" s="3">
        <f t="shared" si="3"/>
        <v>0.18781094527363185</v>
      </c>
      <c r="GI10" s="3">
        <f t="shared" si="4"/>
        <v>201</v>
      </c>
      <c r="GJ10" s="3">
        <f t="shared" si="5"/>
        <v>650</v>
      </c>
      <c r="GK10" s="3">
        <f t="shared" si="6"/>
        <v>449</v>
      </c>
    </row>
    <row r="11" spans="1:203" ht="15.75" customHeight="1" x14ac:dyDescent="0.15">
      <c r="A11" s="13">
        <v>38441</v>
      </c>
      <c r="B11" s="3" t="s">
        <v>219</v>
      </c>
      <c r="C11" s="3">
        <v>21.295798999999999</v>
      </c>
      <c r="D11" s="3">
        <v>-158.10369900000001</v>
      </c>
      <c r="E11" s="3" t="s">
        <v>197</v>
      </c>
      <c r="F11" s="14">
        <v>0</v>
      </c>
      <c r="G11" s="14">
        <v>4.1666666666666664E-2</v>
      </c>
      <c r="H11" s="3">
        <v>5</v>
      </c>
      <c r="I11" s="3">
        <v>20</v>
      </c>
      <c r="J11" s="3" t="s">
        <v>217</v>
      </c>
      <c r="K11" s="3">
        <v>10</v>
      </c>
      <c r="L11" s="3">
        <v>30</v>
      </c>
      <c r="M11" s="3" t="s">
        <v>220</v>
      </c>
      <c r="O11" s="3">
        <v>30</v>
      </c>
      <c r="Q11" s="3">
        <v>57</v>
      </c>
      <c r="AH11" s="3">
        <v>5</v>
      </c>
      <c r="AL11" s="3">
        <v>3</v>
      </c>
      <c r="BD11" s="3">
        <v>1</v>
      </c>
      <c r="BL11" s="3">
        <v>1</v>
      </c>
      <c r="BP11" s="3">
        <v>18</v>
      </c>
      <c r="BV11" s="3">
        <v>14</v>
      </c>
      <c r="BY11" s="3">
        <v>18</v>
      </c>
      <c r="CB11" s="3">
        <v>1</v>
      </c>
      <c r="DL11" s="3">
        <v>71</v>
      </c>
      <c r="DP11" s="3">
        <v>1</v>
      </c>
      <c r="DY11" s="3">
        <v>8</v>
      </c>
      <c r="EC11" s="3">
        <v>1</v>
      </c>
      <c r="EI11" s="3">
        <v>171</v>
      </c>
      <c r="FA11" s="3">
        <v>24</v>
      </c>
      <c r="FB11" s="3">
        <v>2</v>
      </c>
      <c r="FQ11" s="3">
        <v>48</v>
      </c>
      <c r="GC11" s="3">
        <v>9</v>
      </c>
      <c r="GE11" s="3">
        <f t="shared" si="0"/>
        <v>18</v>
      </c>
      <c r="GF11" s="3">
        <f t="shared" si="1"/>
        <v>13</v>
      </c>
      <c r="GG11" s="3">
        <f t="shared" si="2"/>
        <v>11</v>
      </c>
      <c r="GH11" s="3">
        <f t="shared" si="3"/>
        <v>0.79981050616343352</v>
      </c>
      <c r="GI11" s="3">
        <f t="shared" si="4"/>
        <v>453</v>
      </c>
      <c r="GJ11" s="3">
        <f t="shared" si="5"/>
        <v>750</v>
      </c>
      <c r="GK11" s="3">
        <f t="shared" si="6"/>
        <v>297</v>
      </c>
    </row>
    <row r="12" spans="1:203" ht="15.75" customHeight="1" x14ac:dyDescent="0.15">
      <c r="A12" s="13">
        <v>38464</v>
      </c>
      <c r="B12" s="3" t="s">
        <v>201</v>
      </c>
      <c r="C12" s="3">
        <v>21.25544</v>
      </c>
      <c r="D12" s="3">
        <v>-157.810303</v>
      </c>
      <c r="E12" s="3" t="s">
        <v>197</v>
      </c>
      <c r="F12" s="14">
        <v>0</v>
      </c>
      <c r="G12" s="14">
        <v>4.1666666666666664E-2</v>
      </c>
      <c r="H12" s="3">
        <v>5</v>
      </c>
      <c r="I12" s="3">
        <v>9</v>
      </c>
      <c r="J12" s="3" t="s">
        <v>198</v>
      </c>
      <c r="K12" s="3">
        <v>10</v>
      </c>
      <c r="L12" s="3">
        <v>45</v>
      </c>
      <c r="M12" s="3" t="s">
        <v>221</v>
      </c>
      <c r="O12" s="3">
        <v>45</v>
      </c>
      <c r="Q12" s="3">
        <v>5</v>
      </c>
      <c r="AE12" s="3">
        <v>1</v>
      </c>
      <c r="BP12" s="3">
        <v>1</v>
      </c>
      <c r="BV12" s="3">
        <v>11</v>
      </c>
      <c r="BY12" s="3">
        <v>9</v>
      </c>
      <c r="CA12" s="3">
        <v>5</v>
      </c>
      <c r="CI12" s="3">
        <v>6</v>
      </c>
      <c r="CR12" s="3">
        <v>2</v>
      </c>
      <c r="DL12" s="3">
        <v>35</v>
      </c>
      <c r="DO12" s="3">
        <v>1</v>
      </c>
      <c r="DR12" s="3">
        <v>9</v>
      </c>
      <c r="DS12" s="3">
        <v>7</v>
      </c>
      <c r="DT12" s="3">
        <v>1</v>
      </c>
      <c r="EB12" s="3">
        <v>1</v>
      </c>
      <c r="EI12" s="3">
        <v>151</v>
      </c>
      <c r="FA12" s="3">
        <v>50</v>
      </c>
      <c r="FQ12" s="3">
        <v>425</v>
      </c>
      <c r="GC12" s="3">
        <v>117</v>
      </c>
      <c r="GE12" s="3">
        <f t="shared" si="0"/>
        <v>18</v>
      </c>
      <c r="GF12" s="3">
        <f t="shared" si="1"/>
        <v>13</v>
      </c>
      <c r="GG12" s="3">
        <f t="shared" si="2"/>
        <v>12</v>
      </c>
      <c r="GH12" s="3">
        <f t="shared" si="3"/>
        <v>0.68497939211012215</v>
      </c>
      <c r="GI12" s="3">
        <f t="shared" si="4"/>
        <v>837</v>
      </c>
      <c r="GJ12" s="3">
        <f t="shared" si="5"/>
        <v>1125</v>
      </c>
      <c r="GK12" s="3">
        <f t="shared" si="6"/>
        <v>288</v>
      </c>
    </row>
    <row r="13" spans="1:203" ht="15.75" customHeight="1" x14ac:dyDescent="0.15">
      <c r="A13" s="13">
        <v>38469</v>
      </c>
      <c r="B13" s="3" t="s">
        <v>219</v>
      </c>
      <c r="C13" s="3">
        <v>21.295798999999999</v>
      </c>
      <c r="D13" s="3">
        <v>-158.10369900000001</v>
      </c>
      <c r="E13" s="3" t="s">
        <v>197</v>
      </c>
      <c r="F13" s="14">
        <v>0</v>
      </c>
      <c r="G13" s="14">
        <v>4.1666666666666664E-2</v>
      </c>
      <c r="H13" s="3">
        <v>4</v>
      </c>
      <c r="I13" s="3">
        <v>20</v>
      </c>
      <c r="J13" s="3" t="s">
        <v>217</v>
      </c>
      <c r="K13" s="3">
        <v>10</v>
      </c>
      <c r="L13" s="3">
        <v>29</v>
      </c>
      <c r="M13" s="3" t="s">
        <v>222</v>
      </c>
      <c r="O13" s="3">
        <v>29</v>
      </c>
      <c r="Q13" s="3">
        <v>112</v>
      </c>
      <c r="AP13" s="3">
        <v>1</v>
      </c>
      <c r="BP13" s="3">
        <v>31</v>
      </c>
      <c r="BV13" s="3">
        <v>1</v>
      </c>
      <c r="BY13" s="3">
        <v>17</v>
      </c>
      <c r="DG13" s="3">
        <v>2</v>
      </c>
      <c r="DL13" s="3">
        <v>9</v>
      </c>
      <c r="DY13" s="3">
        <v>1</v>
      </c>
      <c r="EC13" s="3">
        <v>2</v>
      </c>
      <c r="EI13" s="3">
        <v>111</v>
      </c>
      <c r="FA13" s="3">
        <v>10</v>
      </c>
      <c r="FQ13" s="3">
        <v>44</v>
      </c>
      <c r="GC13" s="3">
        <v>9</v>
      </c>
      <c r="GE13" s="3">
        <f t="shared" si="0"/>
        <v>13</v>
      </c>
      <c r="GF13" s="3">
        <f t="shared" si="1"/>
        <v>10</v>
      </c>
      <c r="GG13" s="3">
        <f t="shared" si="2"/>
        <v>8</v>
      </c>
      <c r="GH13" s="3">
        <f t="shared" si="3"/>
        <v>0.77098649201801062</v>
      </c>
      <c r="GI13" s="3">
        <f t="shared" si="4"/>
        <v>350</v>
      </c>
      <c r="GJ13" s="3">
        <f t="shared" si="5"/>
        <v>725</v>
      </c>
      <c r="GK13" s="3">
        <f t="shared" si="6"/>
        <v>375</v>
      </c>
    </row>
    <row r="14" spans="1:203" ht="15.75" customHeight="1" x14ac:dyDescent="0.15">
      <c r="A14" s="13">
        <v>38471</v>
      </c>
      <c r="B14" s="3" t="s">
        <v>216</v>
      </c>
      <c r="C14" s="3">
        <v>21.3002</v>
      </c>
      <c r="D14" s="3">
        <v>-157.882599</v>
      </c>
      <c r="E14" s="3" t="s">
        <v>197</v>
      </c>
      <c r="F14" s="14">
        <v>0</v>
      </c>
      <c r="G14" s="14">
        <v>4.1666666666666664E-2</v>
      </c>
      <c r="H14" s="3">
        <v>6</v>
      </c>
      <c r="I14" s="3">
        <v>22</v>
      </c>
      <c r="J14" s="3" t="s">
        <v>217</v>
      </c>
      <c r="K14" s="3">
        <v>10</v>
      </c>
      <c r="L14" s="3">
        <v>36</v>
      </c>
      <c r="M14" s="3" t="s">
        <v>223</v>
      </c>
      <c r="O14" s="3">
        <v>36</v>
      </c>
      <c r="Q14" s="3">
        <v>13</v>
      </c>
      <c r="AB14" s="3">
        <v>10</v>
      </c>
      <c r="BL14" s="3">
        <v>8</v>
      </c>
      <c r="CB14" s="3">
        <v>2</v>
      </c>
      <c r="CU14" s="3">
        <v>2</v>
      </c>
      <c r="DR14" s="3">
        <v>4</v>
      </c>
      <c r="DY14" s="3">
        <v>1</v>
      </c>
      <c r="EB14" s="3">
        <v>1</v>
      </c>
      <c r="EI14" s="3">
        <v>106</v>
      </c>
      <c r="FB14" s="3">
        <v>1</v>
      </c>
      <c r="FD14" s="3">
        <v>1</v>
      </c>
      <c r="FI14" s="3">
        <v>1</v>
      </c>
      <c r="FQ14" s="3">
        <v>204</v>
      </c>
      <c r="GC14" s="3">
        <v>26</v>
      </c>
      <c r="GE14" s="3">
        <f t="shared" si="0"/>
        <v>14</v>
      </c>
      <c r="GF14" s="3">
        <f t="shared" si="1"/>
        <v>9</v>
      </c>
      <c r="GG14" s="3">
        <f t="shared" si="2"/>
        <v>6</v>
      </c>
      <c r="GH14" s="3">
        <f t="shared" si="3"/>
        <v>0.62845438133592557</v>
      </c>
      <c r="GI14" s="3">
        <f t="shared" si="4"/>
        <v>380</v>
      </c>
      <c r="GJ14" s="3">
        <f t="shared" si="5"/>
        <v>900</v>
      </c>
      <c r="GK14" s="3">
        <f t="shared" si="6"/>
        <v>520</v>
      </c>
    </row>
    <row r="15" spans="1:203" ht="15.75" customHeight="1" x14ac:dyDescent="0.15">
      <c r="A15" s="13">
        <v>38473</v>
      </c>
      <c r="B15" s="3" t="s">
        <v>201</v>
      </c>
      <c r="C15" s="3">
        <v>21.25544</v>
      </c>
      <c r="D15" s="3">
        <v>-157.810303</v>
      </c>
      <c r="E15" s="3" t="s">
        <v>197</v>
      </c>
      <c r="F15" s="14">
        <v>0</v>
      </c>
      <c r="G15" s="14">
        <v>4.1666666666666664E-2</v>
      </c>
      <c r="H15" s="3">
        <v>3</v>
      </c>
      <c r="I15" s="3">
        <v>9</v>
      </c>
      <c r="J15" s="3" t="s">
        <v>198</v>
      </c>
      <c r="K15" s="3">
        <v>10</v>
      </c>
      <c r="L15" s="3">
        <v>27</v>
      </c>
      <c r="O15" s="3">
        <v>27</v>
      </c>
      <c r="Q15" s="3">
        <v>12</v>
      </c>
      <c r="BA15" s="3">
        <v>6</v>
      </c>
      <c r="BP15" s="3">
        <v>9</v>
      </c>
      <c r="BY15" s="3">
        <v>26</v>
      </c>
      <c r="DL15" s="3">
        <v>19</v>
      </c>
      <c r="DR15" s="3">
        <v>15</v>
      </c>
      <c r="EI15" s="3">
        <v>168</v>
      </c>
      <c r="FA15" s="3">
        <v>67</v>
      </c>
      <c r="FQ15" s="3">
        <v>122</v>
      </c>
      <c r="GC15" s="3">
        <v>36</v>
      </c>
      <c r="GE15" s="3">
        <f t="shared" si="0"/>
        <v>10</v>
      </c>
      <c r="GF15" s="3">
        <f t="shared" si="1"/>
        <v>10</v>
      </c>
      <c r="GG15" s="3">
        <f t="shared" si="2"/>
        <v>10</v>
      </c>
      <c r="GH15" s="3">
        <f t="shared" si="3"/>
        <v>0.78281141266527487</v>
      </c>
      <c r="GI15" s="3">
        <f t="shared" si="4"/>
        <v>480</v>
      </c>
      <c r="GJ15" s="3">
        <f t="shared" si="5"/>
        <v>675</v>
      </c>
      <c r="GK15" s="3">
        <f t="shared" si="6"/>
        <v>195</v>
      </c>
    </row>
    <row r="16" spans="1:203" ht="15.75" customHeight="1" x14ac:dyDescent="0.15">
      <c r="A16" s="13">
        <v>38473</v>
      </c>
      <c r="B16" s="3" t="s">
        <v>219</v>
      </c>
      <c r="C16" s="3">
        <v>21.295798999999999</v>
      </c>
      <c r="D16" s="3">
        <v>-158.10369900000001</v>
      </c>
      <c r="E16" s="3" t="s">
        <v>197</v>
      </c>
      <c r="F16" s="14">
        <v>0</v>
      </c>
      <c r="G16" s="14">
        <v>4.1666666666666664E-2</v>
      </c>
      <c r="H16" s="3">
        <v>6</v>
      </c>
      <c r="I16" s="3">
        <v>20</v>
      </c>
      <c r="J16" s="3" t="s">
        <v>217</v>
      </c>
      <c r="K16" s="3">
        <v>10</v>
      </c>
      <c r="L16" s="3">
        <v>34</v>
      </c>
      <c r="M16" s="3" t="s">
        <v>224</v>
      </c>
      <c r="O16" s="3">
        <v>34</v>
      </c>
      <c r="Q16" s="3">
        <v>134</v>
      </c>
      <c r="BP16" s="3">
        <v>10</v>
      </c>
      <c r="BV16" s="3">
        <v>22</v>
      </c>
      <c r="BY16" s="3">
        <v>2</v>
      </c>
      <c r="CR16" s="3">
        <v>2</v>
      </c>
      <c r="DL16" s="3">
        <v>15</v>
      </c>
      <c r="DY16" s="3">
        <v>1</v>
      </c>
      <c r="EC16" s="3">
        <v>1</v>
      </c>
      <c r="EI16" s="3">
        <v>147</v>
      </c>
      <c r="FA16" s="3">
        <v>53</v>
      </c>
      <c r="FB16" s="3">
        <v>20</v>
      </c>
      <c r="FQ16" s="3">
        <v>35</v>
      </c>
      <c r="GC16" s="3">
        <v>1</v>
      </c>
      <c r="GE16" s="3">
        <f t="shared" si="0"/>
        <v>13</v>
      </c>
      <c r="GF16" s="3">
        <f t="shared" si="1"/>
        <v>10</v>
      </c>
      <c r="GG16" s="3">
        <f t="shared" si="2"/>
        <v>8</v>
      </c>
      <c r="GH16" s="3">
        <f t="shared" si="3"/>
        <v>0.77336751682788063</v>
      </c>
      <c r="GI16" s="3">
        <f t="shared" si="4"/>
        <v>443</v>
      </c>
      <c r="GJ16" s="3">
        <f t="shared" si="5"/>
        <v>850</v>
      </c>
      <c r="GK16" s="3">
        <f t="shared" si="6"/>
        <v>407</v>
      </c>
    </row>
    <row r="17" spans="1:203" ht="15.75" customHeight="1" x14ac:dyDescent="0.15">
      <c r="A17" s="13">
        <v>38478</v>
      </c>
      <c r="B17" s="3" t="s">
        <v>216</v>
      </c>
      <c r="C17" s="3">
        <v>21.3002</v>
      </c>
      <c r="D17" s="3">
        <v>-157.882599</v>
      </c>
      <c r="E17" s="3" t="s">
        <v>197</v>
      </c>
      <c r="F17" s="14">
        <v>0</v>
      </c>
      <c r="G17" s="14">
        <v>4.1666666666666664E-2</v>
      </c>
      <c r="H17" s="3">
        <v>4</v>
      </c>
      <c r="I17" s="3">
        <v>22</v>
      </c>
      <c r="J17" s="3" t="s">
        <v>217</v>
      </c>
      <c r="K17" s="3">
        <v>10</v>
      </c>
      <c r="L17" s="3">
        <v>38</v>
      </c>
      <c r="M17" s="3" t="s">
        <v>225</v>
      </c>
      <c r="O17" s="3">
        <v>38</v>
      </c>
      <c r="Q17" s="3">
        <v>30</v>
      </c>
      <c r="BY17" s="3">
        <v>1</v>
      </c>
      <c r="CU17" s="3">
        <v>2</v>
      </c>
      <c r="DR17" s="3">
        <v>1</v>
      </c>
      <c r="EI17" s="3">
        <v>45</v>
      </c>
      <c r="FQ17" s="3">
        <v>223</v>
      </c>
      <c r="GC17" s="3">
        <v>52</v>
      </c>
      <c r="GE17" s="3">
        <f t="shared" si="0"/>
        <v>7</v>
      </c>
      <c r="GF17" s="3">
        <f t="shared" si="1"/>
        <v>5</v>
      </c>
      <c r="GG17" s="3">
        <f t="shared" si="2"/>
        <v>4</v>
      </c>
      <c r="GH17" s="3">
        <f t="shared" si="3"/>
        <v>0.55978617499719907</v>
      </c>
      <c r="GI17" s="3">
        <f t="shared" si="4"/>
        <v>354</v>
      </c>
      <c r="GJ17" s="3">
        <f t="shared" si="5"/>
        <v>950</v>
      </c>
      <c r="GK17" s="3">
        <f t="shared" si="6"/>
        <v>596</v>
      </c>
    </row>
    <row r="18" spans="1:203" ht="15.75" customHeight="1" x14ac:dyDescent="0.15">
      <c r="A18" s="13">
        <v>38479</v>
      </c>
      <c r="B18" s="3" t="s">
        <v>226</v>
      </c>
      <c r="C18" s="3">
        <v>21.706499000000001</v>
      </c>
      <c r="D18" s="3">
        <v>-157.99850499999999</v>
      </c>
      <c r="E18" s="3" t="s">
        <v>197</v>
      </c>
      <c r="F18" s="14">
        <v>0</v>
      </c>
      <c r="G18" s="14">
        <v>4.1666666666666664E-2</v>
      </c>
      <c r="H18" s="3">
        <v>3</v>
      </c>
      <c r="I18" s="3">
        <v>27</v>
      </c>
      <c r="J18" s="3" t="s">
        <v>227</v>
      </c>
      <c r="K18" s="3">
        <v>10</v>
      </c>
      <c r="L18" s="3">
        <v>22</v>
      </c>
      <c r="M18" s="3" t="s">
        <v>228</v>
      </c>
      <c r="O18" s="3">
        <v>22</v>
      </c>
      <c r="AB18" s="3">
        <v>3</v>
      </c>
      <c r="BG18" s="3">
        <v>4</v>
      </c>
      <c r="BV18" s="3">
        <v>12</v>
      </c>
      <c r="BY18" s="3">
        <v>5</v>
      </c>
      <c r="CB18" s="3">
        <v>13</v>
      </c>
      <c r="CR18" s="3">
        <v>1</v>
      </c>
      <c r="DB18" s="3">
        <v>4</v>
      </c>
      <c r="DL18" s="3">
        <v>116</v>
      </c>
      <c r="DU18" s="3">
        <v>62</v>
      </c>
      <c r="EI18" s="3">
        <v>93</v>
      </c>
      <c r="FA18" s="3">
        <v>29</v>
      </c>
      <c r="FP18" s="3">
        <v>14</v>
      </c>
      <c r="FQ18" s="3">
        <v>118</v>
      </c>
      <c r="FV18" s="3">
        <v>14</v>
      </c>
      <c r="GC18" s="3">
        <v>16</v>
      </c>
      <c r="GE18" s="3">
        <f t="shared" si="0"/>
        <v>15</v>
      </c>
      <c r="GF18" s="3">
        <f t="shared" si="1"/>
        <v>14</v>
      </c>
      <c r="GG18" s="3">
        <f t="shared" si="2"/>
        <v>11</v>
      </c>
      <c r="GH18" s="3">
        <f t="shared" si="3"/>
        <v>0.8373331439931837</v>
      </c>
      <c r="GI18" s="3">
        <f t="shared" si="4"/>
        <v>504</v>
      </c>
      <c r="GJ18" s="3">
        <f t="shared" si="5"/>
        <v>550</v>
      </c>
      <c r="GK18" s="3">
        <f t="shared" si="6"/>
        <v>46</v>
      </c>
    </row>
    <row r="19" spans="1:203" ht="16" x14ac:dyDescent="0.2">
      <c r="A19" s="13">
        <v>38493</v>
      </c>
      <c r="B19" s="3" t="s">
        <v>226</v>
      </c>
      <c r="C19" s="3">
        <v>21.706499000000001</v>
      </c>
      <c r="D19" s="3">
        <v>-157.99850499999999</v>
      </c>
      <c r="E19" s="3" t="s">
        <v>197</v>
      </c>
      <c r="F19" s="14">
        <v>0</v>
      </c>
      <c r="G19" s="14">
        <v>4.1666666666666664E-2</v>
      </c>
      <c r="H19" s="3">
        <v>2</v>
      </c>
      <c r="I19" s="3">
        <v>27</v>
      </c>
      <c r="J19" s="3" t="s">
        <v>227</v>
      </c>
      <c r="K19" s="3">
        <v>10</v>
      </c>
      <c r="L19" s="3">
        <v>11</v>
      </c>
      <c r="M19" s="3" t="s">
        <v>229</v>
      </c>
      <c r="O19" s="3">
        <v>11</v>
      </c>
      <c r="BG19" s="3">
        <v>1</v>
      </c>
      <c r="BV19" s="3">
        <v>3</v>
      </c>
      <c r="BY19" s="3">
        <v>1</v>
      </c>
      <c r="DU19" s="3">
        <v>32</v>
      </c>
      <c r="EC19" s="3">
        <v>1</v>
      </c>
      <c r="EI19" s="3">
        <v>55</v>
      </c>
      <c r="FA19" s="3">
        <v>13</v>
      </c>
      <c r="FP19" s="3">
        <v>1</v>
      </c>
      <c r="FQ19" s="3">
        <v>103</v>
      </c>
      <c r="GC19" s="3">
        <v>4</v>
      </c>
      <c r="GE19" s="3">
        <f t="shared" si="0"/>
        <v>10</v>
      </c>
      <c r="GF19" s="3">
        <f t="shared" si="1"/>
        <v>6</v>
      </c>
      <c r="GG19" s="3">
        <f t="shared" si="2"/>
        <v>4</v>
      </c>
      <c r="GH19" s="3">
        <f t="shared" si="3"/>
        <v>0.67877671010486595</v>
      </c>
      <c r="GI19" s="3">
        <f t="shared" si="4"/>
        <v>214</v>
      </c>
      <c r="GJ19" s="3">
        <f t="shared" si="5"/>
        <v>275</v>
      </c>
      <c r="GK19" s="3">
        <f t="shared" si="6"/>
        <v>61</v>
      </c>
      <c r="GS19" s="22"/>
      <c r="GT19" s="22"/>
      <c r="GU19" s="22"/>
    </row>
    <row r="20" spans="1:203" ht="16" x14ac:dyDescent="0.2">
      <c r="A20" s="13">
        <v>38496</v>
      </c>
      <c r="B20" s="3" t="s">
        <v>230</v>
      </c>
      <c r="C20" s="3">
        <v>20.753699999999998</v>
      </c>
      <c r="D20" s="3">
        <v>-156.46090699999999</v>
      </c>
      <c r="E20" s="3" t="s">
        <v>197</v>
      </c>
      <c r="F20" s="14">
        <v>0</v>
      </c>
      <c r="G20" s="14">
        <v>4.1666666666666664E-2</v>
      </c>
      <c r="H20" s="3">
        <v>5</v>
      </c>
      <c r="I20" s="3">
        <v>15</v>
      </c>
      <c r="J20" s="3" t="s">
        <v>217</v>
      </c>
      <c r="K20" s="3">
        <v>8</v>
      </c>
      <c r="L20" s="3">
        <v>36</v>
      </c>
      <c r="M20" s="3" t="s">
        <v>231</v>
      </c>
      <c r="O20" s="3">
        <v>36</v>
      </c>
      <c r="Q20" s="3">
        <v>12</v>
      </c>
      <c r="BG20" s="3">
        <v>8</v>
      </c>
      <c r="BL20" s="3">
        <v>67</v>
      </c>
      <c r="DE20" s="3">
        <v>60</v>
      </c>
      <c r="DL20" s="3">
        <v>15</v>
      </c>
      <c r="EH20" s="3">
        <v>1</v>
      </c>
      <c r="EI20" s="3">
        <v>8</v>
      </c>
      <c r="FA20" s="3">
        <v>31</v>
      </c>
      <c r="FQ20" s="3">
        <v>23</v>
      </c>
      <c r="FR20" s="3">
        <v>59</v>
      </c>
      <c r="FT20" s="3">
        <v>1</v>
      </c>
      <c r="GC20" s="3">
        <v>2</v>
      </c>
      <c r="GE20" s="3">
        <f t="shared" si="0"/>
        <v>12</v>
      </c>
      <c r="GF20" s="3">
        <f t="shared" si="1"/>
        <v>10</v>
      </c>
      <c r="GG20" s="3">
        <f t="shared" si="2"/>
        <v>9</v>
      </c>
      <c r="GH20" s="3">
        <f t="shared" si="3"/>
        <v>0.83825930167393581</v>
      </c>
      <c r="GI20" s="3">
        <f t="shared" si="4"/>
        <v>287</v>
      </c>
      <c r="GJ20" s="3">
        <f t="shared" si="5"/>
        <v>900</v>
      </c>
      <c r="GK20" s="3">
        <f t="shared" si="6"/>
        <v>613</v>
      </c>
      <c r="GS20" s="22"/>
      <c r="GT20" s="22"/>
      <c r="GU20" s="22"/>
    </row>
    <row r="21" spans="1:203" ht="16" x14ac:dyDescent="0.2">
      <c r="A21" s="13">
        <v>38507</v>
      </c>
      <c r="B21" s="3" t="s">
        <v>226</v>
      </c>
      <c r="C21" s="3">
        <v>21.706499000000001</v>
      </c>
      <c r="D21" s="3">
        <v>-157.99850499999999</v>
      </c>
      <c r="E21" s="3" t="s">
        <v>197</v>
      </c>
      <c r="F21" s="14">
        <v>0</v>
      </c>
      <c r="G21" s="14">
        <v>4.1666666666666664E-2</v>
      </c>
      <c r="H21" s="3">
        <v>3</v>
      </c>
      <c r="I21" s="3">
        <v>27</v>
      </c>
      <c r="J21" s="3" t="s">
        <v>227</v>
      </c>
      <c r="K21" s="3">
        <v>10</v>
      </c>
      <c r="L21" s="3">
        <v>20</v>
      </c>
      <c r="M21" s="3" t="s">
        <v>232</v>
      </c>
      <c r="O21" s="3">
        <v>20</v>
      </c>
      <c r="Q21" s="3">
        <v>7</v>
      </c>
      <c r="R21" s="3">
        <v>1</v>
      </c>
      <c r="BA21" s="3">
        <v>11</v>
      </c>
      <c r="BG21" s="3">
        <v>1</v>
      </c>
      <c r="BL21" s="3">
        <v>3</v>
      </c>
      <c r="BV21" s="3">
        <v>7</v>
      </c>
      <c r="BY21" s="3">
        <v>10</v>
      </c>
      <c r="CB21" s="3">
        <v>7</v>
      </c>
      <c r="CC21" s="3">
        <v>4</v>
      </c>
      <c r="CR21" s="3">
        <v>1</v>
      </c>
      <c r="CV21" s="3">
        <v>7</v>
      </c>
      <c r="DB21" s="3">
        <v>1</v>
      </c>
      <c r="DL21" s="3">
        <v>46</v>
      </c>
      <c r="DU21" s="3">
        <v>53</v>
      </c>
      <c r="EI21" s="3">
        <v>33</v>
      </c>
      <c r="FA21" s="3">
        <v>7</v>
      </c>
      <c r="FP21" s="3">
        <v>8</v>
      </c>
      <c r="FQ21" s="3">
        <v>146</v>
      </c>
      <c r="GC21" s="3">
        <v>53</v>
      </c>
      <c r="GE21" s="3">
        <f t="shared" si="0"/>
        <v>19</v>
      </c>
      <c r="GF21" s="3">
        <f t="shared" si="1"/>
        <v>15</v>
      </c>
      <c r="GG21" s="3">
        <f t="shared" si="2"/>
        <v>13</v>
      </c>
      <c r="GH21" s="3">
        <f t="shared" si="3"/>
        <v>0.81577571002858362</v>
      </c>
      <c r="GI21" s="3">
        <f t="shared" si="4"/>
        <v>406</v>
      </c>
      <c r="GJ21" s="3">
        <f t="shared" si="5"/>
        <v>500</v>
      </c>
      <c r="GK21" s="3">
        <f t="shared" si="6"/>
        <v>94</v>
      </c>
      <c r="GS21" s="22"/>
      <c r="GT21" s="22"/>
      <c r="GU21" s="22"/>
    </row>
    <row r="22" spans="1:203" ht="15.75" customHeight="1" x14ac:dyDescent="0.15">
      <c r="A22" s="13">
        <v>38824</v>
      </c>
      <c r="B22" s="3" t="s">
        <v>233</v>
      </c>
      <c r="C22" s="3">
        <v>21.066799</v>
      </c>
      <c r="D22" s="3">
        <v>-156.804993</v>
      </c>
      <c r="E22" s="3" t="s">
        <v>197</v>
      </c>
      <c r="F22" s="14">
        <v>0</v>
      </c>
      <c r="G22" s="14">
        <v>4.1666666666666664E-2</v>
      </c>
      <c r="H22" s="3">
        <v>3</v>
      </c>
      <c r="I22" s="3">
        <v>27</v>
      </c>
      <c r="J22" s="3" t="s">
        <v>227</v>
      </c>
      <c r="K22" s="3">
        <v>10</v>
      </c>
      <c r="L22" s="3">
        <v>29</v>
      </c>
      <c r="M22" s="3" t="s">
        <v>234</v>
      </c>
      <c r="O22" s="3">
        <v>29</v>
      </c>
      <c r="Q22" s="3">
        <v>97</v>
      </c>
      <c r="BA22" s="3">
        <v>102</v>
      </c>
      <c r="BL22" s="3">
        <v>4</v>
      </c>
      <c r="BX22" s="3">
        <v>3</v>
      </c>
      <c r="CF22" s="3">
        <v>1</v>
      </c>
      <c r="CN22" s="3">
        <v>1</v>
      </c>
      <c r="DC22" s="3">
        <v>5</v>
      </c>
      <c r="DL22" s="3">
        <v>18</v>
      </c>
      <c r="DR22" s="3">
        <v>129</v>
      </c>
      <c r="EI22" s="3">
        <v>1</v>
      </c>
      <c r="FA22" s="3">
        <v>17</v>
      </c>
      <c r="FP22" s="3">
        <v>2</v>
      </c>
      <c r="GE22" s="3">
        <f t="shared" si="0"/>
        <v>12</v>
      </c>
      <c r="GF22" s="3">
        <f t="shared" si="1"/>
        <v>9</v>
      </c>
      <c r="GG22" s="3">
        <f t="shared" si="2"/>
        <v>6</v>
      </c>
      <c r="GH22" s="3">
        <f t="shared" si="3"/>
        <v>0.74486876822663517</v>
      </c>
      <c r="GI22" s="3">
        <f t="shared" si="4"/>
        <v>380</v>
      </c>
      <c r="GJ22" s="3">
        <f t="shared" si="5"/>
        <v>725</v>
      </c>
      <c r="GK22" s="3">
        <f t="shared" si="6"/>
        <v>345</v>
      </c>
    </row>
    <row r="23" spans="1:203" ht="15.75" customHeight="1" x14ac:dyDescent="0.15">
      <c r="A23" s="13">
        <v>38824</v>
      </c>
      <c r="B23" s="3" t="s">
        <v>201</v>
      </c>
      <c r="C23" s="3">
        <v>21.25544</v>
      </c>
      <c r="D23" s="3">
        <v>-157.810303</v>
      </c>
      <c r="E23" s="3" t="s">
        <v>197</v>
      </c>
      <c r="F23" s="14">
        <v>0</v>
      </c>
      <c r="G23" s="14">
        <v>4.1666666666666664E-2</v>
      </c>
      <c r="H23" s="3">
        <v>6</v>
      </c>
      <c r="I23" s="3">
        <v>11</v>
      </c>
      <c r="J23" s="3" t="s">
        <v>198</v>
      </c>
      <c r="K23" s="3">
        <v>12</v>
      </c>
      <c r="L23" s="3">
        <v>53</v>
      </c>
      <c r="M23" s="3" t="s">
        <v>235</v>
      </c>
      <c r="O23" s="3">
        <v>53</v>
      </c>
      <c r="Q23" s="3">
        <v>4</v>
      </c>
      <c r="AD23" s="3">
        <v>2</v>
      </c>
      <c r="AE23" s="3">
        <v>1</v>
      </c>
      <c r="BG23" s="3">
        <v>2</v>
      </c>
      <c r="BP23" s="3">
        <v>10</v>
      </c>
      <c r="BV23" s="3">
        <v>7</v>
      </c>
      <c r="BY23" s="3">
        <v>31</v>
      </c>
      <c r="CR23" s="3">
        <v>22</v>
      </c>
      <c r="DL23" s="3">
        <v>248</v>
      </c>
      <c r="DO23" s="3">
        <v>3</v>
      </c>
      <c r="DY23" s="3">
        <v>2</v>
      </c>
      <c r="EI23" s="3">
        <v>188</v>
      </c>
      <c r="FA23" s="3">
        <v>193</v>
      </c>
      <c r="FB23" s="3">
        <v>6</v>
      </c>
      <c r="FP23" s="3">
        <v>3</v>
      </c>
      <c r="FQ23" s="3">
        <v>86</v>
      </c>
      <c r="FS23" s="3">
        <v>15</v>
      </c>
      <c r="GC23" s="3">
        <v>25</v>
      </c>
      <c r="GE23" s="3">
        <f t="shared" si="0"/>
        <v>18</v>
      </c>
      <c r="GF23" s="3">
        <f t="shared" si="1"/>
        <v>17</v>
      </c>
      <c r="GG23" s="3">
        <f t="shared" si="2"/>
        <v>11</v>
      </c>
      <c r="GH23" s="3">
        <f t="shared" si="3"/>
        <v>0.80066717159341516</v>
      </c>
      <c r="GI23" s="3">
        <f t="shared" si="4"/>
        <v>848</v>
      </c>
      <c r="GJ23" s="3">
        <f t="shared" si="5"/>
        <v>1325</v>
      </c>
      <c r="GK23" s="3">
        <f t="shared" si="6"/>
        <v>477</v>
      </c>
    </row>
    <row r="24" spans="1:203" ht="15.75" customHeight="1" x14ac:dyDescent="0.15">
      <c r="A24" s="13">
        <v>38825</v>
      </c>
      <c r="B24" s="3" t="s">
        <v>230</v>
      </c>
      <c r="C24" s="3">
        <v>20.753699999999998</v>
      </c>
      <c r="D24" s="3">
        <v>-156.46090699999999</v>
      </c>
      <c r="E24" s="3" t="s">
        <v>197</v>
      </c>
      <c r="F24" s="14">
        <v>0</v>
      </c>
      <c r="G24" s="14">
        <v>4.1666666666666664E-2</v>
      </c>
      <c r="H24" s="3">
        <v>5</v>
      </c>
      <c r="I24" s="3">
        <v>22</v>
      </c>
      <c r="J24" s="3" t="s">
        <v>217</v>
      </c>
      <c r="K24" s="3">
        <v>14</v>
      </c>
      <c r="L24" s="3">
        <v>42</v>
      </c>
      <c r="M24" s="3" t="s">
        <v>236</v>
      </c>
      <c r="O24" s="3">
        <v>42</v>
      </c>
      <c r="Q24" s="3">
        <v>31</v>
      </c>
      <c r="BJ24" s="3">
        <v>24</v>
      </c>
      <c r="BL24" s="3">
        <v>109</v>
      </c>
      <c r="BW24" s="3">
        <v>1</v>
      </c>
      <c r="DE24" s="3">
        <v>23</v>
      </c>
      <c r="DL24" s="3">
        <v>2</v>
      </c>
      <c r="EC24" s="3">
        <v>2</v>
      </c>
      <c r="EI24" s="3">
        <v>9</v>
      </c>
      <c r="FA24" s="3">
        <v>14</v>
      </c>
      <c r="FM24" s="3">
        <v>3</v>
      </c>
      <c r="FQ24" s="3">
        <v>12</v>
      </c>
      <c r="FR24" s="3">
        <v>57</v>
      </c>
      <c r="FT24" s="3">
        <v>2</v>
      </c>
      <c r="GE24" s="3">
        <f t="shared" si="0"/>
        <v>13</v>
      </c>
      <c r="GF24" s="3">
        <f t="shared" si="1"/>
        <v>12</v>
      </c>
      <c r="GG24" s="3">
        <f t="shared" si="2"/>
        <v>8</v>
      </c>
      <c r="GH24" s="3">
        <f t="shared" si="3"/>
        <v>0.79154652056901198</v>
      </c>
      <c r="GI24" s="3">
        <f t="shared" si="4"/>
        <v>289</v>
      </c>
      <c r="GJ24" s="3">
        <f t="shared" si="5"/>
        <v>1050</v>
      </c>
      <c r="GK24" s="3">
        <f t="shared" si="6"/>
        <v>761</v>
      </c>
    </row>
    <row r="25" spans="1:203" ht="15.75" customHeight="1" x14ac:dyDescent="0.15">
      <c r="A25" s="13">
        <v>38834</v>
      </c>
      <c r="B25" s="3" t="s">
        <v>219</v>
      </c>
      <c r="C25" s="3">
        <v>21.295798999999999</v>
      </c>
      <c r="D25" s="3">
        <v>-158.10369900000001</v>
      </c>
      <c r="E25" s="3" t="s">
        <v>197</v>
      </c>
      <c r="F25" s="14">
        <v>0</v>
      </c>
      <c r="G25" s="14">
        <v>4.1666666666666664E-2</v>
      </c>
      <c r="H25" s="3">
        <v>4</v>
      </c>
      <c r="I25" s="3">
        <v>25</v>
      </c>
      <c r="J25" s="3" t="s">
        <v>237</v>
      </c>
      <c r="K25" s="3">
        <v>5</v>
      </c>
      <c r="L25" s="3">
        <v>16</v>
      </c>
      <c r="M25" s="3" t="s">
        <v>238</v>
      </c>
      <c r="O25" s="3">
        <v>16</v>
      </c>
      <c r="Q25" s="3">
        <v>5</v>
      </c>
      <c r="BC25" s="3">
        <v>1</v>
      </c>
      <c r="BL25" s="3">
        <v>1</v>
      </c>
      <c r="BP25" s="3">
        <v>25</v>
      </c>
      <c r="BT25" s="3">
        <v>8</v>
      </c>
      <c r="BV25" s="3">
        <v>3</v>
      </c>
      <c r="DL25" s="3">
        <v>2</v>
      </c>
      <c r="EB25" s="3">
        <v>1</v>
      </c>
      <c r="EC25" s="3">
        <v>1</v>
      </c>
      <c r="EI25" s="3">
        <v>134</v>
      </c>
      <c r="FA25" s="3">
        <v>1</v>
      </c>
      <c r="FQ25" s="3">
        <v>8</v>
      </c>
      <c r="GE25" s="3">
        <f t="shared" si="0"/>
        <v>12</v>
      </c>
      <c r="GF25" s="3">
        <f t="shared" si="1"/>
        <v>7</v>
      </c>
      <c r="GG25" s="3">
        <f t="shared" si="2"/>
        <v>5</v>
      </c>
      <c r="GH25" s="3">
        <f t="shared" si="3"/>
        <v>0.48309663046505147</v>
      </c>
      <c r="GI25" s="3">
        <f t="shared" si="4"/>
        <v>190</v>
      </c>
      <c r="GJ25" s="3">
        <f t="shared" si="5"/>
        <v>400</v>
      </c>
      <c r="GK25" s="3">
        <f t="shared" si="6"/>
        <v>210</v>
      </c>
    </row>
    <row r="26" spans="1:203" ht="15.75" customHeight="1" x14ac:dyDescent="0.15">
      <c r="A26" s="13">
        <v>38835</v>
      </c>
      <c r="B26" s="3" t="s">
        <v>216</v>
      </c>
      <c r="C26" s="3">
        <v>21.3002</v>
      </c>
      <c r="D26" s="3">
        <v>-157.882599</v>
      </c>
      <c r="E26" s="3" t="s">
        <v>197</v>
      </c>
      <c r="F26" s="14">
        <v>0</v>
      </c>
      <c r="G26" s="14">
        <v>4.1666666666666664E-2</v>
      </c>
      <c r="H26" s="3">
        <v>3</v>
      </c>
      <c r="I26" s="3">
        <v>25</v>
      </c>
      <c r="J26" s="3" t="s">
        <v>237</v>
      </c>
      <c r="K26" s="3">
        <v>5</v>
      </c>
      <c r="L26" s="3">
        <v>10</v>
      </c>
      <c r="M26" s="3" t="s">
        <v>239</v>
      </c>
      <c r="O26" s="3">
        <v>10</v>
      </c>
      <c r="Q26" s="3">
        <v>1</v>
      </c>
      <c r="BD26" s="3">
        <v>1</v>
      </c>
      <c r="BU26" s="3">
        <v>1</v>
      </c>
      <c r="DL26" s="3">
        <v>7</v>
      </c>
      <c r="EI26" s="3">
        <v>21</v>
      </c>
      <c r="FA26" s="3">
        <v>1</v>
      </c>
      <c r="GC26" s="3">
        <v>2</v>
      </c>
      <c r="GE26" s="3">
        <f t="shared" si="0"/>
        <v>7</v>
      </c>
      <c r="GF26" s="3">
        <f t="shared" si="1"/>
        <v>3</v>
      </c>
      <c r="GG26" s="3">
        <f t="shared" si="2"/>
        <v>2</v>
      </c>
      <c r="GH26" s="3">
        <f t="shared" si="3"/>
        <v>0.58645276292335113</v>
      </c>
      <c r="GI26" s="3">
        <f t="shared" si="4"/>
        <v>34</v>
      </c>
      <c r="GJ26" s="3">
        <f t="shared" si="5"/>
        <v>250</v>
      </c>
      <c r="GK26" s="3">
        <f t="shared" si="6"/>
        <v>216</v>
      </c>
    </row>
    <row r="27" spans="1:203" ht="15.75" customHeight="1" x14ac:dyDescent="0.15">
      <c r="A27" s="13">
        <v>38838</v>
      </c>
      <c r="B27" s="3" t="s">
        <v>240</v>
      </c>
      <c r="C27" s="3">
        <v>21.105899999999998</v>
      </c>
      <c r="D27" s="3">
        <v>-156.746094</v>
      </c>
      <c r="E27" s="3" t="s">
        <v>197</v>
      </c>
      <c r="F27" s="14">
        <v>0</v>
      </c>
      <c r="G27" s="14">
        <v>4.1666666666666664E-2</v>
      </c>
      <c r="H27" s="3">
        <v>3</v>
      </c>
      <c r="I27" s="3">
        <v>27</v>
      </c>
      <c r="J27" s="3" t="s">
        <v>227</v>
      </c>
      <c r="K27" s="3">
        <v>10</v>
      </c>
      <c r="L27" s="3">
        <v>27</v>
      </c>
      <c r="M27" s="3" t="s">
        <v>241</v>
      </c>
      <c r="O27" s="3">
        <v>27</v>
      </c>
      <c r="AL27" s="3">
        <v>22</v>
      </c>
      <c r="BA27" s="3">
        <v>12</v>
      </c>
      <c r="BL27" s="3">
        <v>9</v>
      </c>
      <c r="CR27" s="3">
        <v>1</v>
      </c>
      <c r="EI27" s="3">
        <v>40</v>
      </c>
      <c r="FQ27" s="3">
        <v>322</v>
      </c>
      <c r="GE27" s="3">
        <f t="shared" si="0"/>
        <v>6</v>
      </c>
      <c r="GF27" s="3">
        <f t="shared" si="1"/>
        <v>5</v>
      </c>
      <c r="GG27" s="3">
        <f t="shared" si="2"/>
        <v>5</v>
      </c>
      <c r="GH27" s="3">
        <f t="shared" si="3"/>
        <v>0.3578544061302682</v>
      </c>
      <c r="GI27" s="3">
        <f t="shared" si="4"/>
        <v>406</v>
      </c>
      <c r="GJ27" s="3">
        <f t="shared" si="5"/>
        <v>675</v>
      </c>
      <c r="GK27" s="3">
        <f t="shared" si="6"/>
        <v>269</v>
      </c>
    </row>
    <row r="28" spans="1:203" ht="15.75" customHeight="1" x14ac:dyDescent="0.15">
      <c r="A28" s="13">
        <v>38849</v>
      </c>
      <c r="B28" s="3" t="s">
        <v>219</v>
      </c>
      <c r="C28" s="3">
        <v>21.295798999999999</v>
      </c>
      <c r="D28" s="3">
        <v>-158.10369900000001</v>
      </c>
      <c r="E28" s="3" t="s">
        <v>197</v>
      </c>
      <c r="F28" s="14">
        <v>0</v>
      </c>
      <c r="G28" s="14">
        <v>4.1666666666666664E-2</v>
      </c>
      <c r="H28" s="3">
        <v>4</v>
      </c>
      <c r="I28" s="3">
        <v>25</v>
      </c>
      <c r="J28" s="3" t="s">
        <v>237</v>
      </c>
      <c r="K28" s="3">
        <v>5</v>
      </c>
      <c r="L28" s="3">
        <v>14</v>
      </c>
      <c r="M28" s="3" t="s">
        <v>242</v>
      </c>
      <c r="O28" s="3">
        <v>14</v>
      </c>
      <c r="AC28" s="3">
        <v>3</v>
      </c>
      <c r="AL28" s="3">
        <v>6</v>
      </c>
      <c r="BP28" s="3">
        <v>5</v>
      </c>
      <c r="BV28" s="3">
        <v>13</v>
      </c>
      <c r="DG28" s="3">
        <v>1</v>
      </c>
      <c r="DL28" s="3">
        <v>20</v>
      </c>
      <c r="EB28" s="3">
        <v>1</v>
      </c>
      <c r="EI28" s="3">
        <v>216</v>
      </c>
      <c r="EU28" s="3">
        <v>1</v>
      </c>
      <c r="FA28" s="3">
        <v>27</v>
      </c>
      <c r="FB28" s="3">
        <v>1</v>
      </c>
      <c r="FL28" s="3">
        <v>8</v>
      </c>
      <c r="FQ28" s="3">
        <v>38</v>
      </c>
      <c r="GC28" s="3">
        <v>1</v>
      </c>
      <c r="GE28" s="3">
        <f t="shared" si="0"/>
        <v>14</v>
      </c>
      <c r="GF28" s="3">
        <f t="shared" si="1"/>
        <v>9</v>
      </c>
      <c r="GG28" s="3">
        <f t="shared" si="2"/>
        <v>8</v>
      </c>
      <c r="GH28" s="3">
        <f t="shared" si="3"/>
        <v>0.57567707434880111</v>
      </c>
      <c r="GI28" s="3">
        <f t="shared" si="4"/>
        <v>341</v>
      </c>
      <c r="GJ28" s="3">
        <f t="shared" si="5"/>
        <v>350</v>
      </c>
      <c r="GK28" s="3">
        <f t="shared" si="6"/>
        <v>9</v>
      </c>
    </row>
    <row r="29" spans="1:203" ht="15.75" customHeight="1" x14ac:dyDescent="0.15">
      <c r="A29" s="13">
        <v>38852</v>
      </c>
      <c r="B29" s="3" t="s">
        <v>216</v>
      </c>
      <c r="C29" s="3">
        <v>21.3002</v>
      </c>
      <c r="D29" s="3">
        <v>-157.882599</v>
      </c>
      <c r="E29" s="3" t="s">
        <v>197</v>
      </c>
      <c r="F29" s="14">
        <v>0</v>
      </c>
      <c r="G29" s="14">
        <v>4.1666666666666664E-2</v>
      </c>
      <c r="H29" s="3">
        <v>7</v>
      </c>
      <c r="I29" s="3">
        <v>25</v>
      </c>
      <c r="J29" s="3" t="s">
        <v>237</v>
      </c>
      <c r="K29" s="3">
        <v>5</v>
      </c>
      <c r="L29" s="3">
        <v>23</v>
      </c>
      <c r="M29" s="3" t="s">
        <v>243</v>
      </c>
      <c r="O29" s="3">
        <v>23</v>
      </c>
      <c r="Q29" s="3">
        <v>4</v>
      </c>
      <c r="AH29" s="3">
        <v>3</v>
      </c>
      <c r="BC29" s="3">
        <v>1</v>
      </c>
      <c r="BP29" s="3">
        <v>11</v>
      </c>
      <c r="BV29" s="3">
        <v>1</v>
      </c>
      <c r="CC29" s="3">
        <v>2</v>
      </c>
      <c r="DL29" s="3">
        <v>3</v>
      </c>
      <c r="DN29" s="3">
        <v>2</v>
      </c>
      <c r="DR29" s="3">
        <v>6</v>
      </c>
      <c r="EI29" s="3">
        <v>60</v>
      </c>
      <c r="FA29" s="3">
        <v>11</v>
      </c>
      <c r="FQ29" s="3">
        <v>46</v>
      </c>
      <c r="GE29" s="3">
        <f t="shared" si="0"/>
        <v>12</v>
      </c>
      <c r="GF29" s="3">
        <f t="shared" si="1"/>
        <v>10</v>
      </c>
      <c r="GG29" s="3">
        <f t="shared" si="2"/>
        <v>5</v>
      </c>
      <c r="GH29" s="3">
        <f t="shared" si="3"/>
        <v>0.73655480984340049</v>
      </c>
      <c r="GI29" s="3">
        <f t="shared" si="4"/>
        <v>150</v>
      </c>
      <c r="GJ29" s="3">
        <f t="shared" si="5"/>
        <v>575</v>
      </c>
      <c r="GK29" s="3">
        <f t="shared" si="6"/>
        <v>425</v>
      </c>
    </row>
    <row r="30" spans="1:203" ht="15.75" customHeight="1" x14ac:dyDescent="0.15">
      <c r="A30" s="13">
        <v>38853</v>
      </c>
      <c r="B30" s="3" t="s">
        <v>244</v>
      </c>
      <c r="C30" s="3">
        <v>21.310611999999999</v>
      </c>
      <c r="D30" s="3">
        <v>-158.00441000000001</v>
      </c>
      <c r="E30" s="3" t="s">
        <v>197</v>
      </c>
      <c r="F30" s="14">
        <v>0</v>
      </c>
      <c r="G30" s="14">
        <v>4.1666666666666664E-2</v>
      </c>
      <c r="H30" s="3">
        <v>4</v>
      </c>
      <c r="I30" s="3">
        <v>20</v>
      </c>
      <c r="J30" s="3" t="s">
        <v>245</v>
      </c>
      <c r="K30" s="3">
        <v>5</v>
      </c>
      <c r="L30" s="3">
        <v>4</v>
      </c>
      <c r="M30" s="3">
        <v>4</v>
      </c>
      <c r="O30" s="3">
        <v>4</v>
      </c>
      <c r="Q30" s="3">
        <v>12</v>
      </c>
      <c r="AW30" s="3">
        <v>1</v>
      </c>
      <c r="BL30" s="3">
        <v>2</v>
      </c>
      <c r="BP30" s="3">
        <v>14</v>
      </c>
      <c r="BT30" s="3">
        <v>20</v>
      </c>
      <c r="BW30" s="3">
        <v>27</v>
      </c>
      <c r="CR30" s="3">
        <v>4</v>
      </c>
      <c r="DC30" s="3">
        <v>4</v>
      </c>
      <c r="DL30" s="3">
        <v>14</v>
      </c>
      <c r="DT30" s="3"/>
      <c r="DU30" s="3">
        <v>5</v>
      </c>
      <c r="EI30" s="3">
        <v>4</v>
      </c>
      <c r="FA30" s="3">
        <v>7</v>
      </c>
      <c r="FP30" s="3">
        <v>6</v>
      </c>
      <c r="FQ30" s="3">
        <v>18</v>
      </c>
      <c r="GE30" s="3">
        <f t="shared" si="0"/>
        <v>14</v>
      </c>
      <c r="GF30" s="3">
        <f t="shared" si="1"/>
        <v>13</v>
      </c>
      <c r="GG30" s="3">
        <f t="shared" si="2"/>
        <v>9</v>
      </c>
      <c r="GH30" s="3">
        <f t="shared" si="3"/>
        <v>0.89347297154342531</v>
      </c>
      <c r="GI30" s="3">
        <f t="shared" si="4"/>
        <v>138</v>
      </c>
      <c r="GJ30" s="3">
        <f t="shared" si="5"/>
        <v>100</v>
      </c>
      <c r="GK30" s="3">
        <f t="shared" si="6"/>
        <v>-38</v>
      </c>
    </row>
    <row r="31" spans="1:203" ht="15.75" customHeight="1" x14ac:dyDescent="0.15">
      <c r="A31" s="13">
        <v>38854</v>
      </c>
      <c r="B31" s="3" t="s">
        <v>246</v>
      </c>
      <c r="C31" s="3">
        <v>21.2882</v>
      </c>
      <c r="D31" s="3">
        <v>-157.66799900000001</v>
      </c>
      <c r="E31" s="3" t="s">
        <v>197</v>
      </c>
      <c r="F31" s="14">
        <v>0</v>
      </c>
      <c r="G31" s="14">
        <v>4.1666666666666664E-2</v>
      </c>
      <c r="H31" s="3">
        <v>3</v>
      </c>
      <c r="I31" s="3">
        <v>20</v>
      </c>
      <c r="J31" s="3" t="s">
        <v>245</v>
      </c>
      <c r="K31" s="3">
        <v>5</v>
      </c>
      <c r="L31" s="3">
        <v>4</v>
      </c>
      <c r="M31" s="3">
        <v>4</v>
      </c>
      <c r="O31" s="3">
        <v>4</v>
      </c>
      <c r="Q31" s="3">
        <v>1</v>
      </c>
      <c r="BG31" s="3">
        <v>1</v>
      </c>
      <c r="BJ31" s="3">
        <v>2</v>
      </c>
      <c r="BV31" s="3">
        <v>3</v>
      </c>
      <c r="CI31" s="3">
        <v>6</v>
      </c>
      <c r="CN31" s="3">
        <v>3</v>
      </c>
      <c r="DL31" s="3">
        <v>6</v>
      </c>
      <c r="DN31" s="3">
        <v>3</v>
      </c>
      <c r="DY31" s="3">
        <v>1</v>
      </c>
      <c r="EI31" s="3">
        <v>8</v>
      </c>
      <c r="FA31" s="3">
        <v>10</v>
      </c>
      <c r="FP31" s="3">
        <v>1</v>
      </c>
      <c r="FQ31" s="3">
        <v>34</v>
      </c>
      <c r="GE31" s="3">
        <f t="shared" si="0"/>
        <v>13</v>
      </c>
      <c r="GF31" s="3">
        <f t="shared" si="1"/>
        <v>9</v>
      </c>
      <c r="GG31" s="3">
        <f t="shared" si="2"/>
        <v>5</v>
      </c>
      <c r="GH31" s="3">
        <f t="shared" si="3"/>
        <v>0.78123985718922428</v>
      </c>
      <c r="GI31" s="3">
        <f t="shared" si="4"/>
        <v>79</v>
      </c>
      <c r="GJ31" s="3">
        <f t="shared" si="5"/>
        <v>100</v>
      </c>
      <c r="GK31" s="3">
        <f t="shared" si="6"/>
        <v>21</v>
      </c>
    </row>
    <row r="32" spans="1:203" ht="15.75" customHeight="1" x14ac:dyDescent="0.15">
      <c r="A32" s="13">
        <v>39177</v>
      </c>
      <c r="B32" s="3" t="s">
        <v>247</v>
      </c>
      <c r="C32" s="3">
        <v>19.488199000000002</v>
      </c>
      <c r="D32" s="3">
        <v>-154.81930500000001</v>
      </c>
      <c r="E32" s="3" t="s">
        <v>197</v>
      </c>
      <c r="F32" s="14">
        <v>0</v>
      </c>
      <c r="G32" s="14">
        <v>4.1666666666666664E-2</v>
      </c>
      <c r="H32" s="3">
        <v>4</v>
      </c>
      <c r="I32" s="3">
        <v>20</v>
      </c>
      <c r="J32" s="3" t="s">
        <v>245</v>
      </c>
      <c r="K32" s="3">
        <v>5</v>
      </c>
      <c r="L32" s="3">
        <v>13</v>
      </c>
      <c r="M32" s="3" t="s">
        <v>248</v>
      </c>
      <c r="O32" s="3">
        <v>13</v>
      </c>
      <c r="AL32" s="3">
        <v>10</v>
      </c>
      <c r="CB32" s="3">
        <v>1</v>
      </c>
      <c r="DL32" s="3">
        <v>9</v>
      </c>
      <c r="DW32" s="3">
        <v>94</v>
      </c>
      <c r="FL32" s="3">
        <v>1</v>
      </c>
      <c r="FQ32" s="3">
        <v>131</v>
      </c>
      <c r="GC32" s="3">
        <v>1</v>
      </c>
      <c r="GE32" s="3">
        <f t="shared" si="0"/>
        <v>7</v>
      </c>
      <c r="GF32" s="3">
        <f t="shared" si="1"/>
        <v>4</v>
      </c>
      <c r="GG32" s="3">
        <f t="shared" si="2"/>
        <v>4</v>
      </c>
      <c r="GH32" s="3">
        <f t="shared" si="3"/>
        <v>0.57318718936177215</v>
      </c>
      <c r="GI32" s="3">
        <f t="shared" si="4"/>
        <v>247</v>
      </c>
      <c r="GJ32" s="3">
        <f t="shared" si="5"/>
        <v>325</v>
      </c>
      <c r="GK32" s="3">
        <f t="shared" si="6"/>
        <v>78</v>
      </c>
    </row>
    <row r="33" spans="1:203" ht="15.75" customHeight="1" x14ac:dyDescent="0.15">
      <c r="A33" s="13">
        <v>39190</v>
      </c>
      <c r="B33" s="3" t="s">
        <v>201</v>
      </c>
      <c r="C33" s="3">
        <v>21.25544</v>
      </c>
      <c r="D33" s="3">
        <v>-157.810303</v>
      </c>
      <c r="E33" s="3" t="s">
        <v>197</v>
      </c>
      <c r="F33" s="14">
        <v>0</v>
      </c>
      <c r="G33" s="14">
        <v>4.1666666666666664E-2</v>
      </c>
      <c r="H33" s="3">
        <v>7</v>
      </c>
      <c r="I33" s="3">
        <v>11</v>
      </c>
      <c r="J33" s="3" t="s">
        <v>198</v>
      </c>
      <c r="K33" s="3">
        <v>12</v>
      </c>
      <c r="L33" s="3">
        <v>74</v>
      </c>
      <c r="M33" s="3" t="s">
        <v>249</v>
      </c>
      <c r="O33" s="3">
        <v>74</v>
      </c>
      <c r="Q33" s="3">
        <v>175</v>
      </c>
      <c r="X33" s="3">
        <v>1</v>
      </c>
      <c r="AE33" s="3">
        <v>1</v>
      </c>
      <c r="AL33" s="3">
        <v>9</v>
      </c>
      <c r="AY33" s="3">
        <v>25</v>
      </c>
      <c r="BA33" s="3">
        <v>18</v>
      </c>
      <c r="BE33" s="3">
        <v>1</v>
      </c>
      <c r="BL33" s="3">
        <v>16</v>
      </c>
      <c r="BP33" s="3">
        <v>58</v>
      </c>
      <c r="BS33" s="3">
        <v>7</v>
      </c>
      <c r="BT33" s="3">
        <v>3</v>
      </c>
      <c r="BV33" s="3">
        <v>4</v>
      </c>
      <c r="BW33" s="3">
        <v>10</v>
      </c>
      <c r="BX33" s="3">
        <v>1</v>
      </c>
      <c r="CA33" s="3">
        <v>9</v>
      </c>
      <c r="CI33" s="3">
        <v>4</v>
      </c>
      <c r="CN33" s="3">
        <v>38</v>
      </c>
      <c r="CR33" s="3">
        <v>6</v>
      </c>
      <c r="CU33" s="3">
        <v>2</v>
      </c>
      <c r="DC33" s="3">
        <v>1</v>
      </c>
      <c r="DE33" s="3">
        <v>33</v>
      </c>
      <c r="DK33" s="3">
        <v>71</v>
      </c>
      <c r="DL33" s="3">
        <v>140</v>
      </c>
      <c r="DO33" s="3">
        <v>3</v>
      </c>
      <c r="DR33" s="3">
        <v>72</v>
      </c>
      <c r="DT33" s="3"/>
      <c r="DU33" s="3">
        <v>5</v>
      </c>
      <c r="EC33" s="3">
        <v>4</v>
      </c>
      <c r="EI33" s="3">
        <v>220</v>
      </c>
      <c r="EV33" s="3">
        <v>2</v>
      </c>
      <c r="FA33" s="3">
        <v>221</v>
      </c>
      <c r="FB33" s="3">
        <v>36</v>
      </c>
      <c r="FH33" s="3">
        <v>1</v>
      </c>
      <c r="FP33" s="3">
        <v>2</v>
      </c>
      <c r="FQ33" s="3">
        <v>142</v>
      </c>
      <c r="FV33" s="3">
        <v>20</v>
      </c>
      <c r="GB33" s="3">
        <v>11</v>
      </c>
      <c r="GC33" s="3">
        <v>21</v>
      </c>
      <c r="GE33" s="3">
        <f t="shared" si="0"/>
        <v>37</v>
      </c>
      <c r="GF33" s="3">
        <f t="shared" si="1"/>
        <v>31</v>
      </c>
      <c r="GG33" s="3">
        <f t="shared" si="2"/>
        <v>23</v>
      </c>
      <c r="GH33" s="3">
        <f t="shared" si="3"/>
        <v>0.90393366669142095</v>
      </c>
      <c r="GI33" s="3">
        <f t="shared" si="4"/>
        <v>1393</v>
      </c>
      <c r="GJ33" s="3">
        <f t="shared" si="5"/>
        <v>1850</v>
      </c>
      <c r="GK33" s="3">
        <f t="shared" si="6"/>
        <v>457</v>
      </c>
    </row>
    <row r="34" spans="1:203" ht="15.75" customHeight="1" x14ac:dyDescent="0.15">
      <c r="A34" s="13">
        <v>39191</v>
      </c>
      <c r="B34" s="3" t="s">
        <v>250</v>
      </c>
      <c r="C34" s="3">
        <v>21.410399999999999</v>
      </c>
      <c r="D34" s="3">
        <v>-158.17770400000001</v>
      </c>
      <c r="E34" s="3" t="s">
        <v>197</v>
      </c>
      <c r="F34" s="14">
        <v>0</v>
      </c>
      <c r="G34" s="14">
        <v>4.1666666666666664E-2</v>
      </c>
      <c r="H34" s="3">
        <v>10</v>
      </c>
      <c r="I34" s="3">
        <v>20</v>
      </c>
      <c r="J34" s="3" t="s">
        <v>245</v>
      </c>
      <c r="K34" s="3">
        <v>6</v>
      </c>
      <c r="L34" s="3">
        <v>15</v>
      </c>
      <c r="M34" s="3" t="s">
        <v>251</v>
      </c>
      <c r="O34" s="3">
        <v>15</v>
      </c>
      <c r="Q34" s="3">
        <v>82</v>
      </c>
      <c r="R34" s="3">
        <v>4</v>
      </c>
      <c r="AI34" s="3"/>
      <c r="AJ34" s="3">
        <v>5</v>
      </c>
      <c r="BF34" s="3">
        <v>9</v>
      </c>
      <c r="BH34" s="3">
        <v>2</v>
      </c>
      <c r="BJ34" s="3">
        <v>9</v>
      </c>
      <c r="BX34" s="3">
        <v>56</v>
      </c>
      <c r="BY34" s="3">
        <v>33</v>
      </c>
      <c r="CB34" s="3">
        <v>7</v>
      </c>
      <c r="CC34" s="3">
        <v>1</v>
      </c>
      <c r="DG34" s="3">
        <v>1</v>
      </c>
      <c r="DK34" s="3">
        <v>9</v>
      </c>
      <c r="DL34" s="3">
        <v>32</v>
      </c>
      <c r="EI34" s="3">
        <v>11</v>
      </c>
      <c r="EV34" s="3">
        <v>15</v>
      </c>
      <c r="FB34" s="3">
        <v>2</v>
      </c>
      <c r="FD34" s="3">
        <v>24</v>
      </c>
      <c r="FP34" s="3">
        <v>16</v>
      </c>
      <c r="FQ34" s="3">
        <v>44</v>
      </c>
      <c r="FR34" s="3">
        <v>41</v>
      </c>
      <c r="GB34" s="3">
        <v>3</v>
      </c>
      <c r="GC34" s="3">
        <v>52</v>
      </c>
      <c r="GE34" s="3">
        <f t="shared" si="0"/>
        <v>22</v>
      </c>
      <c r="GF34" s="3">
        <f t="shared" si="1"/>
        <v>20</v>
      </c>
      <c r="GG34" s="3">
        <f t="shared" si="2"/>
        <v>16</v>
      </c>
      <c r="GH34" s="3">
        <f t="shared" si="3"/>
        <v>0.90747517988017545</v>
      </c>
      <c r="GI34" s="3">
        <f t="shared" si="4"/>
        <v>458</v>
      </c>
      <c r="GJ34" s="3">
        <f t="shared" si="5"/>
        <v>375</v>
      </c>
      <c r="GK34" s="3">
        <f t="shared" si="6"/>
        <v>-83</v>
      </c>
    </row>
    <row r="35" spans="1:203" ht="15.75" customHeight="1" x14ac:dyDescent="0.15">
      <c r="A35" s="13">
        <v>39191</v>
      </c>
      <c r="B35" s="3" t="s">
        <v>201</v>
      </c>
      <c r="C35" s="3">
        <v>21.25544</v>
      </c>
      <c r="D35" s="3">
        <v>-157.810303</v>
      </c>
      <c r="E35" s="3" t="s">
        <v>197</v>
      </c>
      <c r="F35" s="14">
        <v>0</v>
      </c>
      <c r="G35" s="14">
        <v>4.1666666666666664E-2</v>
      </c>
      <c r="H35" s="3">
        <v>7</v>
      </c>
      <c r="I35" s="3">
        <v>11</v>
      </c>
      <c r="J35" s="3" t="s">
        <v>198</v>
      </c>
      <c r="K35" s="3">
        <v>12</v>
      </c>
      <c r="L35" s="3">
        <v>66</v>
      </c>
      <c r="M35" s="3" t="s">
        <v>252</v>
      </c>
      <c r="O35" s="3">
        <v>66</v>
      </c>
      <c r="Q35" s="3">
        <v>11</v>
      </c>
      <c r="W35" s="3">
        <v>3</v>
      </c>
      <c r="Y35" s="3">
        <v>5</v>
      </c>
      <c r="AD35" s="3">
        <v>10</v>
      </c>
      <c r="AE35" s="3">
        <v>2</v>
      </c>
      <c r="AH35" s="3">
        <v>2</v>
      </c>
      <c r="AI35" s="3">
        <v>1</v>
      </c>
      <c r="AL35" s="3">
        <v>2</v>
      </c>
      <c r="BA35" s="3">
        <v>21</v>
      </c>
      <c r="BL35" s="3">
        <v>1</v>
      </c>
      <c r="BP35" s="3">
        <v>80</v>
      </c>
      <c r="BS35" s="3">
        <v>32</v>
      </c>
      <c r="BT35" s="3">
        <v>12</v>
      </c>
      <c r="BV35" s="3">
        <v>5</v>
      </c>
      <c r="BW35" s="3">
        <v>70</v>
      </c>
      <c r="BX35" s="3">
        <v>52</v>
      </c>
      <c r="CA35" s="3">
        <v>14</v>
      </c>
      <c r="CI35" s="3">
        <v>5</v>
      </c>
      <c r="CN35" s="3">
        <v>24</v>
      </c>
      <c r="CR35" s="3">
        <v>7</v>
      </c>
      <c r="CU35" s="3">
        <v>5</v>
      </c>
      <c r="DE35" s="3">
        <v>18</v>
      </c>
      <c r="DG35" s="3">
        <v>2</v>
      </c>
      <c r="DK35" s="3">
        <v>40</v>
      </c>
      <c r="DL35" s="3">
        <v>207</v>
      </c>
      <c r="DN35" s="3">
        <v>3</v>
      </c>
      <c r="DO35" s="3">
        <v>4</v>
      </c>
      <c r="DR35" s="3">
        <v>40</v>
      </c>
      <c r="DT35" s="3"/>
      <c r="DU35" s="3">
        <v>44</v>
      </c>
      <c r="DY35" s="3">
        <v>1</v>
      </c>
      <c r="EA35" s="3">
        <v>1</v>
      </c>
      <c r="EB35" s="3">
        <v>1</v>
      </c>
      <c r="EC35" s="3">
        <v>2</v>
      </c>
      <c r="EI35" s="3">
        <v>168</v>
      </c>
      <c r="EM35" s="3">
        <v>1</v>
      </c>
      <c r="EV35" s="3">
        <v>13</v>
      </c>
      <c r="FA35" s="3">
        <v>101</v>
      </c>
      <c r="FB35" s="3">
        <v>10</v>
      </c>
      <c r="FD35" s="3">
        <v>1</v>
      </c>
      <c r="FE35" s="3">
        <v>3</v>
      </c>
      <c r="FG35" s="3">
        <v>1</v>
      </c>
      <c r="FL35" s="3">
        <v>1</v>
      </c>
      <c r="FP35" s="3">
        <v>43</v>
      </c>
      <c r="FQ35" s="3">
        <v>134</v>
      </c>
      <c r="GB35" s="3">
        <v>5</v>
      </c>
      <c r="GC35" s="3">
        <v>41</v>
      </c>
      <c r="GE35" s="3">
        <f t="shared" si="0"/>
        <v>46</v>
      </c>
      <c r="GF35" s="3">
        <f t="shared" si="1"/>
        <v>37</v>
      </c>
      <c r="GG35" s="3">
        <f t="shared" si="2"/>
        <v>28</v>
      </c>
      <c r="GH35" s="3">
        <f t="shared" si="3"/>
        <v>0.92039015828047055</v>
      </c>
      <c r="GI35" s="3">
        <f t="shared" si="4"/>
        <v>1249</v>
      </c>
      <c r="GJ35" s="3">
        <f t="shared" si="5"/>
        <v>1650</v>
      </c>
      <c r="GK35" s="3">
        <f t="shared" si="6"/>
        <v>401</v>
      </c>
      <c r="GS35" s="20"/>
      <c r="GT35" s="20"/>
      <c r="GU35" s="20"/>
    </row>
    <row r="36" spans="1:203" ht="15.75" customHeight="1" x14ac:dyDescent="0.15">
      <c r="A36" s="13">
        <v>39192</v>
      </c>
      <c r="B36" s="3" t="s">
        <v>230</v>
      </c>
      <c r="C36" s="3">
        <v>20.753699999999998</v>
      </c>
      <c r="D36" s="3">
        <v>-156.46090699999999</v>
      </c>
      <c r="E36" s="3" t="s">
        <v>197</v>
      </c>
      <c r="F36" s="14">
        <v>0</v>
      </c>
      <c r="G36" s="14">
        <v>4.1666666666666664E-2</v>
      </c>
      <c r="H36" s="3">
        <v>4</v>
      </c>
      <c r="I36" s="3">
        <v>9</v>
      </c>
      <c r="J36" s="3" t="s">
        <v>198</v>
      </c>
      <c r="K36" s="3">
        <v>10</v>
      </c>
      <c r="L36" s="3">
        <v>36</v>
      </c>
      <c r="M36" s="3" t="s">
        <v>253</v>
      </c>
      <c r="O36" s="3">
        <v>36</v>
      </c>
      <c r="Q36" s="3">
        <v>14</v>
      </c>
      <c r="Y36" s="3">
        <v>2</v>
      </c>
      <c r="AC36" s="3">
        <v>5</v>
      </c>
      <c r="AL36" s="3">
        <v>9</v>
      </c>
      <c r="AM36" s="3">
        <v>2</v>
      </c>
      <c r="AN36" s="3"/>
      <c r="AO36" s="3">
        <v>5</v>
      </c>
      <c r="BG36" s="3">
        <v>1</v>
      </c>
      <c r="BJ36" s="3">
        <v>12</v>
      </c>
      <c r="BL36" s="3">
        <v>18</v>
      </c>
      <c r="BW36" s="3">
        <v>1</v>
      </c>
      <c r="BX36" s="3">
        <v>3</v>
      </c>
      <c r="CB36" s="3">
        <v>1</v>
      </c>
      <c r="DE36" s="3">
        <v>1</v>
      </c>
      <c r="DG36" s="3">
        <v>2</v>
      </c>
      <c r="DL36" s="3">
        <v>1</v>
      </c>
      <c r="DR36" s="3">
        <v>27</v>
      </c>
      <c r="DV36" s="3">
        <v>3</v>
      </c>
      <c r="EI36" s="3">
        <v>1</v>
      </c>
      <c r="FA36" s="3">
        <v>5</v>
      </c>
      <c r="FG36" s="3">
        <v>3</v>
      </c>
      <c r="FQ36" s="3">
        <v>59</v>
      </c>
      <c r="FR36" s="3">
        <v>27</v>
      </c>
      <c r="GE36" s="3">
        <f t="shared" si="0"/>
        <v>22</v>
      </c>
      <c r="GF36" s="3">
        <f t="shared" si="1"/>
        <v>16</v>
      </c>
      <c r="GG36" s="3">
        <f t="shared" si="2"/>
        <v>10</v>
      </c>
      <c r="GH36" s="3">
        <f t="shared" si="3"/>
        <v>0.86202650115757851</v>
      </c>
      <c r="GI36" s="3">
        <f t="shared" si="4"/>
        <v>202</v>
      </c>
      <c r="GJ36" s="3">
        <f t="shared" si="5"/>
        <v>900</v>
      </c>
      <c r="GK36" s="3">
        <f t="shared" si="6"/>
        <v>698</v>
      </c>
    </row>
    <row r="37" spans="1:203" ht="15.75" customHeight="1" x14ac:dyDescent="0.15">
      <c r="A37" s="13">
        <v>39192</v>
      </c>
      <c r="B37" s="3" t="s">
        <v>246</v>
      </c>
      <c r="C37" s="3">
        <v>21.2882</v>
      </c>
      <c r="D37" s="3">
        <v>-157.66799900000001</v>
      </c>
      <c r="E37" s="3" t="s">
        <v>197</v>
      </c>
      <c r="F37" s="14">
        <v>0</v>
      </c>
      <c r="G37" s="14">
        <v>4.1666666666666664E-2</v>
      </c>
      <c r="H37" s="3">
        <v>3</v>
      </c>
      <c r="I37" s="3">
        <v>20</v>
      </c>
      <c r="J37" s="3" t="s">
        <v>245</v>
      </c>
      <c r="K37" s="3">
        <v>7</v>
      </c>
      <c r="L37" s="3">
        <v>15</v>
      </c>
      <c r="M37" s="3" t="s">
        <v>254</v>
      </c>
      <c r="O37" s="3">
        <v>15</v>
      </c>
      <c r="Q37" s="3">
        <v>4</v>
      </c>
      <c r="AA37" s="3">
        <v>7</v>
      </c>
      <c r="AL37" s="3">
        <v>10</v>
      </c>
      <c r="BA37" s="3">
        <v>12</v>
      </c>
      <c r="BE37" s="3">
        <v>1</v>
      </c>
      <c r="BG37" s="3">
        <v>1</v>
      </c>
      <c r="BJ37" s="3">
        <v>3</v>
      </c>
      <c r="BL37" s="3">
        <v>10</v>
      </c>
      <c r="BX37" s="3">
        <v>2</v>
      </c>
      <c r="CI37" s="3">
        <v>4</v>
      </c>
      <c r="DL37" s="3">
        <v>3</v>
      </c>
      <c r="DR37" s="3">
        <v>1</v>
      </c>
      <c r="EI37" s="3">
        <v>2</v>
      </c>
      <c r="EU37" s="3">
        <v>7</v>
      </c>
      <c r="EV37" s="3">
        <v>12</v>
      </c>
      <c r="FL37" s="3">
        <v>5</v>
      </c>
      <c r="FQ37" s="3">
        <v>115</v>
      </c>
      <c r="GE37" s="3">
        <f t="shared" si="0"/>
        <v>17</v>
      </c>
      <c r="GF37" s="3">
        <f t="shared" si="1"/>
        <v>14</v>
      </c>
      <c r="GG37" s="3">
        <f t="shared" si="2"/>
        <v>8</v>
      </c>
      <c r="GH37" s="3">
        <f t="shared" si="3"/>
        <v>0.65235267245317496</v>
      </c>
      <c r="GI37" s="3">
        <f t="shared" si="4"/>
        <v>199</v>
      </c>
      <c r="GJ37" s="3">
        <f t="shared" si="5"/>
        <v>375</v>
      </c>
      <c r="GK37" s="3">
        <f t="shared" si="6"/>
        <v>176</v>
      </c>
    </row>
    <row r="38" spans="1:203" ht="15.75" customHeight="1" x14ac:dyDescent="0.15">
      <c r="A38" s="13">
        <v>39203</v>
      </c>
      <c r="B38" s="3" t="s">
        <v>230</v>
      </c>
      <c r="C38" s="3">
        <v>20.753699999999998</v>
      </c>
      <c r="D38" s="3">
        <v>-156.46090699999999</v>
      </c>
      <c r="E38" s="3" t="s">
        <v>197</v>
      </c>
      <c r="F38" s="14">
        <v>0</v>
      </c>
      <c r="G38" s="14">
        <v>4.1666666666666664E-2</v>
      </c>
      <c r="H38" s="3">
        <v>5</v>
      </c>
      <c r="I38" s="3">
        <v>18</v>
      </c>
      <c r="J38" s="3" t="s">
        <v>217</v>
      </c>
      <c r="K38" s="3">
        <v>10</v>
      </c>
      <c r="L38" s="3">
        <v>43</v>
      </c>
      <c r="M38" s="3" t="s">
        <v>255</v>
      </c>
      <c r="O38" s="3">
        <v>43</v>
      </c>
      <c r="Q38" s="3">
        <v>18</v>
      </c>
      <c r="AW38" s="3">
        <v>1</v>
      </c>
      <c r="BA38" s="3">
        <v>1</v>
      </c>
      <c r="BG38" s="3">
        <v>1</v>
      </c>
      <c r="BL38" s="3">
        <v>73</v>
      </c>
      <c r="BW38" s="3">
        <v>1</v>
      </c>
      <c r="BY38" s="3">
        <v>1</v>
      </c>
      <c r="CB38" s="3">
        <v>1</v>
      </c>
      <c r="CI38" s="3">
        <v>1</v>
      </c>
      <c r="CT38" s="3">
        <v>1</v>
      </c>
      <c r="DE38" s="3">
        <v>17</v>
      </c>
      <c r="DL38" s="3">
        <v>1</v>
      </c>
      <c r="DV38" s="3">
        <v>1</v>
      </c>
      <c r="EI38" s="3">
        <v>9</v>
      </c>
      <c r="FA38" s="3">
        <v>38</v>
      </c>
      <c r="FE38" s="3">
        <v>1</v>
      </c>
      <c r="FQ38" s="3">
        <v>44</v>
      </c>
      <c r="FR38" s="3">
        <v>10</v>
      </c>
      <c r="FT38" s="3">
        <v>2</v>
      </c>
      <c r="GB38" s="3">
        <v>5</v>
      </c>
      <c r="GC38" s="3">
        <v>3</v>
      </c>
      <c r="GE38" s="3">
        <f t="shared" si="0"/>
        <v>21</v>
      </c>
      <c r="GF38" s="3">
        <f t="shared" si="1"/>
        <v>10</v>
      </c>
      <c r="GG38" s="3">
        <f t="shared" si="2"/>
        <v>8</v>
      </c>
      <c r="GH38" s="3">
        <f t="shared" si="3"/>
        <v>0.8230112018226694</v>
      </c>
      <c r="GI38" s="3">
        <f t="shared" si="4"/>
        <v>230</v>
      </c>
      <c r="GJ38" s="3">
        <f t="shared" si="5"/>
        <v>1075</v>
      </c>
      <c r="GK38" s="3">
        <f t="shared" si="6"/>
        <v>845</v>
      </c>
    </row>
    <row r="39" spans="1:203" ht="15.75" customHeight="1" x14ac:dyDescent="0.15">
      <c r="A39" s="13">
        <v>39203</v>
      </c>
      <c r="B39" s="3" t="s">
        <v>216</v>
      </c>
      <c r="C39" s="3">
        <v>21.3002</v>
      </c>
      <c r="D39" s="3">
        <v>-157.882599</v>
      </c>
      <c r="E39" s="3" t="s">
        <v>197</v>
      </c>
      <c r="F39" s="14">
        <v>0</v>
      </c>
      <c r="G39" s="14">
        <v>4.1666666666666664E-2</v>
      </c>
      <c r="H39" s="3">
        <v>4</v>
      </c>
      <c r="I39" s="3">
        <v>30</v>
      </c>
      <c r="J39" s="3" t="s">
        <v>227</v>
      </c>
      <c r="K39" s="3">
        <v>10</v>
      </c>
      <c r="L39" s="3">
        <v>36</v>
      </c>
      <c r="M39" s="3" t="s">
        <v>256</v>
      </c>
      <c r="O39" s="3">
        <v>36</v>
      </c>
      <c r="Q39" s="3">
        <v>26</v>
      </c>
      <c r="AB39" s="3">
        <v>1</v>
      </c>
      <c r="AL39" s="3">
        <v>6</v>
      </c>
      <c r="BA39" s="3">
        <v>4</v>
      </c>
      <c r="BB39" s="3">
        <v>1</v>
      </c>
      <c r="BG39" s="3">
        <v>1</v>
      </c>
      <c r="BL39" s="3">
        <v>5</v>
      </c>
      <c r="CB39" s="3">
        <v>1</v>
      </c>
      <c r="CC39" s="3">
        <v>2</v>
      </c>
      <c r="CV39" s="3">
        <v>1</v>
      </c>
      <c r="DR39" s="3">
        <v>7</v>
      </c>
      <c r="DY39" s="3">
        <v>1</v>
      </c>
      <c r="EI39" s="3">
        <v>42</v>
      </c>
      <c r="FL39" s="3">
        <v>12</v>
      </c>
      <c r="FQ39" s="3">
        <v>163</v>
      </c>
      <c r="GC39" s="3">
        <v>9</v>
      </c>
      <c r="GE39" s="3">
        <f t="shared" si="0"/>
        <v>16</v>
      </c>
      <c r="GF39" s="3">
        <f t="shared" si="1"/>
        <v>10</v>
      </c>
      <c r="GG39" s="3">
        <f t="shared" si="2"/>
        <v>8</v>
      </c>
      <c r="GH39" s="3">
        <f t="shared" si="3"/>
        <v>0.63292193533732111</v>
      </c>
      <c r="GI39" s="3">
        <f t="shared" si="4"/>
        <v>282</v>
      </c>
      <c r="GJ39" s="3">
        <f t="shared" si="5"/>
        <v>900</v>
      </c>
      <c r="GK39" s="3">
        <f t="shared" si="6"/>
        <v>618</v>
      </c>
    </row>
    <row r="40" spans="1:203" ht="15.75" customHeight="1" x14ac:dyDescent="0.15">
      <c r="A40" s="13">
        <v>39204</v>
      </c>
      <c r="B40" s="3" t="s">
        <v>219</v>
      </c>
      <c r="C40" s="3">
        <v>21.295798999999999</v>
      </c>
      <c r="D40" s="3">
        <v>-158.10369900000001</v>
      </c>
      <c r="E40" s="3" t="s">
        <v>197</v>
      </c>
      <c r="F40" s="14">
        <v>0</v>
      </c>
      <c r="G40" s="14">
        <v>4.1666666666666664E-2</v>
      </c>
      <c r="H40" s="3">
        <v>5</v>
      </c>
      <c r="I40" s="3">
        <v>30</v>
      </c>
      <c r="J40" s="3" t="s">
        <v>237</v>
      </c>
      <c r="K40" s="3">
        <v>7</v>
      </c>
      <c r="L40" s="3">
        <v>22</v>
      </c>
      <c r="M40" s="3" t="s">
        <v>257</v>
      </c>
      <c r="O40" s="3">
        <v>22</v>
      </c>
      <c r="Q40" s="3">
        <v>21</v>
      </c>
      <c r="AE40" s="3">
        <v>1</v>
      </c>
      <c r="AL40" s="3">
        <v>1</v>
      </c>
      <c r="BA40" s="3">
        <v>5</v>
      </c>
      <c r="BC40" s="3">
        <v>2</v>
      </c>
      <c r="BL40" s="3">
        <v>13</v>
      </c>
      <c r="BV40" s="3">
        <v>6</v>
      </c>
      <c r="BW40" s="3">
        <v>2</v>
      </c>
      <c r="CN40" s="3">
        <v>2</v>
      </c>
      <c r="CR40" s="3">
        <v>1</v>
      </c>
      <c r="DL40" s="3">
        <v>4</v>
      </c>
      <c r="DR40" s="3">
        <v>1</v>
      </c>
      <c r="DY40" s="3">
        <v>2</v>
      </c>
      <c r="EB40" s="3">
        <v>1</v>
      </c>
      <c r="EC40" s="3">
        <v>1</v>
      </c>
      <c r="EI40" s="3">
        <v>69</v>
      </c>
      <c r="FA40" s="3">
        <v>11</v>
      </c>
      <c r="FB40" s="3">
        <v>5</v>
      </c>
      <c r="FD40" s="3">
        <v>1</v>
      </c>
      <c r="FG40" s="3">
        <v>7</v>
      </c>
      <c r="FQ40" s="3">
        <v>159</v>
      </c>
      <c r="GC40" s="3">
        <v>18</v>
      </c>
      <c r="GE40" s="3">
        <f t="shared" si="0"/>
        <v>22</v>
      </c>
      <c r="GF40" s="3">
        <f t="shared" si="1"/>
        <v>15</v>
      </c>
      <c r="GG40" s="3">
        <f t="shared" si="2"/>
        <v>10</v>
      </c>
      <c r="GH40" s="3">
        <f t="shared" si="3"/>
        <v>0.72015991895509968</v>
      </c>
      <c r="GI40" s="3">
        <f t="shared" si="4"/>
        <v>333</v>
      </c>
      <c r="GJ40" s="3">
        <f t="shared" si="5"/>
        <v>550</v>
      </c>
      <c r="GK40" s="3">
        <f t="shared" si="6"/>
        <v>217</v>
      </c>
    </row>
    <row r="41" spans="1:203" ht="15.75" customHeight="1" x14ac:dyDescent="0.15">
      <c r="A41" s="13">
        <v>39206</v>
      </c>
      <c r="B41" s="3" t="s">
        <v>216</v>
      </c>
      <c r="C41" s="3">
        <v>21.3002</v>
      </c>
      <c r="D41" s="3">
        <v>-157.882599</v>
      </c>
      <c r="E41" s="3" t="s">
        <v>197</v>
      </c>
      <c r="F41" s="14">
        <v>0</v>
      </c>
      <c r="G41" s="14">
        <v>4.1666666666666664E-2</v>
      </c>
      <c r="H41" s="3">
        <v>4</v>
      </c>
      <c r="I41" s="3">
        <v>30</v>
      </c>
      <c r="J41" s="3" t="s">
        <v>237</v>
      </c>
      <c r="K41" s="3">
        <v>7</v>
      </c>
      <c r="L41" s="3">
        <v>20</v>
      </c>
      <c r="M41" s="3" t="s">
        <v>258</v>
      </c>
      <c r="O41" s="3">
        <v>20</v>
      </c>
      <c r="Q41" s="3">
        <v>5</v>
      </c>
      <c r="AD41" s="3">
        <v>2</v>
      </c>
      <c r="AL41" s="3">
        <v>5</v>
      </c>
      <c r="AM41" s="3">
        <v>2</v>
      </c>
      <c r="BC41" s="3">
        <v>3</v>
      </c>
      <c r="BG41" s="3">
        <v>1</v>
      </c>
      <c r="BL41" s="3">
        <v>20</v>
      </c>
      <c r="BV41" s="3">
        <v>4</v>
      </c>
      <c r="CV41" s="3">
        <v>1</v>
      </c>
      <c r="DP41" s="3">
        <v>4</v>
      </c>
      <c r="DR41" s="3">
        <v>56</v>
      </c>
      <c r="EI41" s="3">
        <v>17</v>
      </c>
      <c r="FE41" s="3">
        <v>1</v>
      </c>
      <c r="FI41" s="3">
        <v>1</v>
      </c>
      <c r="FL41" s="3">
        <v>2</v>
      </c>
      <c r="FQ41" s="3">
        <v>58</v>
      </c>
      <c r="GE41" s="3">
        <f t="shared" si="0"/>
        <v>16</v>
      </c>
      <c r="GF41" s="3">
        <f t="shared" si="1"/>
        <v>12</v>
      </c>
      <c r="GG41" s="3">
        <f t="shared" si="2"/>
        <v>6</v>
      </c>
      <c r="GH41" s="3">
        <f t="shared" si="3"/>
        <v>0.7840446845971708</v>
      </c>
      <c r="GI41" s="3">
        <f t="shared" si="4"/>
        <v>182</v>
      </c>
      <c r="GJ41" s="3">
        <f t="shared" si="5"/>
        <v>500</v>
      </c>
      <c r="GK41" s="3">
        <f t="shared" si="6"/>
        <v>318</v>
      </c>
    </row>
    <row r="42" spans="1:203" ht="15.75" customHeight="1" x14ac:dyDescent="0.15">
      <c r="A42" s="13">
        <v>39217</v>
      </c>
      <c r="B42" s="3" t="s">
        <v>259</v>
      </c>
      <c r="C42" s="3">
        <v>19.737894000000001</v>
      </c>
      <c r="D42" s="3">
        <v>-155.03405799999999</v>
      </c>
      <c r="E42" s="3" t="s">
        <v>197</v>
      </c>
      <c r="F42" s="14">
        <v>0</v>
      </c>
      <c r="G42" s="14">
        <v>4.1666666666666664E-2</v>
      </c>
      <c r="H42" s="3">
        <v>6</v>
      </c>
      <c r="I42" s="3">
        <v>18</v>
      </c>
      <c r="J42" s="3" t="s">
        <v>227</v>
      </c>
      <c r="K42" s="3">
        <v>7</v>
      </c>
      <c r="L42" s="3">
        <v>22</v>
      </c>
      <c r="M42" s="3" t="s">
        <v>260</v>
      </c>
      <c r="O42" s="3">
        <v>22</v>
      </c>
      <c r="AJ42" s="3">
        <v>6</v>
      </c>
      <c r="BT42" s="3">
        <v>3</v>
      </c>
      <c r="BW42" s="3">
        <v>1</v>
      </c>
      <c r="CB42" s="3">
        <v>1</v>
      </c>
      <c r="CN42" s="3">
        <v>46</v>
      </c>
      <c r="DG42" s="3">
        <v>4</v>
      </c>
      <c r="EC42" s="3">
        <v>2</v>
      </c>
      <c r="EI42" s="3">
        <v>108</v>
      </c>
      <c r="FQ42" s="3">
        <v>8</v>
      </c>
      <c r="GB42" s="3">
        <v>3</v>
      </c>
      <c r="GC42" s="3">
        <v>11</v>
      </c>
      <c r="GE42" s="3">
        <f t="shared" si="0"/>
        <v>11</v>
      </c>
      <c r="GF42" s="3">
        <f t="shared" si="1"/>
        <v>9</v>
      </c>
      <c r="GG42" s="3">
        <f t="shared" si="2"/>
        <v>5</v>
      </c>
      <c r="GH42" s="3">
        <f t="shared" si="3"/>
        <v>0.62629533678756477</v>
      </c>
      <c r="GI42" s="3">
        <f t="shared" si="4"/>
        <v>193</v>
      </c>
      <c r="GJ42" s="3">
        <f t="shared" si="5"/>
        <v>550</v>
      </c>
      <c r="GK42" s="3">
        <f t="shared" si="6"/>
        <v>357</v>
      </c>
    </row>
    <row r="43" spans="1:203" ht="15.75" customHeight="1" x14ac:dyDescent="0.15">
      <c r="A43" s="13">
        <v>39218</v>
      </c>
      <c r="B43" s="3" t="s">
        <v>216</v>
      </c>
      <c r="C43" s="3">
        <v>21.3002</v>
      </c>
      <c r="D43" s="3">
        <v>-157.882599</v>
      </c>
      <c r="E43" s="3" t="s">
        <v>197</v>
      </c>
      <c r="F43" s="14">
        <v>0</v>
      </c>
      <c r="G43" s="14">
        <v>4.1666666666666664E-2</v>
      </c>
      <c r="H43" s="3">
        <v>5</v>
      </c>
      <c r="I43" s="3">
        <v>30</v>
      </c>
      <c r="J43" s="3" t="s">
        <v>237</v>
      </c>
      <c r="K43" s="3">
        <v>7</v>
      </c>
      <c r="L43" s="3">
        <v>15</v>
      </c>
      <c r="M43" s="3" t="s">
        <v>261</v>
      </c>
      <c r="O43" s="3">
        <v>15</v>
      </c>
      <c r="Q43" s="3">
        <v>6</v>
      </c>
      <c r="BC43" s="3">
        <v>2</v>
      </c>
      <c r="BJ43" s="3">
        <v>1</v>
      </c>
      <c r="BV43" s="3">
        <v>1</v>
      </c>
      <c r="DP43" s="3">
        <v>1</v>
      </c>
      <c r="DR43" s="3">
        <v>16</v>
      </c>
      <c r="EI43" s="3">
        <v>30</v>
      </c>
      <c r="FM43" s="3">
        <v>1</v>
      </c>
      <c r="FQ43" s="3">
        <v>96</v>
      </c>
      <c r="GB43" s="3">
        <v>1</v>
      </c>
      <c r="GE43" s="3">
        <f t="shared" si="0"/>
        <v>10</v>
      </c>
      <c r="GF43" s="3">
        <f t="shared" si="1"/>
        <v>5</v>
      </c>
      <c r="GG43" s="3">
        <f t="shared" si="2"/>
        <v>4</v>
      </c>
      <c r="GH43" s="3">
        <f t="shared" si="3"/>
        <v>0.57008797653958942</v>
      </c>
      <c r="GI43" s="3">
        <f t="shared" si="4"/>
        <v>155</v>
      </c>
      <c r="GJ43" s="3">
        <f t="shared" si="5"/>
        <v>375</v>
      </c>
      <c r="GK43" s="3">
        <f t="shared" si="6"/>
        <v>220</v>
      </c>
    </row>
    <row r="44" spans="1:203" ht="15.75" customHeight="1" x14ac:dyDescent="0.15">
      <c r="A44" s="13">
        <v>39219</v>
      </c>
      <c r="B44" s="3" t="s">
        <v>247</v>
      </c>
      <c r="C44" s="3">
        <v>19.488199000000002</v>
      </c>
      <c r="D44" s="3">
        <v>-154.81930500000001</v>
      </c>
      <c r="E44" s="3" t="s">
        <v>197</v>
      </c>
      <c r="F44" s="14">
        <v>0</v>
      </c>
      <c r="G44" s="14">
        <v>4.1666666666666664E-2</v>
      </c>
      <c r="H44" s="3">
        <v>5</v>
      </c>
      <c r="I44" s="3">
        <v>20</v>
      </c>
      <c r="J44" s="3" t="s">
        <v>217</v>
      </c>
      <c r="K44" s="3">
        <v>10</v>
      </c>
      <c r="L44" s="3">
        <v>49</v>
      </c>
      <c r="M44" s="3" t="s">
        <v>262</v>
      </c>
      <c r="O44" s="3">
        <v>49</v>
      </c>
      <c r="AL44" s="3">
        <v>27</v>
      </c>
      <c r="BJ44" s="3">
        <v>55</v>
      </c>
      <c r="BL44" s="3">
        <v>135</v>
      </c>
      <c r="BW44" s="3">
        <v>27</v>
      </c>
      <c r="CB44" s="3">
        <v>13</v>
      </c>
      <c r="CC44" s="3">
        <v>1</v>
      </c>
      <c r="DK44" s="3">
        <v>8</v>
      </c>
      <c r="DL44" s="3">
        <v>18</v>
      </c>
      <c r="DN44" s="3">
        <v>1</v>
      </c>
      <c r="DP44" s="3">
        <v>26</v>
      </c>
      <c r="DR44" s="3">
        <v>9</v>
      </c>
      <c r="DW44" s="3">
        <v>23</v>
      </c>
      <c r="EH44" s="3">
        <v>1</v>
      </c>
      <c r="EI44" s="3">
        <v>16</v>
      </c>
      <c r="EO44" s="3">
        <v>5</v>
      </c>
      <c r="EQ44" s="3">
        <v>108</v>
      </c>
      <c r="FF44" s="3">
        <v>1</v>
      </c>
      <c r="FL44" s="3">
        <v>50</v>
      </c>
      <c r="FQ44" s="3">
        <v>597</v>
      </c>
      <c r="FT44" s="3">
        <v>2</v>
      </c>
      <c r="FV44" s="3">
        <v>2</v>
      </c>
      <c r="GB44" s="3">
        <v>3</v>
      </c>
      <c r="GC44" s="3">
        <v>1</v>
      </c>
      <c r="GE44" s="3">
        <f t="shared" si="0"/>
        <v>23</v>
      </c>
      <c r="GF44" s="3">
        <f t="shared" si="1"/>
        <v>18</v>
      </c>
      <c r="GG44" s="3">
        <f t="shared" si="2"/>
        <v>15</v>
      </c>
      <c r="GH44" s="3">
        <f t="shared" si="3"/>
        <v>0.69038532813196896</v>
      </c>
      <c r="GI44" s="3">
        <f t="shared" si="4"/>
        <v>1129</v>
      </c>
      <c r="GJ44" s="3">
        <f t="shared" si="5"/>
        <v>1225</v>
      </c>
      <c r="GK44" s="3">
        <f t="shared" si="6"/>
        <v>96</v>
      </c>
    </row>
    <row r="45" spans="1:203" ht="15.75" customHeight="1" x14ac:dyDescent="0.15">
      <c r="A45" s="13">
        <v>39220</v>
      </c>
      <c r="B45" s="3" t="s">
        <v>219</v>
      </c>
      <c r="C45" s="3">
        <v>21.295798999999999</v>
      </c>
      <c r="D45" s="3">
        <v>-158.10369900000001</v>
      </c>
      <c r="E45" s="3" t="s">
        <v>197</v>
      </c>
      <c r="F45" s="14">
        <v>0</v>
      </c>
      <c r="G45" s="14">
        <v>4.1666666666666664E-2</v>
      </c>
      <c r="H45" s="3">
        <v>5</v>
      </c>
      <c r="I45" s="3">
        <v>30</v>
      </c>
      <c r="J45" s="3" t="s">
        <v>237</v>
      </c>
      <c r="K45" s="3">
        <v>7</v>
      </c>
      <c r="L45" s="3">
        <v>28</v>
      </c>
      <c r="M45" s="3" t="s">
        <v>263</v>
      </c>
      <c r="O45" s="3">
        <v>28</v>
      </c>
      <c r="Q45" s="3">
        <v>24</v>
      </c>
      <c r="AL45" s="3">
        <v>1</v>
      </c>
      <c r="BA45" s="3">
        <v>5</v>
      </c>
      <c r="BL45" s="3">
        <v>19</v>
      </c>
      <c r="BS45" s="3">
        <v>2</v>
      </c>
      <c r="BV45" s="3">
        <v>13</v>
      </c>
      <c r="BW45" s="3">
        <v>4</v>
      </c>
      <c r="CB45" s="3">
        <v>1</v>
      </c>
      <c r="DC45" s="3">
        <v>1</v>
      </c>
      <c r="DD45" s="3">
        <v>3</v>
      </c>
      <c r="DG45" s="3">
        <v>2</v>
      </c>
      <c r="DK45" s="3">
        <v>4</v>
      </c>
      <c r="DL45" s="3">
        <v>28</v>
      </c>
      <c r="DR45" s="3">
        <v>6</v>
      </c>
      <c r="DT45" s="3"/>
      <c r="DU45" s="3">
        <v>3</v>
      </c>
      <c r="EB45" s="3">
        <v>6</v>
      </c>
      <c r="EI45" s="3">
        <v>196</v>
      </c>
      <c r="EV45" s="3">
        <v>1</v>
      </c>
      <c r="FA45" s="3">
        <v>28</v>
      </c>
      <c r="FB45" s="3">
        <v>1</v>
      </c>
      <c r="FG45" s="3">
        <v>1</v>
      </c>
      <c r="FL45" s="3">
        <v>2</v>
      </c>
      <c r="FQ45" s="3">
        <v>189</v>
      </c>
      <c r="GB45" s="3">
        <v>1</v>
      </c>
      <c r="GC45" s="3">
        <v>3</v>
      </c>
      <c r="GE45" s="3">
        <f t="shared" si="0"/>
        <v>25</v>
      </c>
      <c r="GF45" s="3">
        <f t="shared" si="1"/>
        <v>18</v>
      </c>
      <c r="GG45" s="3">
        <f t="shared" si="2"/>
        <v>10</v>
      </c>
      <c r="GH45" s="3">
        <f t="shared" si="3"/>
        <v>0.74121844870544895</v>
      </c>
      <c r="GI45" s="3">
        <f t="shared" si="4"/>
        <v>544</v>
      </c>
      <c r="GJ45" s="3">
        <f t="shared" si="5"/>
        <v>700</v>
      </c>
      <c r="GK45" s="3">
        <f t="shared" si="6"/>
        <v>156</v>
      </c>
    </row>
    <row r="46" spans="1:203" ht="15.75" customHeight="1" x14ac:dyDescent="0.15">
      <c r="A46" s="13">
        <v>39501</v>
      </c>
      <c r="B46" s="3" t="s">
        <v>250</v>
      </c>
      <c r="C46" s="3">
        <v>21.410399999999999</v>
      </c>
      <c r="D46" s="3">
        <v>-158.17770400000001</v>
      </c>
      <c r="E46" s="3" t="s">
        <v>197</v>
      </c>
      <c r="F46" s="14">
        <v>0</v>
      </c>
      <c r="G46" s="14">
        <v>4.1666666666666664E-2</v>
      </c>
      <c r="H46" s="3">
        <v>4</v>
      </c>
      <c r="I46" s="3">
        <v>21</v>
      </c>
      <c r="J46" s="3" t="s">
        <v>217</v>
      </c>
      <c r="K46" s="3">
        <v>11</v>
      </c>
      <c r="L46" s="3">
        <v>41</v>
      </c>
      <c r="M46" s="3" t="s">
        <v>264</v>
      </c>
      <c r="O46" s="3">
        <v>41</v>
      </c>
      <c r="Q46" s="3">
        <v>272</v>
      </c>
      <c r="X46" s="3"/>
      <c r="Y46" s="3">
        <v>1</v>
      </c>
      <c r="AL46" s="3">
        <v>3</v>
      </c>
      <c r="AQ46" s="3">
        <v>1</v>
      </c>
      <c r="AW46" s="3">
        <v>19</v>
      </c>
      <c r="BG46" s="3">
        <v>2</v>
      </c>
      <c r="BL46" s="3">
        <v>24</v>
      </c>
      <c r="BP46" s="3">
        <v>77</v>
      </c>
      <c r="BU46" s="3">
        <v>11</v>
      </c>
      <c r="BY46" s="3">
        <v>75</v>
      </c>
      <c r="CB46" s="3">
        <v>37</v>
      </c>
      <c r="CC46" s="3">
        <v>28</v>
      </c>
      <c r="CI46" s="3">
        <v>2</v>
      </c>
      <c r="CJ46" s="3">
        <v>24</v>
      </c>
      <c r="DC46" s="3">
        <v>14</v>
      </c>
      <c r="DE46" s="3">
        <v>2</v>
      </c>
      <c r="DL46" s="3">
        <v>16</v>
      </c>
      <c r="DR46" s="3">
        <v>18</v>
      </c>
      <c r="EI46" s="3">
        <v>1</v>
      </c>
      <c r="EU46" s="3">
        <v>75</v>
      </c>
      <c r="FL46" s="3">
        <v>1</v>
      </c>
      <c r="FQ46" s="3">
        <v>136</v>
      </c>
      <c r="FR46" s="3">
        <v>31</v>
      </c>
      <c r="GE46" s="3">
        <f t="shared" si="0"/>
        <v>23</v>
      </c>
      <c r="GF46" s="3">
        <f t="shared" si="1"/>
        <v>19</v>
      </c>
      <c r="GG46" s="3">
        <f t="shared" si="2"/>
        <v>15</v>
      </c>
      <c r="GH46" s="3">
        <f t="shared" si="3"/>
        <v>0.84876526063780533</v>
      </c>
      <c r="GI46" s="3">
        <f t="shared" si="4"/>
        <v>870</v>
      </c>
      <c r="GJ46" s="3">
        <f t="shared" si="5"/>
        <v>1025</v>
      </c>
      <c r="GK46" s="3">
        <f t="shared" si="6"/>
        <v>155</v>
      </c>
    </row>
    <row r="47" spans="1:203" ht="15.75" customHeight="1" x14ac:dyDescent="0.15">
      <c r="A47" s="13">
        <v>42420</v>
      </c>
      <c r="B47" s="3" t="s">
        <v>216</v>
      </c>
      <c r="C47" s="3">
        <v>21.3002</v>
      </c>
      <c r="D47" s="3">
        <v>-157.882599</v>
      </c>
      <c r="E47" s="3" t="s">
        <v>197</v>
      </c>
      <c r="F47" s="14">
        <v>0.36388888888888887</v>
      </c>
      <c r="G47" s="14">
        <v>0.43055555555555558</v>
      </c>
      <c r="H47" s="3">
        <v>7</v>
      </c>
      <c r="I47" s="3">
        <v>25</v>
      </c>
      <c r="J47" s="3" t="s">
        <v>198</v>
      </c>
      <c r="K47" s="3">
        <v>13</v>
      </c>
      <c r="L47" s="3">
        <v>75</v>
      </c>
      <c r="M47" s="3" t="s">
        <v>265</v>
      </c>
      <c r="O47" s="3">
        <v>75</v>
      </c>
      <c r="Q47" s="3">
        <v>1</v>
      </c>
      <c r="R47" s="3">
        <v>1</v>
      </c>
      <c r="AA47" s="3">
        <v>341</v>
      </c>
      <c r="AB47" s="3">
        <v>7</v>
      </c>
      <c r="AD47" s="3">
        <v>1</v>
      </c>
      <c r="AF47" s="3">
        <v>13</v>
      </c>
      <c r="AG47" s="3">
        <v>3</v>
      </c>
      <c r="AH47" s="3">
        <v>8</v>
      </c>
      <c r="AL47" s="3">
        <v>171</v>
      </c>
      <c r="AW47" s="3">
        <v>1</v>
      </c>
      <c r="BD47" s="3">
        <v>9</v>
      </c>
      <c r="BJ47" s="3">
        <v>1</v>
      </c>
      <c r="BL47" s="3">
        <v>113</v>
      </c>
      <c r="BM47" s="3">
        <v>35</v>
      </c>
      <c r="BP47" s="3">
        <v>10</v>
      </c>
      <c r="BU47" s="3">
        <v>11</v>
      </c>
      <c r="BY47" s="3">
        <v>1</v>
      </c>
      <c r="CB47" s="3">
        <v>3</v>
      </c>
      <c r="CU47" s="3">
        <v>1</v>
      </c>
      <c r="CV47" s="3">
        <v>1</v>
      </c>
      <c r="CW47" s="3">
        <v>1</v>
      </c>
      <c r="DF47" s="3">
        <v>3</v>
      </c>
      <c r="DM47" s="3">
        <v>9</v>
      </c>
      <c r="DN47" s="3">
        <v>1</v>
      </c>
      <c r="DP47" s="3">
        <v>66</v>
      </c>
      <c r="EB47" s="3">
        <v>15</v>
      </c>
      <c r="EI47" s="3">
        <v>32</v>
      </c>
      <c r="FE47" s="3">
        <v>1</v>
      </c>
      <c r="FI47" s="3"/>
      <c r="FJ47" s="3"/>
      <c r="FK47" s="3">
        <v>1</v>
      </c>
      <c r="FO47" s="3">
        <v>7</v>
      </c>
      <c r="FQ47" s="3">
        <v>495</v>
      </c>
      <c r="FS47" s="3">
        <v>8</v>
      </c>
      <c r="GE47" s="3">
        <f t="shared" si="0"/>
        <v>32</v>
      </c>
      <c r="GF47" s="3">
        <f t="shared" si="1"/>
        <v>20</v>
      </c>
      <c r="GG47" s="3">
        <f t="shared" si="2"/>
        <v>17</v>
      </c>
      <c r="GH47" s="3">
        <f t="shared" si="3"/>
        <v>0.78193124524163193</v>
      </c>
      <c r="GI47" s="3">
        <f t="shared" si="4"/>
        <v>1371</v>
      </c>
      <c r="GJ47" s="3">
        <f t="shared" si="5"/>
        <v>1875</v>
      </c>
      <c r="GK47" s="3">
        <f t="shared" si="6"/>
        <v>504</v>
      </c>
    </row>
    <row r="48" spans="1:203" ht="15.75" customHeight="1" x14ac:dyDescent="0.15">
      <c r="A48" s="13">
        <v>42427</v>
      </c>
      <c r="B48" s="3" t="s">
        <v>266</v>
      </c>
      <c r="C48" s="3">
        <v>22.060683999999998</v>
      </c>
      <c r="D48" s="3">
        <v>-159.318512</v>
      </c>
      <c r="E48" s="3" t="s">
        <v>197</v>
      </c>
      <c r="F48" s="14">
        <v>0.4826388888888889</v>
      </c>
      <c r="G48" s="14">
        <v>0.54166666666666663</v>
      </c>
      <c r="H48" s="3">
        <v>3</v>
      </c>
      <c r="I48" s="3">
        <v>16</v>
      </c>
      <c r="J48" s="3" t="s">
        <v>198</v>
      </c>
      <c r="K48" s="3">
        <v>15</v>
      </c>
      <c r="L48" s="3">
        <v>40</v>
      </c>
      <c r="M48" s="3" t="s">
        <v>267</v>
      </c>
      <c r="O48" s="3">
        <v>40</v>
      </c>
      <c r="Q48" s="3">
        <v>6</v>
      </c>
      <c r="S48" s="3">
        <v>1</v>
      </c>
      <c r="V48" s="3"/>
      <c r="W48" s="3">
        <v>1</v>
      </c>
      <c r="AA48" s="3">
        <v>10</v>
      </c>
      <c r="AB48" s="3">
        <v>6</v>
      </c>
      <c r="AC48" s="3">
        <v>1</v>
      </c>
      <c r="AF48" s="3">
        <v>2</v>
      </c>
      <c r="AH48" s="3">
        <v>2</v>
      </c>
      <c r="AL48" s="3">
        <v>26</v>
      </c>
      <c r="AW48" s="3">
        <v>8</v>
      </c>
      <c r="BA48" s="3">
        <v>24</v>
      </c>
      <c r="BM48" s="3">
        <v>449</v>
      </c>
      <c r="BU48" s="3">
        <v>7</v>
      </c>
      <c r="DF48" s="3">
        <v>7</v>
      </c>
      <c r="DL48" s="3">
        <v>3</v>
      </c>
      <c r="DN48" s="3">
        <v>4</v>
      </c>
      <c r="DT48" s="3"/>
      <c r="DU48" s="3">
        <v>5</v>
      </c>
      <c r="EI48" s="3">
        <v>77</v>
      </c>
      <c r="EM48" s="3">
        <v>4</v>
      </c>
      <c r="FA48" s="3">
        <v>21</v>
      </c>
      <c r="FH48" s="3">
        <v>8</v>
      </c>
      <c r="FP48" s="3">
        <v>35</v>
      </c>
      <c r="FQ48" s="3">
        <v>12</v>
      </c>
      <c r="FV48" s="3">
        <v>15</v>
      </c>
      <c r="GE48" s="3">
        <f t="shared" si="0"/>
        <v>24</v>
      </c>
      <c r="GF48" s="3">
        <f t="shared" si="1"/>
        <v>21</v>
      </c>
      <c r="GG48" s="3">
        <f t="shared" si="2"/>
        <v>16</v>
      </c>
      <c r="GH48" s="3">
        <f t="shared" si="3"/>
        <v>0.60864425618283269</v>
      </c>
      <c r="GI48" s="3">
        <f t="shared" si="4"/>
        <v>734</v>
      </c>
      <c r="GJ48" s="3">
        <f t="shared" si="5"/>
        <v>1000</v>
      </c>
      <c r="GK48" s="3">
        <f t="shared" si="6"/>
        <v>266</v>
      </c>
    </row>
    <row r="49" spans="1:193" ht="15.75" customHeight="1" x14ac:dyDescent="0.15">
      <c r="A49" s="13">
        <v>42428</v>
      </c>
      <c r="B49" s="3" t="s">
        <v>266</v>
      </c>
      <c r="C49" s="3">
        <v>22.060683999999998</v>
      </c>
      <c r="D49" s="3">
        <v>-159.318512</v>
      </c>
      <c r="E49" s="3" t="s">
        <v>197</v>
      </c>
      <c r="F49" s="14">
        <v>0.48958333333333331</v>
      </c>
      <c r="G49" s="14">
        <v>0.5625</v>
      </c>
      <c r="H49" s="3">
        <v>3</v>
      </c>
      <c r="I49" s="3">
        <v>21</v>
      </c>
      <c r="J49" s="3" t="s">
        <v>198</v>
      </c>
      <c r="K49" s="3">
        <v>15</v>
      </c>
      <c r="L49" s="3">
        <v>43</v>
      </c>
      <c r="M49" s="3" t="s">
        <v>268</v>
      </c>
      <c r="O49" s="3">
        <v>43</v>
      </c>
      <c r="Q49" s="3">
        <v>4</v>
      </c>
      <c r="S49" s="3">
        <v>26</v>
      </c>
      <c r="AA49" s="3">
        <v>6</v>
      </c>
      <c r="AC49" s="3">
        <v>4</v>
      </c>
      <c r="AL49" s="3">
        <v>30</v>
      </c>
      <c r="AW49" s="3">
        <v>1</v>
      </c>
      <c r="AY49" s="3">
        <v>2</v>
      </c>
      <c r="BA49" s="3">
        <v>30</v>
      </c>
      <c r="BL49" s="3">
        <v>19</v>
      </c>
      <c r="BM49" s="3">
        <v>503</v>
      </c>
      <c r="BN49" s="3"/>
      <c r="BO49" s="3">
        <v>1</v>
      </c>
      <c r="BP49" s="3">
        <v>1</v>
      </c>
      <c r="BU49" s="3">
        <v>5</v>
      </c>
      <c r="BY49" s="3">
        <v>3</v>
      </c>
      <c r="CJ49" s="3">
        <v>4</v>
      </c>
      <c r="DF49" s="3">
        <v>3</v>
      </c>
      <c r="DL49" s="3">
        <v>6</v>
      </c>
      <c r="DT49" s="3"/>
      <c r="DU49" s="3">
        <v>40</v>
      </c>
      <c r="EI49" s="3">
        <v>43</v>
      </c>
      <c r="FA49" s="3">
        <v>6</v>
      </c>
      <c r="FB49" s="3">
        <v>1</v>
      </c>
      <c r="FH49" s="3">
        <v>19</v>
      </c>
      <c r="FP49" s="3">
        <v>6</v>
      </c>
      <c r="FQ49" s="3">
        <v>26</v>
      </c>
      <c r="GE49" s="3">
        <f t="shared" si="0"/>
        <v>24</v>
      </c>
      <c r="GF49" s="3">
        <f t="shared" si="1"/>
        <v>20</v>
      </c>
      <c r="GG49" s="3">
        <f t="shared" si="2"/>
        <v>14</v>
      </c>
      <c r="GH49" s="3">
        <f t="shared" si="3"/>
        <v>0.58215758558349906</v>
      </c>
      <c r="GI49" s="3">
        <f t="shared" si="4"/>
        <v>789</v>
      </c>
      <c r="GJ49" s="3">
        <f t="shared" si="5"/>
        <v>1075</v>
      </c>
      <c r="GK49" s="3">
        <f t="shared" si="6"/>
        <v>286</v>
      </c>
    </row>
    <row r="50" spans="1:193" ht="15.75" customHeight="1" x14ac:dyDescent="0.15">
      <c r="A50" s="13">
        <v>42437</v>
      </c>
      <c r="B50" s="3" t="s">
        <v>219</v>
      </c>
      <c r="C50" s="3">
        <v>21.295798999999999</v>
      </c>
      <c r="D50" s="3">
        <v>-158.10369900000001</v>
      </c>
      <c r="E50" s="3" t="s">
        <v>269</v>
      </c>
      <c r="F50" s="14">
        <v>0.4201388888888889</v>
      </c>
      <c r="G50" s="14">
        <v>0.47222222222222221</v>
      </c>
      <c r="H50" s="3">
        <v>7</v>
      </c>
      <c r="I50" s="3">
        <v>20</v>
      </c>
      <c r="J50" s="3" t="s">
        <v>198</v>
      </c>
      <c r="K50" s="3">
        <v>8</v>
      </c>
      <c r="L50" s="3">
        <v>44</v>
      </c>
      <c r="M50" s="3" t="s">
        <v>270</v>
      </c>
      <c r="N50" s="3" t="s">
        <v>271</v>
      </c>
      <c r="O50" s="3">
        <v>37</v>
      </c>
      <c r="Q50" s="3">
        <v>49</v>
      </c>
      <c r="V50" s="3">
        <v>1</v>
      </c>
      <c r="AB50" s="3">
        <v>2</v>
      </c>
      <c r="AL50" s="3">
        <v>27</v>
      </c>
      <c r="BD50" s="3">
        <v>17</v>
      </c>
      <c r="BJ50" s="3">
        <v>1</v>
      </c>
      <c r="BL50" s="3">
        <v>12</v>
      </c>
      <c r="BU50" s="3">
        <v>2</v>
      </c>
      <c r="BY50" s="3">
        <v>17</v>
      </c>
      <c r="CN50" s="3">
        <v>2</v>
      </c>
      <c r="DF50" s="3">
        <v>2</v>
      </c>
      <c r="DL50" s="3">
        <v>25</v>
      </c>
      <c r="DY50" s="3">
        <v>2</v>
      </c>
      <c r="EI50" s="3">
        <v>338</v>
      </c>
      <c r="FA50" s="3">
        <v>60</v>
      </c>
      <c r="FE50" s="3">
        <v>3</v>
      </c>
      <c r="FP50" s="3">
        <v>12</v>
      </c>
      <c r="FQ50" s="3">
        <v>51</v>
      </c>
      <c r="GE50" s="3">
        <f t="shared" si="0"/>
        <v>18</v>
      </c>
      <c r="GF50" s="3">
        <f t="shared" si="1"/>
        <v>16</v>
      </c>
      <c r="GG50" s="3">
        <f t="shared" si="2"/>
        <v>10</v>
      </c>
      <c r="GH50" s="3">
        <f t="shared" si="3"/>
        <v>0.67878174789551649</v>
      </c>
      <c r="GI50" s="3">
        <f t="shared" si="4"/>
        <v>623</v>
      </c>
      <c r="GJ50" s="3">
        <f t="shared" si="5"/>
        <v>925</v>
      </c>
      <c r="GK50" s="3">
        <f t="shared" si="6"/>
        <v>302</v>
      </c>
    </row>
    <row r="51" spans="1:193" ht="15.75" customHeight="1" x14ac:dyDescent="0.15">
      <c r="A51" s="13">
        <v>42439</v>
      </c>
      <c r="B51" s="3" t="s">
        <v>216</v>
      </c>
      <c r="C51" s="3">
        <v>21.3002</v>
      </c>
      <c r="D51" s="3">
        <v>-157.882599</v>
      </c>
      <c r="E51" s="3" t="s">
        <v>272</v>
      </c>
      <c r="F51" s="14">
        <v>0.43194444444444446</v>
      </c>
      <c r="G51" s="14">
        <v>0.47986111111111113</v>
      </c>
      <c r="H51" s="3">
        <v>7</v>
      </c>
      <c r="I51" s="3">
        <v>21</v>
      </c>
      <c r="J51" s="3" t="s">
        <v>198</v>
      </c>
      <c r="K51" s="3">
        <v>6</v>
      </c>
      <c r="L51" s="3">
        <v>36</v>
      </c>
      <c r="M51" s="3" t="s">
        <v>273</v>
      </c>
      <c r="O51" s="3">
        <v>36</v>
      </c>
      <c r="AI51" s="3"/>
      <c r="AJ51" s="3">
        <v>4</v>
      </c>
      <c r="AK51" s="3">
        <v>4</v>
      </c>
      <c r="AL51" s="3">
        <v>21</v>
      </c>
      <c r="BD51" s="3">
        <v>2</v>
      </c>
      <c r="BL51" s="3">
        <v>1</v>
      </c>
      <c r="BM51" s="3">
        <v>2</v>
      </c>
      <c r="BP51" s="3">
        <v>11</v>
      </c>
      <c r="BU51" s="3">
        <v>2</v>
      </c>
      <c r="CC51" s="3">
        <v>2</v>
      </c>
      <c r="CJ51" s="3">
        <v>6</v>
      </c>
      <c r="CP51" s="3">
        <v>1</v>
      </c>
      <c r="DF51" s="3">
        <v>2</v>
      </c>
      <c r="DH51" s="3">
        <v>1</v>
      </c>
      <c r="DP51" s="3">
        <v>2</v>
      </c>
      <c r="EI51" s="3">
        <v>14</v>
      </c>
      <c r="ET51" s="3">
        <v>3</v>
      </c>
      <c r="FA51" s="3">
        <v>6</v>
      </c>
      <c r="FE51" s="3">
        <v>1</v>
      </c>
      <c r="FI51" s="3"/>
      <c r="FJ51" s="3">
        <v>1</v>
      </c>
      <c r="FK51" s="3">
        <v>1</v>
      </c>
      <c r="FQ51" s="3">
        <v>406</v>
      </c>
      <c r="GE51" s="3">
        <f t="shared" si="0"/>
        <v>21</v>
      </c>
      <c r="GF51" s="3">
        <f t="shared" si="1"/>
        <v>15</v>
      </c>
      <c r="GG51" s="3">
        <f t="shared" si="2"/>
        <v>6</v>
      </c>
      <c r="GH51" s="3">
        <f t="shared" si="3"/>
        <v>0.31873876548096114</v>
      </c>
      <c r="GI51" s="3">
        <f t="shared" si="4"/>
        <v>493</v>
      </c>
      <c r="GJ51" s="3">
        <f t="shared" si="5"/>
        <v>900</v>
      </c>
      <c r="GK51" s="3">
        <f t="shared" si="6"/>
        <v>407</v>
      </c>
    </row>
    <row r="52" spans="1:193" ht="15.75" customHeight="1" x14ac:dyDescent="0.15">
      <c r="A52" s="13">
        <v>42439</v>
      </c>
      <c r="B52" s="3" t="s">
        <v>266</v>
      </c>
      <c r="C52" s="3">
        <v>22.060683999999998</v>
      </c>
      <c r="D52" s="3">
        <v>-159.318512</v>
      </c>
      <c r="E52" s="3" t="s">
        <v>274</v>
      </c>
      <c r="F52" s="14">
        <v>0.375</v>
      </c>
      <c r="G52" s="14">
        <v>0.54166666666666663</v>
      </c>
      <c r="H52" s="3">
        <v>4</v>
      </c>
      <c r="I52" s="3">
        <v>11</v>
      </c>
      <c r="J52" s="3" t="s">
        <v>198</v>
      </c>
      <c r="K52" s="3">
        <v>10</v>
      </c>
      <c r="L52" s="3">
        <v>23</v>
      </c>
      <c r="M52" s="3" t="s">
        <v>275</v>
      </c>
      <c r="O52" s="3">
        <v>23</v>
      </c>
      <c r="Q52" s="3">
        <v>2</v>
      </c>
      <c r="AB52" s="3">
        <v>3</v>
      </c>
      <c r="AK52" s="3">
        <v>3</v>
      </c>
      <c r="AL52" s="3">
        <v>8</v>
      </c>
      <c r="AM52" s="3">
        <v>25</v>
      </c>
      <c r="AT52" s="3">
        <v>1</v>
      </c>
      <c r="BD52" s="3">
        <v>3</v>
      </c>
      <c r="BG52" s="3">
        <v>4</v>
      </c>
      <c r="BJ52" s="3">
        <v>1</v>
      </c>
      <c r="BL52" s="3">
        <v>3</v>
      </c>
      <c r="BU52" s="3">
        <v>17</v>
      </c>
      <c r="CR52" s="3">
        <v>2</v>
      </c>
      <c r="DF52" s="3">
        <v>12</v>
      </c>
      <c r="DL52" s="3">
        <v>93</v>
      </c>
      <c r="DT52" s="3"/>
      <c r="DU52" s="3">
        <v>1</v>
      </c>
      <c r="EI52" s="3">
        <v>46</v>
      </c>
      <c r="EW52" s="3">
        <v>1</v>
      </c>
      <c r="FA52" s="3">
        <v>3</v>
      </c>
      <c r="FN52" s="3">
        <v>1</v>
      </c>
      <c r="FP52" s="3">
        <v>21</v>
      </c>
      <c r="FQ52" s="3">
        <v>114</v>
      </c>
      <c r="GE52" s="3">
        <f t="shared" si="0"/>
        <v>21</v>
      </c>
      <c r="GF52" s="3">
        <f t="shared" si="1"/>
        <v>16</v>
      </c>
      <c r="GG52" s="3">
        <f t="shared" si="2"/>
        <v>8</v>
      </c>
      <c r="GH52" s="3">
        <f t="shared" si="3"/>
        <v>0.81053794690158321</v>
      </c>
      <c r="GI52" s="3">
        <f t="shared" si="4"/>
        <v>364</v>
      </c>
      <c r="GJ52" s="3">
        <f t="shared" si="5"/>
        <v>575</v>
      </c>
      <c r="GK52" s="3">
        <f t="shared" si="6"/>
        <v>211</v>
      </c>
    </row>
    <row r="53" spans="1:193" ht="15.75" customHeight="1" x14ac:dyDescent="0.15">
      <c r="A53" s="13">
        <v>42440</v>
      </c>
      <c r="B53" s="3" t="s">
        <v>246</v>
      </c>
      <c r="C53" s="3">
        <v>21.2882</v>
      </c>
      <c r="D53" s="3">
        <v>-157.66799900000001</v>
      </c>
      <c r="E53" s="3" t="s">
        <v>274</v>
      </c>
      <c r="F53" s="14">
        <v>0.42708333333333331</v>
      </c>
      <c r="G53" s="14">
        <v>0.47916666666666669</v>
      </c>
      <c r="H53" s="3">
        <v>5</v>
      </c>
      <c r="I53" s="3">
        <v>13</v>
      </c>
      <c r="J53" s="3" t="s">
        <v>198</v>
      </c>
      <c r="K53" s="3">
        <v>5</v>
      </c>
      <c r="L53" s="3">
        <v>18</v>
      </c>
      <c r="M53" s="3" t="s">
        <v>276</v>
      </c>
      <c r="O53" s="3">
        <v>18</v>
      </c>
      <c r="AA53" s="3">
        <v>18</v>
      </c>
      <c r="BA53" s="3">
        <v>18</v>
      </c>
      <c r="BL53" s="3">
        <v>32</v>
      </c>
      <c r="BY53" s="3">
        <v>3</v>
      </c>
      <c r="DL53" s="3">
        <v>15</v>
      </c>
      <c r="EI53" s="3">
        <v>4</v>
      </c>
      <c r="FP53" s="3">
        <v>1</v>
      </c>
      <c r="FQ53" s="3">
        <v>132</v>
      </c>
      <c r="FT53" s="3"/>
      <c r="FU53" s="3">
        <v>33</v>
      </c>
      <c r="GE53" s="3">
        <f t="shared" si="0"/>
        <v>9</v>
      </c>
      <c r="GF53" s="3">
        <f t="shared" si="1"/>
        <v>8</v>
      </c>
      <c r="GG53" s="3">
        <f t="shared" si="2"/>
        <v>6</v>
      </c>
      <c r="GH53" s="3">
        <f t="shared" si="3"/>
        <v>0.69087009803921573</v>
      </c>
      <c r="GI53" s="3">
        <f t="shared" si="4"/>
        <v>256</v>
      </c>
      <c r="GJ53" s="3">
        <f t="shared" si="5"/>
        <v>450</v>
      </c>
      <c r="GK53" s="3">
        <f t="shared" si="6"/>
        <v>194</v>
      </c>
    </row>
    <row r="54" spans="1:193" ht="15.75" customHeight="1" x14ac:dyDescent="0.15">
      <c r="A54" s="13">
        <v>42443</v>
      </c>
      <c r="B54" s="3" t="s">
        <v>230</v>
      </c>
      <c r="C54" s="3">
        <v>20.753699999999998</v>
      </c>
      <c r="D54" s="3">
        <v>-156.46090699999999</v>
      </c>
      <c r="E54" s="3" t="s">
        <v>197</v>
      </c>
      <c r="F54" s="14">
        <v>0.55208333333333337</v>
      </c>
      <c r="G54" s="14">
        <v>0.625</v>
      </c>
      <c r="H54" s="3">
        <v>3</v>
      </c>
      <c r="I54" s="3">
        <v>15</v>
      </c>
      <c r="J54" s="3" t="s">
        <v>277</v>
      </c>
      <c r="K54" s="3">
        <v>10</v>
      </c>
      <c r="L54" s="3">
        <v>30</v>
      </c>
      <c r="O54" s="3">
        <v>30</v>
      </c>
      <c r="Q54" s="3">
        <v>56</v>
      </c>
      <c r="AL54" s="3">
        <v>4</v>
      </c>
      <c r="BL54" s="3">
        <v>49</v>
      </c>
      <c r="BM54" s="3">
        <v>242</v>
      </c>
      <c r="CN54" s="3">
        <v>1</v>
      </c>
      <c r="DL54" s="3">
        <v>4</v>
      </c>
      <c r="EW54" s="3">
        <v>64</v>
      </c>
      <c r="FN54" s="3">
        <v>2</v>
      </c>
      <c r="FO54" s="3">
        <v>1</v>
      </c>
      <c r="FQ54" s="3">
        <v>132</v>
      </c>
      <c r="FR54" s="3">
        <v>2</v>
      </c>
      <c r="GE54" s="3">
        <f t="shared" si="0"/>
        <v>11</v>
      </c>
      <c r="GF54" s="3">
        <f t="shared" si="1"/>
        <v>9</v>
      </c>
      <c r="GG54" s="3">
        <f t="shared" si="2"/>
        <v>5</v>
      </c>
      <c r="GH54" s="3">
        <f t="shared" si="3"/>
        <v>0.72519148056778993</v>
      </c>
      <c r="GI54" s="3">
        <f t="shared" si="4"/>
        <v>557</v>
      </c>
      <c r="GJ54" s="3">
        <f t="shared" si="5"/>
        <v>750</v>
      </c>
      <c r="GK54" s="3">
        <f t="shared" si="6"/>
        <v>193</v>
      </c>
    </row>
    <row r="55" spans="1:193" ht="15.75" customHeight="1" x14ac:dyDescent="0.15">
      <c r="A55" s="13">
        <v>42464</v>
      </c>
      <c r="B55" s="3" t="s">
        <v>244</v>
      </c>
      <c r="C55" s="3">
        <v>21.310611999999999</v>
      </c>
      <c r="D55" s="3">
        <v>-158.00441000000001</v>
      </c>
      <c r="E55" s="3" t="s">
        <v>278</v>
      </c>
      <c r="F55" s="14">
        <v>0.375</v>
      </c>
      <c r="G55" s="14">
        <v>0.45833333333333331</v>
      </c>
      <c r="H55" s="3">
        <v>5</v>
      </c>
      <c r="I55" s="3">
        <v>12</v>
      </c>
      <c r="J55" s="3" t="s">
        <v>198</v>
      </c>
      <c r="K55" s="3">
        <v>6</v>
      </c>
      <c r="L55" s="3">
        <v>26</v>
      </c>
      <c r="M55" s="3" t="s">
        <v>279</v>
      </c>
      <c r="O55" s="3">
        <v>26</v>
      </c>
      <c r="Q55" s="3">
        <v>61</v>
      </c>
      <c r="S55" s="3">
        <v>1</v>
      </c>
      <c r="BL55" s="3">
        <v>1</v>
      </c>
      <c r="BU55" s="3">
        <v>14</v>
      </c>
      <c r="BY55" s="3">
        <v>8</v>
      </c>
      <c r="CF55" s="3"/>
      <c r="CG55" s="3">
        <v>1</v>
      </c>
      <c r="CR55" s="3">
        <v>1</v>
      </c>
      <c r="DF55" s="3">
        <v>23</v>
      </c>
      <c r="DL55" s="3">
        <v>35</v>
      </c>
      <c r="DT55" s="3"/>
      <c r="DU55" s="3">
        <v>7</v>
      </c>
      <c r="EI55" s="3">
        <v>307</v>
      </c>
      <c r="FA55" s="3">
        <v>9</v>
      </c>
      <c r="FQ55" s="3">
        <v>1</v>
      </c>
      <c r="GE55" s="3">
        <f t="shared" si="0"/>
        <v>13</v>
      </c>
      <c r="GF55" s="3">
        <f t="shared" si="1"/>
        <v>8</v>
      </c>
      <c r="GG55" s="3">
        <f t="shared" si="2"/>
        <v>8</v>
      </c>
      <c r="GH55" s="3">
        <f t="shared" si="3"/>
        <v>0.54599712062398631</v>
      </c>
      <c r="GI55" s="3">
        <f t="shared" si="4"/>
        <v>469</v>
      </c>
      <c r="GJ55" s="3">
        <f t="shared" si="5"/>
        <v>650</v>
      </c>
      <c r="GK55" s="3">
        <f t="shared" si="6"/>
        <v>181</v>
      </c>
    </row>
    <row r="56" spans="1:193" ht="15.75" customHeight="1" x14ac:dyDescent="0.15">
      <c r="A56" s="13">
        <v>42465</v>
      </c>
      <c r="B56" s="3" t="s">
        <v>280</v>
      </c>
      <c r="C56" s="3">
        <v>19.638598999999999</v>
      </c>
      <c r="D56" s="3">
        <v>-156.00250199999999</v>
      </c>
      <c r="E56" s="3" t="s">
        <v>274</v>
      </c>
      <c r="F56" s="14">
        <v>0.43055555555555558</v>
      </c>
      <c r="G56" s="14">
        <v>0.47916666666666669</v>
      </c>
      <c r="H56" s="3">
        <v>8</v>
      </c>
      <c r="I56" s="3">
        <v>26</v>
      </c>
      <c r="J56" s="3" t="s">
        <v>217</v>
      </c>
      <c r="K56" s="3">
        <v>12</v>
      </c>
      <c r="L56" s="3">
        <v>81</v>
      </c>
      <c r="M56" s="3" t="s">
        <v>281</v>
      </c>
      <c r="N56" s="3" t="s">
        <v>282</v>
      </c>
      <c r="O56" s="3">
        <v>73</v>
      </c>
      <c r="Q56" s="3">
        <v>17</v>
      </c>
      <c r="R56" s="3">
        <v>2</v>
      </c>
      <c r="AB56" s="3">
        <v>36</v>
      </c>
      <c r="AK56" s="3">
        <v>2</v>
      </c>
      <c r="BD56" s="3">
        <v>1</v>
      </c>
      <c r="BJ56" s="3">
        <v>31</v>
      </c>
      <c r="BL56" s="3">
        <v>51</v>
      </c>
      <c r="CB56" s="3">
        <v>25</v>
      </c>
      <c r="CC56" s="3">
        <v>10</v>
      </c>
      <c r="CU56" s="3">
        <v>1</v>
      </c>
      <c r="DG56" s="3">
        <v>4</v>
      </c>
      <c r="FE56" s="3">
        <v>3</v>
      </c>
      <c r="FN56" s="3">
        <v>4</v>
      </c>
      <c r="FO56" s="3">
        <v>19</v>
      </c>
      <c r="FP56" s="3">
        <v>3</v>
      </c>
      <c r="FQ56" s="3">
        <v>759</v>
      </c>
      <c r="FR56" s="3">
        <v>3</v>
      </c>
      <c r="GE56" s="3">
        <f t="shared" si="0"/>
        <v>17</v>
      </c>
      <c r="GF56" s="3">
        <f t="shared" si="1"/>
        <v>15</v>
      </c>
      <c r="GG56" s="3">
        <f t="shared" si="2"/>
        <v>8</v>
      </c>
      <c r="GH56" s="3">
        <f t="shared" si="3"/>
        <v>0.38270461953348123</v>
      </c>
      <c r="GI56" s="3">
        <f t="shared" si="4"/>
        <v>971</v>
      </c>
      <c r="GJ56" s="3">
        <f t="shared" si="5"/>
        <v>1825</v>
      </c>
      <c r="GK56" s="3">
        <f t="shared" si="6"/>
        <v>854</v>
      </c>
    </row>
    <row r="57" spans="1:193" ht="13" x14ac:dyDescent="0.15">
      <c r="A57" s="13">
        <v>42465</v>
      </c>
      <c r="B57" s="3" t="s">
        <v>244</v>
      </c>
      <c r="C57" s="3">
        <v>21.310611999999999</v>
      </c>
      <c r="D57" s="3">
        <v>-158.00441000000001</v>
      </c>
      <c r="E57" s="3" t="s">
        <v>274</v>
      </c>
      <c r="F57" s="14">
        <v>0.35416666666666669</v>
      </c>
      <c r="G57" s="14">
        <v>0.41875000000000001</v>
      </c>
      <c r="H57" s="3">
        <v>7</v>
      </c>
      <c r="I57" s="3">
        <v>20</v>
      </c>
      <c r="J57" s="3" t="s">
        <v>198</v>
      </c>
      <c r="K57" s="3">
        <v>10</v>
      </c>
      <c r="L57" s="3">
        <v>51</v>
      </c>
      <c r="M57" s="3" t="s">
        <v>283</v>
      </c>
      <c r="O57" s="3">
        <v>51</v>
      </c>
      <c r="Q57" s="3">
        <v>331</v>
      </c>
      <c r="S57" s="3">
        <v>2</v>
      </c>
      <c r="V57" s="3">
        <v>1</v>
      </c>
      <c r="AH57" s="3">
        <v>3</v>
      </c>
      <c r="BD57" s="3">
        <v>101</v>
      </c>
      <c r="BL57" s="3">
        <v>54</v>
      </c>
      <c r="BU57" s="3">
        <v>22</v>
      </c>
      <c r="BY57" s="3">
        <v>10</v>
      </c>
      <c r="CB57" s="3">
        <v>1</v>
      </c>
      <c r="CF57" s="3"/>
      <c r="CG57" s="3">
        <v>1</v>
      </c>
      <c r="CN57" s="3">
        <v>16</v>
      </c>
      <c r="CR57" s="3">
        <v>1</v>
      </c>
      <c r="DF57" s="3">
        <v>3</v>
      </c>
      <c r="DL57" s="3">
        <v>66</v>
      </c>
      <c r="DN57" s="3">
        <v>1</v>
      </c>
      <c r="DR57" s="3">
        <v>7</v>
      </c>
      <c r="EB57" s="3">
        <v>5</v>
      </c>
      <c r="EI57" s="3">
        <v>133</v>
      </c>
      <c r="EJ57" s="3">
        <v>1</v>
      </c>
      <c r="FA57" s="3">
        <v>16</v>
      </c>
      <c r="FG57" s="3">
        <v>4</v>
      </c>
      <c r="FQ57" s="3">
        <v>160</v>
      </c>
      <c r="GE57" s="3">
        <f t="shared" si="0"/>
        <v>22</v>
      </c>
      <c r="GF57" s="3">
        <f t="shared" si="1"/>
        <v>16</v>
      </c>
      <c r="GG57" s="3">
        <f t="shared" si="2"/>
        <v>12</v>
      </c>
      <c r="GH57" s="3">
        <f t="shared" si="3"/>
        <v>0.80631075566939381</v>
      </c>
      <c r="GI57" s="3">
        <f t="shared" si="4"/>
        <v>939</v>
      </c>
      <c r="GJ57" s="3">
        <f t="shared" si="5"/>
        <v>1275</v>
      </c>
      <c r="GK57" s="3">
        <f t="shared" si="6"/>
        <v>336</v>
      </c>
    </row>
    <row r="58" spans="1:193" ht="13" x14ac:dyDescent="0.15">
      <c r="A58" s="13">
        <v>42465</v>
      </c>
      <c r="B58" s="3" t="s">
        <v>244</v>
      </c>
      <c r="C58" s="3">
        <v>21.310611999999999</v>
      </c>
      <c r="D58" s="3">
        <v>-158.00441000000001</v>
      </c>
      <c r="E58" s="3" t="s">
        <v>278</v>
      </c>
      <c r="F58" s="14">
        <v>0.375</v>
      </c>
      <c r="G58" s="14">
        <v>0.45833333333333331</v>
      </c>
      <c r="H58" s="3">
        <v>5</v>
      </c>
      <c r="I58" s="3">
        <v>12</v>
      </c>
      <c r="J58" s="3" t="s">
        <v>198</v>
      </c>
      <c r="K58" s="3">
        <v>6</v>
      </c>
      <c r="L58" s="3">
        <v>29</v>
      </c>
      <c r="M58" s="3" t="s">
        <v>284</v>
      </c>
      <c r="O58" s="3">
        <v>29</v>
      </c>
      <c r="Q58" s="3">
        <v>49</v>
      </c>
      <c r="V58" s="3">
        <v>5</v>
      </c>
      <c r="AA58" s="3">
        <v>3</v>
      </c>
      <c r="AB58" s="3">
        <v>5</v>
      </c>
      <c r="AD58" s="3">
        <v>1</v>
      </c>
      <c r="AH58" s="3">
        <v>7</v>
      </c>
      <c r="BD58" s="3">
        <v>13</v>
      </c>
      <c r="BL58" s="3">
        <v>12</v>
      </c>
      <c r="BU58" s="3">
        <v>60</v>
      </c>
      <c r="BY58" s="3">
        <v>7</v>
      </c>
      <c r="CF58" s="3"/>
      <c r="CG58" s="3">
        <v>4</v>
      </c>
      <c r="CR58" s="3">
        <v>1</v>
      </c>
      <c r="DF58" s="3">
        <v>10</v>
      </c>
      <c r="DL58" s="3">
        <v>22</v>
      </c>
      <c r="EB58" s="3">
        <v>2</v>
      </c>
      <c r="EI58" s="3">
        <v>299</v>
      </c>
      <c r="EJ58" s="3">
        <v>13</v>
      </c>
      <c r="FA58" s="3">
        <v>5</v>
      </c>
      <c r="FQ58" s="3">
        <v>48</v>
      </c>
      <c r="FW58" s="3">
        <v>10</v>
      </c>
      <c r="GE58" s="3">
        <f t="shared" si="0"/>
        <v>20</v>
      </c>
      <c r="GF58" s="3">
        <f t="shared" si="1"/>
        <v>18</v>
      </c>
      <c r="GG58" s="3">
        <f t="shared" si="2"/>
        <v>15</v>
      </c>
      <c r="GH58" s="3">
        <f t="shared" si="3"/>
        <v>0.70259661835748788</v>
      </c>
      <c r="GI58" s="3">
        <f t="shared" si="4"/>
        <v>576</v>
      </c>
      <c r="GJ58" s="3">
        <f t="shared" si="5"/>
        <v>725</v>
      </c>
      <c r="GK58" s="3">
        <f t="shared" si="6"/>
        <v>149</v>
      </c>
    </row>
    <row r="59" spans="1:193" ht="13" x14ac:dyDescent="0.15">
      <c r="A59" s="13">
        <v>42467</v>
      </c>
      <c r="B59" s="3" t="s">
        <v>201</v>
      </c>
      <c r="C59" s="3">
        <v>21.25544</v>
      </c>
      <c r="D59" s="3">
        <v>-157.810303</v>
      </c>
      <c r="E59" s="3" t="s">
        <v>274</v>
      </c>
      <c r="F59" s="14">
        <v>0.38194444444444442</v>
      </c>
      <c r="G59" s="14">
        <v>0.46875</v>
      </c>
      <c r="H59" s="3">
        <v>7</v>
      </c>
      <c r="I59" s="3">
        <v>10</v>
      </c>
      <c r="J59" s="3" t="s">
        <v>217</v>
      </c>
      <c r="K59" s="3">
        <v>6</v>
      </c>
      <c r="L59" s="3">
        <v>41</v>
      </c>
      <c r="M59" s="3" t="s">
        <v>285</v>
      </c>
      <c r="O59" s="3">
        <v>41</v>
      </c>
      <c r="Q59" s="3">
        <v>6</v>
      </c>
      <c r="AA59" s="3">
        <v>2</v>
      </c>
      <c r="AB59" s="3">
        <v>1</v>
      </c>
      <c r="AL59" s="3">
        <v>21</v>
      </c>
      <c r="BA59" s="3">
        <v>5</v>
      </c>
      <c r="BC59" s="3">
        <v>1</v>
      </c>
      <c r="BD59" s="3">
        <v>2</v>
      </c>
      <c r="BL59" s="3">
        <v>44</v>
      </c>
      <c r="BM59" s="3">
        <v>1</v>
      </c>
      <c r="BP59" s="3">
        <v>46</v>
      </c>
      <c r="BU59" s="3">
        <v>2</v>
      </c>
      <c r="BV59" s="3">
        <v>4</v>
      </c>
      <c r="BY59" s="3">
        <v>48</v>
      </c>
      <c r="CM59" s="3">
        <v>1</v>
      </c>
      <c r="DK59" s="3">
        <v>102</v>
      </c>
      <c r="DN59" s="3">
        <v>1</v>
      </c>
      <c r="DR59" s="3">
        <v>12</v>
      </c>
      <c r="DT59" s="3"/>
      <c r="DU59" s="3">
        <v>5</v>
      </c>
      <c r="DY59" s="3">
        <v>1</v>
      </c>
      <c r="EB59" s="3">
        <v>2</v>
      </c>
      <c r="EI59" s="3">
        <v>259</v>
      </c>
      <c r="EY59" s="3">
        <v>4</v>
      </c>
      <c r="FA59" s="3">
        <v>6</v>
      </c>
      <c r="FB59" s="3">
        <v>2</v>
      </c>
      <c r="FE59" s="3">
        <v>11</v>
      </c>
      <c r="FH59" s="3">
        <v>11</v>
      </c>
      <c r="FP59" s="3">
        <v>24</v>
      </c>
      <c r="FQ59" s="3">
        <v>129</v>
      </c>
      <c r="FV59" s="3">
        <v>3</v>
      </c>
      <c r="GC59" s="3">
        <v>4</v>
      </c>
      <c r="GE59" s="3">
        <f t="shared" si="0"/>
        <v>30</v>
      </c>
      <c r="GF59" s="3">
        <f t="shared" si="1"/>
        <v>24</v>
      </c>
      <c r="GG59" s="3">
        <f t="shared" si="2"/>
        <v>15</v>
      </c>
      <c r="GH59" s="3">
        <f t="shared" si="3"/>
        <v>0.82433603772276542</v>
      </c>
      <c r="GI59" s="3">
        <f t="shared" si="4"/>
        <v>760</v>
      </c>
      <c r="GJ59" s="3">
        <f t="shared" si="5"/>
        <v>1025</v>
      </c>
      <c r="GK59" s="3">
        <f t="shared" si="6"/>
        <v>265</v>
      </c>
    </row>
    <row r="60" spans="1:193" ht="13" x14ac:dyDescent="0.15">
      <c r="A60" s="13">
        <v>42467</v>
      </c>
      <c r="B60" s="3" t="s">
        <v>233</v>
      </c>
      <c r="C60" s="23">
        <v>21.066799</v>
      </c>
      <c r="D60" s="23">
        <v>-156.804993</v>
      </c>
      <c r="E60" s="3" t="s">
        <v>286</v>
      </c>
      <c r="F60" s="14">
        <v>0.375</v>
      </c>
      <c r="G60" s="14">
        <v>0.43888888888888888</v>
      </c>
      <c r="H60" s="3">
        <v>4</v>
      </c>
      <c r="I60" s="3">
        <v>17</v>
      </c>
      <c r="J60" s="3" t="s">
        <v>198</v>
      </c>
      <c r="K60" s="3">
        <v>16</v>
      </c>
      <c r="L60" s="3">
        <v>25</v>
      </c>
      <c r="M60" s="3" t="s">
        <v>287</v>
      </c>
      <c r="N60" s="3" t="s">
        <v>288</v>
      </c>
      <c r="O60" s="3">
        <v>25</v>
      </c>
      <c r="Q60" s="3">
        <v>11</v>
      </c>
      <c r="T60" s="3">
        <v>39</v>
      </c>
      <c r="V60" s="3">
        <v>11</v>
      </c>
      <c r="BA60" s="3">
        <v>5</v>
      </c>
      <c r="BK60" s="3">
        <v>1</v>
      </c>
      <c r="BL60" s="3">
        <v>26</v>
      </c>
      <c r="BY60" s="3">
        <v>16</v>
      </c>
      <c r="CC60" s="3">
        <v>1</v>
      </c>
      <c r="CN60" s="3">
        <v>13</v>
      </c>
      <c r="DF60" s="3">
        <v>40</v>
      </c>
      <c r="EI60" s="3">
        <v>83</v>
      </c>
      <c r="FA60" s="3">
        <v>109</v>
      </c>
      <c r="FV60" s="3">
        <v>5</v>
      </c>
      <c r="GE60" s="3">
        <f t="shared" si="0"/>
        <v>13</v>
      </c>
      <c r="GF60" s="3">
        <f t="shared" si="1"/>
        <v>11</v>
      </c>
      <c r="GG60" s="3">
        <f t="shared" si="2"/>
        <v>11</v>
      </c>
      <c r="GH60" s="3">
        <f t="shared" si="3"/>
        <v>0.82260909935004645</v>
      </c>
      <c r="GI60" s="3">
        <f t="shared" si="4"/>
        <v>360</v>
      </c>
      <c r="GJ60" s="3">
        <f t="shared" si="5"/>
        <v>625</v>
      </c>
      <c r="GK60" s="3">
        <f t="shared" si="6"/>
        <v>265</v>
      </c>
    </row>
    <row r="61" spans="1:193" ht="13" x14ac:dyDescent="0.15">
      <c r="A61" s="13">
        <v>42468</v>
      </c>
      <c r="B61" s="3" t="s">
        <v>247</v>
      </c>
      <c r="C61" s="3">
        <v>19.488199000000002</v>
      </c>
      <c r="D61" s="3">
        <v>-154.81930500000001</v>
      </c>
      <c r="E61" s="3" t="s">
        <v>289</v>
      </c>
      <c r="F61" s="14">
        <v>0.3972222222222222</v>
      </c>
      <c r="G61" s="14">
        <v>0.44791666666666669</v>
      </c>
      <c r="H61" s="3">
        <v>5</v>
      </c>
      <c r="I61" s="3">
        <v>21</v>
      </c>
      <c r="J61" s="3" t="s">
        <v>198</v>
      </c>
      <c r="K61" s="3">
        <v>5</v>
      </c>
      <c r="L61" s="3">
        <v>23</v>
      </c>
      <c r="M61" s="3" t="s">
        <v>290</v>
      </c>
      <c r="O61" s="3">
        <v>23</v>
      </c>
      <c r="AL61" s="3">
        <v>315</v>
      </c>
      <c r="BH61" s="3"/>
      <c r="BI61" s="3">
        <v>1</v>
      </c>
      <c r="BL61" s="3">
        <v>102</v>
      </c>
      <c r="BM61" s="3">
        <v>3</v>
      </c>
      <c r="BP61" s="3">
        <v>4</v>
      </c>
      <c r="CB61" s="3">
        <v>1</v>
      </c>
      <c r="DR61" s="3">
        <v>27</v>
      </c>
      <c r="FA61" s="3">
        <v>1</v>
      </c>
      <c r="FQ61" s="3">
        <v>109</v>
      </c>
      <c r="GE61" s="3">
        <f t="shared" si="0"/>
        <v>9</v>
      </c>
      <c r="GF61" s="3">
        <f t="shared" si="1"/>
        <v>6</v>
      </c>
      <c r="GG61" s="3">
        <f t="shared" si="2"/>
        <v>4</v>
      </c>
      <c r="GH61" s="3">
        <f t="shared" si="3"/>
        <v>0.61535495534218687</v>
      </c>
      <c r="GI61" s="3">
        <f t="shared" si="4"/>
        <v>563</v>
      </c>
      <c r="GJ61" s="3">
        <f t="shared" si="5"/>
        <v>575</v>
      </c>
      <c r="GK61" s="3">
        <f t="shared" si="6"/>
        <v>12</v>
      </c>
    </row>
    <row r="62" spans="1:193" ht="13" x14ac:dyDescent="0.15">
      <c r="A62" s="13">
        <v>42468</v>
      </c>
      <c r="B62" s="3" t="s">
        <v>291</v>
      </c>
      <c r="C62" s="3">
        <v>19.734331000000001</v>
      </c>
      <c r="D62" s="3">
        <v>-155.01483200000001</v>
      </c>
      <c r="E62" s="3" t="s">
        <v>274</v>
      </c>
      <c r="F62" s="14">
        <v>0.38194444444444442</v>
      </c>
      <c r="G62" s="14">
        <v>0.45833333333333331</v>
      </c>
      <c r="H62" s="3">
        <v>6</v>
      </c>
      <c r="I62" s="3">
        <v>17</v>
      </c>
      <c r="J62" s="3" t="s">
        <v>198</v>
      </c>
      <c r="K62" s="3">
        <v>5</v>
      </c>
      <c r="L62" s="3">
        <v>19</v>
      </c>
      <c r="M62" s="3" t="s">
        <v>292</v>
      </c>
      <c r="O62" s="3">
        <v>19</v>
      </c>
      <c r="Q62" s="3">
        <v>1</v>
      </c>
      <c r="AB62" s="3">
        <v>1</v>
      </c>
      <c r="AF62" s="3">
        <v>4</v>
      </c>
      <c r="AL62" s="3">
        <v>20</v>
      </c>
      <c r="AM62" s="3">
        <v>28</v>
      </c>
      <c r="BA62" s="3">
        <v>83</v>
      </c>
      <c r="BJ62" s="3">
        <v>13</v>
      </c>
      <c r="BL62" s="3">
        <v>123</v>
      </c>
      <c r="BM62" s="3">
        <v>1</v>
      </c>
      <c r="CB62" s="3">
        <v>1</v>
      </c>
      <c r="CN62" s="3">
        <v>14</v>
      </c>
      <c r="CP62" s="3">
        <v>10</v>
      </c>
      <c r="DG62" s="3">
        <v>2</v>
      </c>
      <c r="DV62" s="3">
        <v>2</v>
      </c>
      <c r="FA62" s="3">
        <v>2</v>
      </c>
      <c r="FG62" s="3">
        <v>11</v>
      </c>
      <c r="FO62" s="3">
        <v>2</v>
      </c>
      <c r="FP62" s="3">
        <v>1</v>
      </c>
      <c r="FQ62" s="3">
        <v>65</v>
      </c>
      <c r="GE62" s="3">
        <f t="shared" si="0"/>
        <v>19</v>
      </c>
      <c r="GF62" s="3">
        <f t="shared" si="1"/>
        <v>14</v>
      </c>
      <c r="GG62" s="3">
        <f t="shared" si="2"/>
        <v>9</v>
      </c>
      <c r="GH62" s="3">
        <f t="shared" si="3"/>
        <v>0.81188805483028714</v>
      </c>
      <c r="GI62" s="3">
        <f t="shared" si="4"/>
        <v>384</v>
      </c>
      <c r="GJ62" s="3">
        <f t="shared" si="5"/>
        <v>475</v>
      </c>
      <c r="GK62" s="3">
        <f t="shared" si="6"/>
        <v>91</v>
      </c>
    </row>
    <row r="63" spans="1:193" ht="13" x14ac:dyDescent="0.15">
      <c r="A63" s="13">
        <v>42469</v>
      </c>
      <c r="B63" s="3" t="s">
        <v>293</v>
      </c>
      <c r="C63" s="3">
        <v>19.738602</v>
      </c>
      <c r="D63" s="3">
        <v>-155.03887900000001</v>
      </c>
      <c r="E63" s="3" t="s">
        <v>197</v>
      </c>
      <c r="F63" s="14">
        <v>0.40763888888888888</v>
      </c>
      <c r="G63" s="14">
        <v>0.46527777777777779</v>
      </c>
      <c r="H63" s="3">
        <v>4</v>
      </c>
      <c r="I63" s="3">
        <v>15</v>
      </c>
      <c r="J63" s="3" t="s">
        <v>277</v>
      </c>
      <c r="K63" s="3">
        <v>10</v>
      </c>
      <c r="L63" s="3">
        <v>20</v>
      </c>
      <c r="M63" s="3" t="s">
        <v>294</v>
      </c>
      <c r="N63" s="3" t="s">
        <v>295</v>
      </c>
      <c r="O63" s="3">
        <v>20</v>
      </c>
      <c r="AA63" s="3">
        <v>1</v>
      </c>
      <c r="AH63" s="3">
        <v>6</v>
      </c>
      <c r="AL63" s="3">
        <v>56</v>
      </c>
      <c r="BJ63" s="3">
        <v>38</v>
      </c>
      <c r="BL63" s="3">
        <v>21</v>
      </c>
      <c r="BY63" s="3">
        <v>1</v>
      </c>
      <c r="CC63" s="3">
        <v>2</v>
      </c>
      <c r="CE63" s="3">
        <v>3</v>
      </c>
      <c r="CM63" s="3">
        <v>1</v>
      </c>
      <c r="CN63" s="3">
        <v>52</v>
      </c>
      <c r="DF63" s="3">
        <v>1</v>
      </c>
      <c r="DL63" s="3">
        <v>1</v>
      </c>
      <c r="DT63" s="3"/>
      <c r="DU63" s="3">
        <v>1</v>
      </c>
      <c r="EI63" s="3">
        <v>14</v>
      </c>
      <c r="FO63" s="3">
        <v>2</v>
      </c>
      <c r="FQ63" s="3">
        <v>219</v>
      </c>
      <c r="GE63" s="3">
        <f t="shared" si="0"/>
        <v>16</v>
      </c>
      <c r="GF63" s="3">
        <f t="shared" si="1"/>
        <v>10</v>
      </c>
      <c r="GG63" s="3">
        <f t="shared" si="2"/>
        <v>7</v>
      </c>
      <c r="GH63" s="3">
        <f t="shared" si="3"/>
        <v>0.68298866062966046</v>
      </c>
      <c r="GI63" s="3">
        <f t="shared" si="4"/>
        <v>419</v>
      </c>
      <c r="GJ63" s="3">
        <f t="shared" si="5"/>
        <v>500</v>
      </c>
      <c r="GK63" s="3">
        <f t="shared" si="6"/>
        <v>81</v>
      </c>
    </row>
    <row r="64" spans="1:193" ht="13" x14ac:dyDescent="0.15">
      <c r="A64" s="13">
        <v>42470</v>
      </c>
      <c r="B64" s="3" t="s">
        <v>293</v>
      </c>
      <c r="C64" s="3">
        <v>19.738602</v>
      </c>
      <c r="D64" s="3">
        <v>-155.03887900000001</v>
      </c>
      <c r="E64" s="3" t="s">
        <v>197</v>
      </c>
      <c r="F64" s="14">
        <v>0.43402777777777779</v>
      </c>
      <c r="G64" s="14">
        <v>0.52777777777777779</v>
      </c>
      <c r="H64" s="3">
        <v>4</v>
      </c>
      <c r="I64" s="3">
        <v>22</v>
      </c>
      <c r="J64" s="3" t="s">
        <v>198</v>
      </c>
      <c r="K64" s="3">
        <v>11</v>
      </c>
      <c r="L64" s="3">
        <v>35</v>
      </c>
      <c r="M64" s="3" t="s">
        <v>296</v>
      </c>
      <c r="O64" s="3">
        <v>35</v>
      </c>
      <c r="Q64" s="3">
        <v>24</v>
      </c>
      <c r="S64" s="3">
        <v>9</v>
      </c>
      <c r="AA64" s="3">
        <v>77</v>
      </c>
      <c r="AC64" s="3">
        <v>6</v>
      </c>
      <c r="AG64" s="3">
        <v>15</v>
      </c>
      <c r="AL64" s="3">
        <v>35</v>
      </c>
      <c r="AY64" s="3">
        <v>6</v>
      </c>
      <c r="BA64" s="3">
        <v>3</v>
      </c>
      <c r="BF64" s="3">
        <v>1</v>
      </c>
      <c r="BH64" s="3"/>
      <c r="BI64" s="3">
        <v>1</v>
      </c>
      <c r="BJ64" s="3">
        <v>5</v>
      </c>
      <c r="BL64" s="3">
        <v>59</v>
      </c>
      <c r="BM64" s="3">
        <v>16</v>
      </c>
      <c r="BY64" s="3">
        <v>6</v>
      </c>
      <c r="CA64" s="3">
        <v>3</v>
      </c>
      <c r="CB64" s="3">
        <v>5</v>
      </c>
      <c r="CK64" s="3">
        <v>1</v>
      </c>
      <c r="CN64" s="3">
        <v>98</v>
      </c>
      <c r="DF64" s="3">
        <v>6</v>
      </c>
      <c r="DG64" s="3">
        <v>5</v>
      </c>
      <c r="DL64" s="3">
        <v>3</v>
      </c>
      <c r="DP64" s="3">
        <v>1</v>
      </c>
      <c r="EC64" s="3">
        <v>2</v>
      </c>
      <c r="EI64" s="3">
        <v>13</v>
      </c>
      <c r="EW64" s="3">
        <v>5</v>
      </c>
      <c r="FA64" s="3">
        <v>9</v>
      </c>
      <c r="FN64" s="3">
        <v>2</v>
      </c>
      <c r="FO64" s="3">
        <v>17</v>
      </c>
      <c r="FQ64" s="3">
        <v>161</v>
      </c>
      <c r="FR64" s="3">
        <v>7</v>
      </c>
      <c r="GE64" s="3">
        <f t="shared" si="0"/>
        <v>30</v>
      </c>
      <c r="GF64" s="3">
        <f t="shared" si="1"/>
        <v>26</v>
      </c>
      <c r="GG64" s="3">
        <f t="shared" si="2"/>
        <v>21</v>
      </c>
      <c r="GH64" s="3">
        <f t="shared" si="3"/>
        <v>0.86808652246256246</v>
      </c>
      <c r="GI64" s="3">
        <f t="shared" si="4"/>
        <v>601</v>
      </c>
      <c r="GJ64" s="3">
        <f t="shared" si="5"/>
        <v>875</v>
      </c>
      <c r="GK64" s="3">
        <f t="shared" si="6"/>
        <v>274</v>
      </c>
    </row>
    <row r="65" spans="1:193" ht="13" x14ac:dyDescent="0.15">
      <c r="A65" s="13">
        <v>42471</v>
      </c>
      <c r="B65" s="3" t="s">
        <v>266</v>
      </c>
      <c r="C65" s="3">
        <v>22.060683999999998</v>
      </c>
      <c r="D65" s="3">
        <v>-159.318512</v>
      </c>
      <c r="E65" s="3" t="s">
        <v>297</v>
      </c>
      <c r="F65" s="14">
        <v>0.48958333333333331</v>
      </c>
      <c r="G65" s="14">
        <v>0.54166666666666663</v>
      </c>
      <c r="H65" s="3">
        <v>5</v>
      </c>
      <c r="I65" s="3">
        <v>12</v>
      </c>
      <c r="J65" s="3" t="s">
        <v>198</v>
      </c>
      <c r="K65" s="3">
        <v>5</v>
      </c>
      <c r="L65" s="3">
        <v>24</v>
      </c>
      <c r="M65" s="3" t="s">
        <v>298</v>
      </c>
      <c r="O65" s="3">
        <v>24</v>
      </c>
      <c r="Q65" s="3">
        <v>1</v>
      </c>
      <c r="AL65" s="3">
        <v>14</v>
      </c>
      <c r="BA65" s="3">
        <v>13</v>
      </c>
      <c r="BL65" s="3">
        <v>2</v>
      </c>
      <c r="BM65" s="3">
        <v>289</v>
      </c>
      <c r="BY65" s="3">
        <v>1</v>
      </c>
      <c r="CU65" s="3">
        <v>3</v>
      </c>
      <c r="DT65" s="3"/>
      <c r="DU65" s="3">
        <v>5</v>
      </c>
      <c r="EI65" s="3">
        <v>26</v>
      </c>
      <c r="FQ65" s="3">
        <v>21</v>
      </c>
      <c r="GE65" s="3">
        <f t="shared" si="0"/>
        <v>10</v>
      </c>
      <c r="GF65" s="3">
        <f t="shared" si="1"/>
        <v>8</v>
      </c>
      <c r="GG65" s="3">
        <f t="shared" si="2"/>
        <v>6</v>
      </c>
      <c r="GH65" s="3">
        <f t="shared" si="3"/>
        <v>0.3963065953654189</v>
      </c>
      <c r="GI65" s="3">
        <f t="shared" si="4"/>
        <v>375</v>
      </c>
      <c r="GJ65" s="3">
        <f t="shared" si="5"/>
        <v>600</v>
      </c>
      <c r="GK65" s="3">
        <f t="shared" si="6"/>
        <v>225</v>
      </c>
    </row>
    <row r="66" spans="1:193" ht="13" x14ac:dyDescent="0.15">
      <c r="A66" s="13">
        <v>42471</v>
      </c>
      <c r="B66" s="3" t="s">
        <v>216</v>
      </c>
      <c r="C66" s="3">
        <v>21.3002</v>
      </c>
      <c r="D66" s="3">
        <v>-157.882599</v>
      </c>
      <c r="E66" s="3" t="s">
        <v>299</v>
      </c>
      <c r="F66" s="14">
        <v>0.52777777777777779</v>
      </c>
      <c r="G66" s="14">
        <v>0.57291666666666663</v>
      </c>
      <c r="H66" s="3">
        <v>4</v>
      </c>
      <c r="I66" s="3">
        <v>26</v>
      </c>
      <c r="J66" s="3" t="s">
        <v>198</v>
      </c>
      <c r="K66" s="3">
        <v>9</v>
      </c>
      <c r="L66" s="3">
        <v>29</v>
      </c>
      <c r="M66" s="3" t="s">
        <v>300</v>
      </c>
      <c r="O66" s="3">
        <v>29</v>
      </c>
      <c r="AB66" s="3">
        <v>10</v>
      </c>
      <c r="AL66" s="3">
        <v>23</v>
      </c>
      <c r="BL66" s="3">
        <v>15</v>
      </c>
      <c r="BM66" s="3">
        <v>38</v>
      </c>
      <c r="BP66" s="3">
        <v>12</v>
      </c>
      <c r="BU66" s="3">
        <v>6</v>
      </c>
      <c r="BY66" s="3">
        <v>1</v>
      </c>
      <c r="CB66" s="3">
        <v>3</v>
      </c>
      <c r="FO66" s="3">
        <v>15</v>
      </c>
      <c r="FQ66" s="3">
        <v>364</v>
      </c>
      <c r="GE66" s="3">
        <f t="shared" si="0"/>
        <v>10</v>
      </c>
      <c r="GF66" s="3">
        <f t="shared" si="1"/>
        <v>9</v>
      </c>
      <c r="GG66" s="3">
        <f t="shared" si="2"/>
        <v>8</v>
      </c>
      <c r="GH66" s="3">
        <f t="shared" si="3"/>
        <v>0.43078899113578561</v>
      </c>
      <c r="GI66" s="3">
        <f t="shared" si="4"/>
        <v>487</v>
      </c>
      <c r="GJ66" s="3">
        <f t="shared" si="5"/>
        <v>725</v>
      </c>
      <c r="GK66" s="3">
        <f t="shared" si="6"/>
        <v>238</v>
      </c>
    </row>
    <row r="67" spans="1:193" ht="13" x14ac:dyDescent="0.15">
      <c r="A67" s="13">
        <v>42471</v>
      </c>
      <c r="B67" s="3" t="s">
        <v>301</v>
      </c>
      <c r="C67" s="3">
        <v>22.065598999999999</v>
      </c>
      <c r="D67" s="3">
        <v>-159.31770299999999</v>
      </c>
      <c r="E67" s="3" t="s">
        <v>302</v>
      </c>
      <c r="F67" s="14">
        <v>0.48958333333333331</v>
      </c>
      <c r="G67" s="14">
        <v>0.54166666666666663</v>
      </c>
      <c r="H67" s="3">
        <v>5</v>
      </c>
      <c r="I67" s="3">
        <v>5</v>
      </c>
      <c r="J67" s="3" t="s">
        <v>198</v>
      </c>
      <c r="K67" s="3">
        <v>5</v>
      </c>
      <c r="L67" s="3">
        <v>25</v>
      </c>
      <c r="O67" s="3">
        <v>25</v>
      </c>
      <c r="Q67" s="3">
        <v>5</v>
      </c>
      <c r="AB67" s="3">
        <v>9</v>
      </c>
      <c r="AF67" s="3">
        <v>20</v>
      </c>
      <c r="AL67" s="3">
        <v>68</v>
      </c>
      <c r="AY67" s="3">
        <v>1</v>
      </c>
      <c r="BA67" s="3">
        <v>2</v>
      </c>
      <c r="BD67" s="3">
        <v>1</v>
      </c>
      <c r="BJ67" s="3">
        <v>2</v>
      </c>
      <c r="BL67" s="3">
        <v>22</v>
      </c>
      <c r="BM67" s="3">
        <v>149</v>
      </c>
      <c r="BN67" s="3">
        <v>1</v>
      </c>
      <c r="BU67" s="3">
        <v>10</v>
      </c>
      <c r="BY67" s="3">
        <v>12</v>
      </c>
      <c r="DL67" s="3">
        <v>21</v>
      </c>
      <c r="DT67" s="3"/>
      <c r="DU67" s="3">
        <v>15</v>
      </c>
      <c r="EI67" s="3">
        <v>108</v>
      </c>
      <c r="FA67" s="3">
        <v>11</v>
      </c>
      <c r="FN67" s="3">
        <v>1</v>
      </c>
      <c r="FP67" s="3">
        <v>8</v>
      </c>
      <c r="FQ67" s="3">
        <v>55</v>
      </c>
      <c r="GE67" s="3">
        <f t="shared" si="0"/>
        <v>20</v>
      </c>
      <c r="GF67" s="3">
        <f t="shared" si="1"/>
        <v>16</v>
      </c>
      <c r="GG67" s="3">
        <f t="shared" si="2"/>
        <v>14</v>
      </c>
      <c r="GH67" s="3">
        <f t="shared" si="3"/>
        <v>0.84094935774398349</v>
      </c>
      <c r="GI67" s="3">
        <f t="shared" si="4"/>
        <v>521</v>
      </c>
      <c r="GJ67" s="3">
        <f t="shared" si="5"/>
        <v>625</v>
      </c>
      <c r="GK67" s="3">
        <f t="shared" si="6"/>
        <v>104</v>
      </c>
    </row>
    <row r="68" spans="1:193" ht="13" x14ac:dyDescent="0.15">
      <c r="A68" s="13">
        <v>42475</v>
      </c>
      <c r="B68" s="3" t="s">
        <v>303</v>
      </c>
      <c r="C68" s="3">
        <v>20.994240000000001</v>
      </c>
      <c r="D68" s="3">
        <v>-156.66825900000001</v>
      </c>
      <c r="E68" s="3" t="s">
        <v>274</v>
      </c>
      <c r="F68" s="14">
        <v>0.33333333333333331</v>
      </c>
      <c r="G68" s="14">
        <v>0.41666666666666669</v>
      </c>
      <c r="H68" s="3">
        <v>4</v>
      </c>
      <c r="I68" s="3">
        <v>22</v>
      </c>
      <c r="J68" s="3" t="s">
        <v>217</v>
      </c>
      <c r="K68" s="3">
        <v>12</v>
      </c>
      <c r="L68" s="3">
        <v>35</v>
      </c>
      <c r="M68" s="3" t="s">
        <v>296</v>
      </c>
      <c r="O68" s="3">
        <v>35</v>
      </c>
      <c r="Q68" s="3">
        <v>24</v>
      </c>
      <c r="S68" s="3">
        <v>9</v>
      </c>
      <c r="AA68" s="3">
        <v>77</v>
      </c>
      <c r="AC68" s="3">
        <v>6</v>
      </c>
      <c r="AE68" s="3">
        <v>2</v>
      </c>
      <c r="AL68" s="3">
        <v>35</v>
      </c>
      <c r="AW68" s="3">
        <v>4</v>
      </c>
      <c r="AY68" s="3">
        <v>2</v>
      </c>
      <c r="BA68" s="3">
        <v>3</v>
      </c>
      <c r="BF68" s="3">
        <v>1</v>
      </c>
      <c r="BH68" s="3">
        <v>1</v>
      </c>
      <c r="BJ68" s="3">
        <v>5</v>
      </c>
      <c r="BL68" s="3">
        <v>59</v>
      </c>
      <c r="BM68" s="3">
        <v>16</v>
      </c>
      <c r="BX68" s="3">
        <v>6</v>
      </c>
      <c r="CA68" s="3">
        <v>3</v>
      </c>
      <c r="CB68" s="3">
        <v>5</v>
      </c>
      <c r="CN68" s="3">
        <v>98</v>
      </c>
      <c r="DF68" s="3">
        <v>6</v>
      </c>
      <c r="DG68" s="3">
        <v>3</v>
      </c>
      <c r="DL68" s="3">
        <v>3</v>
      </c>
      <c r="DP68" s="3">
        <v>1</v>
      </c>
      <c r="EI68" s="3">
        <v>13</v>
      </c>
      <c r="EM68" s="3">
        <v>1</v>
      </c>
      <c r="EV68" s="3">
        <v>5</v>
      </c>
      <c r="FA68" s="3">
        <v>9</v>
      </c>
      <c r="FB68" s="3">
        <v>1</v>
      </c>
      <c r="FL68" s="3">
        <v>16</v>
      </c>
      <c r="FN68" s="3">
        <v>2</v>
      </c>
      <c r="FQ68" s="3">
        <v>176</v>
      </c>
      <c r="FR68" s="3">
        <v>7</v>
      </c>
      <c r="GE68" s="3">
        <f t="shared" si="0"/>
        <v>31</v>
      </c>
      <c r="GF68" s="3">
        <f t="shared" si="1"/>
        <v>26</v>
      </c>
      <c r="GG68" s="3">
        <f t="shared" si="2"/>
        <v>18</v>
      </c>
      <c r="GH68" s="3">
        <f t="shared" si="3"/>
        <v>0.85389249641263865</v>
      </c>
      <c r="GI68" s="3">
        <f t="shared" si="4"/>
        <v>599</v>
      </c>
      <c r="GJ68" s="3">
        <f t="shared" si="5"/>
        <v>875</v>
      </c>
      <c r="GK68" s="3">
        <f t="shared" si="6"/>
        <v>276</v>
      </c>
    </row>
    <row r="69" spans="1:193" ht="13" x14ac:dyDescent="0.15">
      <c r="A69" s="13">
        <v>42479</v>
      </c>
      <c r="B69" s="3" t="s">
        <v>201</v>
      </c>
      <c r="C69" s="3">
        <v>21.25544</v>
      </c>
      <c r="D69" s="3">
        <v>-157.810303</v>
      </c>
      <c r="E69" s="3" t="s">
        <v>274</v>
      </c>
      <c r="F69" s="14">
        <v>0.3611111111111111</v>
      </c>
      <c r="G69" s="14">
        <v>0.41666666666666669</v>
      </c>
      <c r="H69" s="3">
        <v>5</v>
      </c>
      <c r="I69" s="3">
        <v>14</v>
      </c>
      <c r="J69" s="3" t="s">
        <v>217</v>
      </c>
      <c r="K69" s="3">
        <v>7</v>
      </c>
      <c r="L69" s="3">
        <v>29</v>
      </c>
      <c r="M69" s="3" t="s">
        <v>304</v>
      </c>
      <c r="O69" s="3">
        <v>29</v>
      </c>
      <c r="Q69" s="3">
        <v>1</v>
      </c>
      <c r="W69" s="3">
        <v>1</v>
      </c>
      <c r="AA69" s="3">
        <v>11</v>
      </c>
      <c r="AH69" s="3">
        <v>2</v>
      </c>
      <c r="AN69" s="3"/>
      <c r="AO69" s="3">
        <v>2</v>
      </c>
      <c r="BA69" s="3">
        <v>9</v>
      </c>
      <c r="BK69" s="3">
        <v>1</v>
      </c>
      <c r="BL69" s="3">
        <v>5</v>
      </c>
      <c r="BM69" s="3">
        <v>26</v>
      </c>
      <c r="BP69" s="3">
        <v>36</v>
      </c>
      <c r="BU69" s="3">
        <v>4</v>
      </c>
      <c r="BY69" s="3">
        <v>13</v>
      </c>
      <c r="CJ69" s="3">
        <v>5</v>
      </c>
      <c r="CR69" s="3">
        <v>1</v>
      </c>
      <c r="DF69" s="3">
        <v>13</v>
      </c>
      <c r="DL69" s="3">
        <v>72</v>
      </c>
      <c r="DO69" s="3">
        <v>9</v>
      </c>
      <c r="DT69" s="3"/>
      <c r="DU69" s="3">
        <v>4</v>
      </c>
      <c r="EB69" s="3">
        <v>1</v>
      </c>
      <c r="ED69" s="3"/>
      <c r="EE69" s="3">
        <v>2</v>
      </c>
      <c r="EI69" s="3">
        <v>174</v>
      </c>
      <c r="EJ69" s="3">
        <v>1</v>
      </c>
      <c r="FA69" s="3">
        <v>21</v>
      </c>
      <c r="FH69" s="3">
        <v>35</v>
      </c>
      <c r="FN69" s="3">
        <v>1</v>
      </c>
      <c r="FP69" s="3">
        <v>11</v>
      </c>
      <c r="FQ69" s="3">
        <v>28</v>
      </c>
      <c r="FS69" s="3">
        <v>1</v>
      </c>
      <c r="GE69" s="3">
        <f t="shared" si="0"/>
        <v>28</v>
      </c>
      <c r="GF69" s="3">
        <f t="shared" si="1"/>
        <v>20</v>
      </c>
      <c r="GG69" s="3">
        <f t="shared" si="2"/>
        <v>15</v>
      </c>
      <c r="GH69" s="3">
        <f t="shared" si="3"/>
        <v>0.83207712532865907</v>
      </c>
      <c r="GI69" s="3">
        <f t="shared" si="4"/>
        <v>490</v>
      </c>
      <c r="GJ69" s="3">
        <f t="shared" si="5"/>
        <v>725</v>
      </c>
      <c r="GK69" s="3">
        <f t="shared" si="6"/>
        <v>235</v>
      </c>
    </row>
    <row r="70" spans="1:193" ht="13" x14ac:dyDescent="0.15">
      <c r="A70" s="13">
        <v>42481</v>
      </c>
      <c r="B70" s="3" t="s">
        <v>240</v>
      </c>
      <c r="C70" s="3">
        <v>21.105899999999998</v>
      </c>
      <c r="D70" s="3">
        <v>-156.746094</v>
      </c>
      <c r="E70" s="3" t="s">
        <v>286</v>
      </c>
      <c r="F70" s="14">
        <v>0.37361111111111112</v>
      </c>
      <c r="G70" s="14">
        <v>0.40763888888888888</v>
      </c>
      <c r="H70" s="3">
        <v>4</v>
      </c>
      <c r="I70" s="3">
        <v>13</v>
      </c>
      <c r="J70" s="3" t="s">
        <v>198</v>
      </c>
      <c r="K70" s="3">
        <v>12</v>
      </c>
      <c r="L70" s="3">
        <v>34</v>
      </c>
      <c r="M70" s="3" t="s">
        <v>305</v>
      </c>
      <c r="N70" s="3" t="s">
        <v>271</v>
      </c>
      <c r="O70" s="3">
        <v>29</v>
      </c>
      <c r="AN70" s="3"/>
      <c r="AO70" s="3">
        <v>1</v>
      </c>
      <c r="BD70" s="3">
        <v>7</v>
      </c>
      <c r="BG70" s="3">
        <v>1</v>
      </c>
      <c r="BL70" s="3">
        <v>41</v>
      </c>
      <c r="BM70" s="3">
        <v>2</v>
      </c>
      <c r="CP70" s="3">
        <v>2</v>
      </c>
      <c r="CV70" s="3">
        <v>5</v>
      </c>
      <c r="DF70" s="3">
        <v>1</v>
      </c>
      <c r="DT70" s="3"/>
      <c r="DU70" s="3">
        <v>3</v>
      </c>
      <c r="DY70" s="3">
        <v>2</v>
      </c>
      <c r="ED70" s="3">
        <v>1</v>
      </c>
      <c r="EF70" s="3">
        <v>1</v>
      </c>
      <c r="EI70" s="3">
        <v>13</v>
      </c>
      <c r="EW70" s="3">
        <v>2</v>
      </c>
      <c r="FB70" s="3">
        <v>2</v>
      </c>
      <c r="FC70" s="3">
        <v>1</v>
      </c>
      <c r="FE70" s="3">
        <v>21</v>
      </c>
      <c r="FQ70" s="3">
        <v>372</v>
      </c>
      <c r="GE70" s="3">
        <f t="shared" si="0"/>
        <v>18</v>
      </c>
      <c r="GF70" s="3">
        <f t="shared" si="1"/>
        <v>12</v>
      </c>
      <c r="GG70" s="3">
        <f t="shared" si="2"/>
        <v>6</v>
      </c>
      <c r="GH70" s="3">
        <f t="shared" si="3"/>
        <v>0.38463900072805102</v>
      </c>
      <c r="GI70" s="3">
        <f t="shared" si="4"/>
        <v>478</v>
      </c>
      <c r="GJ70" s="3">
        <f t="shared" si="5"/>
        <v>725</v>
      </c>
      <c r="GK70" s="3">
        <f t="shared" si="6"/>
        <v>247</v>
      </c>
    </row>
    <row r="71" spans="1:193" ht="13" x14ac:dyDescent="0.15">
      <c r="A71" s="13">
        <v>42488</v>
      </c>
      <c r="B71" s="3" t="s">
        <v>230</v>
      </c>
      <c r="C71" s="3">
        <v>20.753699999999998</v>
      </c>
      <c r="D71" s="3">
        <v>-156.46090699999999</v>
      </c>
      <c r="E71" s="3" t="s">
        <v>274</v>
      </c>
      <c r="F71" s="14">
        <v>0.41111111111111109</v>
      </c>
      <c r="G71" s="14">
        <v>0.51527777777777772</v>
      </c>
      <c r="H71" s="3">
        <v>4</v>
      </c>
      <c r="I71" s="3">
        <v>14</v>
      </c>
      <c r="J71" s="3" t="s">
        <v>277</v>
      </c>
      <c r="K71" s="3">
        <v>10</v>
      </c>
      <c r="L71" s="3">
        <v>39</v>
      </c>
      <c r="M71" s="3" t="s">
        <v>306</v>
      </c>
      <c r="O71" s="3">
        <v>39</v>
      </c>
      <c r="BJ71" s="3">
        <v>31</v>
      </c>
      <c r="BL71" s="3">
        <v>397</v>
      </c>
      <c r="BP71" s="3">
        <v>5</v>
      </c>
      <c r="EC71" s="3">
        <v>15</v>
      </c>
      <c r="FQ71" s="3">
        <v>22</v>
      </c>
      <c r="GE71" s="3">
        <f t="shared" si="0"/>
        <v>5</v>
      </c>
      <c r="GF71" s="3">
        <f t="shared" si="1"/>
        <v>5</v>
      </c>
      <c r="GG71" s="3">
        <f t="shared" si="2"/>
        <v>5</v>
      </c>
      <c r="GH71" s="3">
        <f t="shared" si="3"/>
        <v>0.27943564850519442</v>
      </c>
      <c r="GI71" s="3">
        <f t="shared" si="4"/>
        <v>470</v>
      </c>
      <c r="GJ71" s="3">
        <f t="shared" si="5"/>
        <v>975</v>
      </c>
      <c r="GK71" s="3">
        <f t="shared" si="6"/>
        <v>505</v>
      </c>
    </row>
    <row r="72" spans="1:193" ht="13" x14ac:dyDescent="0.15">
      <c r="A72" s="13">
        <v>42495</v>
      </c>
      <c r="B72" s="3" t="s">
        <v>307</v>
      </c>
      <c r="C72" s="3">
        <v>19.736111000000001</v>
      </c>
      <c r="D72" s="3">
        <v>-155.03083799999999</v>
      </c>
      <c r="E72" s="3" t="s">
        <v>308</v>
      </c>
      <c r="F72" s="14">
        <v>0.36180555555555555</v>
      </c>
      <c r="G72" s="14">
        <v>0.41666666666666669</v>
      </c>
      <c r="H72" s="3">
        <v>8</v>
      </c>
      <c r="I72" s="3">
        <v>11</v>
      </c>
      <c r="J72" s="3" t="s">
        <v>198</v>
      </c>
      <c r="K72" s="3">
        <v>11</v>
      </c>
      <c r="L72" s="3">
        <v>64</v>
      </c>
      <c r="M72" s="3" t="s">
        <v>309</v>
      </c>
      <c r="O72" s="3">
        <v>64</v>
      </c>
      <c r="Q72" s="3">
        <v>42</v>
      </c>
      <c r="S72" s="3">
        <v>38</v>
      </c>
      <c r="AC72" s="3">
        <v>5</v>
      </c>
      <c r="BD72" s="3">
        <v>2</v>
      </c>
      <c r="BJ72" s="3">
        <v>15</v>
      </c>
      <c r="BL72" s="3">
        <v>162</v>
      </c>
      <c r="BU72" s="3">
        <v>3</v>
      </c>
      <c r="CA72" s="3">
        <v>12</v>
      </c>
      <c r="CN72" s="3">
        <v>55</v>
      </c>
      <c r="EC72" s="3">
        <v>3</v>
      </c>
      <c r="EI72" s="3">
        <v>27</v>
      </c>
      <c r="EW72" s="3">
        <v>1</v>
      </c>
      <c r="FK72" s="3">
        <v>71</v>
      </c>
      <c r="FO72" s="3">
        <v>1</v>
      </c>
      <c r="FP72" s="3">
        <v>2</v>
      </c>
      <c r="FQ72" s="3">
        <v>382</v>
      </c>
      <c r="FR72" s="3">
        <v>1</v>
      </c>
      <c r="GE72" s="3">
        <f t="shared" si="0"/>
        <v>17</v>
      </c>
      <c r="GF72" s="3">
        <f t="shared" si="1"/>
        <v>14</v>
      </c>
      <c r="GG72" s="3">
        <f t="shared" si="2"/>
        <v>10</v>
      </c>
      <c r="GH72" s="3">
        <f t="shared" si="3"/>
        <v>0.72768951281891703</v>
      </c>
      <c r="GI72" s="3">
        <f t="shared" si="4"/>
        <v>822</v>
      </c>
      <c r="GJ72" s="3">
        <f t="shared" si="5"/>
        <v>1600</v>
      </c>
      <c r="GK72" s="3">
        <f t="shared" si="6"/>
        <v>778</v>
      </c>
    </row>
    <row r="73" spans="1:193" ht="13" x14ac:dyDescent="0.15">
      <c r="A73" s="13">
        <v>42510</v>
      </c>
      <c r="B73" s="3" t="s">
        <v>310</v>
      </c>
      <c r="C73" s="3">
        <v>19.457222000000002</v>
      </c>
      <c r="D73" s="3">
        <v>-155.925003</v>
      </c>
      <c r="E73" s="3" t="s">
        <v>197</v>
      </c>
      <c r="F73" s="14">
        <v>0.31944444444444442</v>
      </c>
      <c r="G73" s="14">
        <v>0.38541666666666669</v>
      </c>
      <c r="H73" s="3">
        <v>4</v>
      </c>
      <c r="I73" s="3">
        <v>30</v>
      </c>
      <c r="J73" s="3" t="s">
        <v>198</v>
      </c>
      <c r="K73" s="3">
        <v>14</v>
      </c>
      <c r="L73" s="3">
        <v>41</v>
      </c>
      <c r="M73" s="3" t="s">
        <v>311</v>
      </c>
      <c r="O73" s="3">
        <v>41</v>
      </c>
      <c r="AA73" s="3">
        <v>55</v>
      </c>
      <c r="AL73" s="3">
        <v>102</v>
      </c>
      <c r="BA73" s="3">
        <v>4</v>
      </c>
      <c r="BF73" s="3">
        <v>4</v>
      </c>
      <c r="BL73" s="3">
        <v>60</v>
      </c>
      <c r="CA73" s="3">
        <v>2</v>
      </c>
      <c r="CF73" s="3"/>
      <c r="CG73" s="3">
        <v>1</v>
      </c>
      <c r="DL73" s="3">
        <v>4</v>
      </c>
      <c r="DT73" s="3"/>
      <c r="DU73" s="3">
        <v>36</v>
      </c>
      <c r="EI73" s="3">
        <v>13</v>
      </c>
      <c r="FA73" s="3">
        <v>37</v>
      </c>
      <c r="FB73" s="3">
        <v>1</v>
      </c>
      <c r="FE73" s="3">
        <v>70</v>
      </c>
      <c r="FO73" s="3">
        <v>13</v>
      </c>
      <c r="FP73" s="3">
        <v>109</v>
      </c>
      <c r="FQ73" s="3">
        <v>265</v>
      </c>
      <c r="GE73" s="3">
        <f t="shared" si="0"/>
        <v>16</v>
      </c>
      <c r="GF73" s="3">
        <f t="shared" si="1"/>
        <v>14</v>
      </c>
      <c r="GG73" s="3">
        <f t="shared" si="2"/>
        <v>10</v>
      </c>
      <c r="GH73" s="3">
        <f t="shared" si="3"/>
        <v>0.82321915530429002</v>
      </c>
      <c r="GI73" s="3">
        <f t="shared" si="4"/>
        <v>776</v>
      </c>
      <c r="GJ73" s="3">
        <f t="shared" si="5"/>
        <v>1025</v>
      </c>
      <c r="GK73" s="3">
        <f t="shared" si="6"/>
        <v>249</v>
      </c>
    </row>
    <row r="74" spans="1:193" ht="13" x14ac:dyDescent="0.15">
      <c r="A74" s="13">
        <v>42761</v>
      </c>
      <c r="B74" s="3" t="s">
        <v>233</v>
      </c>
      <c r="C74" s="23">
        <v>21.066799</v>
      </c>
      <c r="D74" s="23">
        <v>-156.804993</v>
      </c>
      <c r="E74" s="3" t="s">
        <v>286</v>
      </c>
      <c r="F74" s="14">
        <v>0.41666666666666669</v>
      </c>
      <c r="G74" s="14">
        <v>0.47222222222222221</v>
      </c>
      <c r="H74" s="3">
        <v>4</v>
      </c>
      <c r="I74" s="3">
        <v>20</v>
      </c>
      <c r="J74" s="3" t="s">
        <v>217</v>
      </c>
      <c r="K74" s="3">
        <v>10</v>
      </c>
      <c r="L74" s="3">
        <v>20</v>
      </c>
      <c r="M74" s="3" t="s">
        <v>316</v>
      </c>
      <c r="N74" s="3" t="s">
        <v>317</v>
      </c>
      <c r="O74" s="3">
        <v>20</v>
      </c>
      <c r="Q74" s="3">
        <v>20</v>
      </c>
      <c r="X74" s="3"/>
      <c r="Y74" s="3">
        <v>57</v>
      </c>
      <c r="CN74" s="3">
        <v>20</v>
      </c>
      <c r="DL74" s="3">
        <v>35</v>
      </c>
      <c r="DQ74" s="3"/>
      <c r="DR74" s="3">
        <v>7</v>
      </c>
      <c r="FQ74" s="3">
        <v>219</v>
      </c>
      <c r="FW74" s="3">
        <v>24</v>
      </c>
      <c r="GE74" s="3">
        <f t="shared" si="0"/>
        <v>7</v>
      </c>
      <c r="GF74" s="3">
        <f t="shared" si="1"/>
        <v>7</v>
      </c>
      <c r="GG74" s="3">
        <f t="shared" si="2"/>
        <v>7</v>
      </c>
      <c r="GH74" s="3">
        <f t="shared" si="3"/>
        <v>0.63255967349631037</v>
      </c>
      <c r="GI74" s="3">
        <f t="shared" si="4"/>
        <v>382</v>
      </c>
      <c r="GJ74" s="3">
        <f t="shared" si="5"/>
        <v>500</v>
      </c>
      <c r="GK74" s="3">
        <f t="shared" si="6"/>
        <v>118</v>
      </c>
    </row>
    <row r="75" spans="1:193" ht="13" x14ac:dyDescent="0.15">
      <c r="A75" s="13">
        <v>42778</v>
      </c>
      <c r="B75" s="3" t="s">
        <v>201</v>
      </c>
      <c r="C75" s="3">
        <v>21.25544</v>
      </c>
      <c r="D75" s="3">
        <v>-157.810303</v>
      </c>
      <c r="E75" s="3" t="s">
        <v>197</v>
      </c>
      <c r="F75" s="14">
        <v>0.44791666666666669</v>
      </c>
      <c r="G75" s="14">
        <v>0.48958333333333331</v>
      </c>
      <c r="H75" s="3">
        <v>9</v>
      </c>
      <c r="I75" s="3">
        <v>12</v>
      </c>
      <c r="J75" s="3" t="s">
        <v>318</v>
      </c>
      <c r="K75" s="3">
        <v>7</v>
      </c>
      <c r="L75" s="3">
        <v>47</v>
      </c>
      <c r="M75" s="3" t="s">
        <v>319</v>
      </c>
      <c r="O75" s="3">
        <v>47</v>
      </c>
      <c r="Q75" s="3">
        <v>2</v>
      </c>
      <c r="Z75" s="3"/>
      <c r="AA75" s="3">
        <v>4</v>
      </c>
      <c r="AB75" s="3">
        <v>1</v>
      </c>
      <c r="AH75" s="3">
        <v>14</v>
      </c>
      <c r="AY75" s="3">
        <v>1</v>
      </c>
      <c r="AZ75" s="3"/>
      <c r="BA75" s="3">
        <v>22</v>
      </c>
      <c r="BL75" s="3">
        <v>31</v>
      </c>
      <c r="BM75" s="3">
        <v>18</v>
      </c>
      <c r="BP75" s="3">
        <v>23</v>
      </c>
      <c r="BU75" s="3">
        <v>11</v>
      </c>
      <c r="BY75" s="3">
        <v>19</v>
      </c>
      <c r="CF75" s="3"/>
      <c r="CG75" s="3">
        <v>7</v>
      </c>
      <c r="CI75" s="3"/>
      <c r="CJ75" s="3">
        <v>1</v>
      </c>
      <c r="CN75" s="3">
        <v>3</v>
      </c>
      <c r="CR75" s="3">
        <v>9</v>
      </c>
      <c r="DE75" s="3"/>
      <c r="DF75" s="3">
        <v>1</v>
      </c>
      <c r="DI75" s="3">
        <v>21</v>
      </c>
      <c r="DK75" s="3">
        <v>24</v>
      </c>
      <c r="DL75" s="3">
        <v>33</v>
      </c>
      <c r="DM75" s="3">
        <v>2</v>
      </c>
      <c r="DN75" s="3">
        <v>1</v>
      </c>
      <c r="DQ75" s="3"/>
      <c r="DR75" s="3">
        <v>41</v>
      </c>
      <c r="DS75" s="3"/>
      <c r="DT75" s="3"/>
      <c r="DU75" s="3">
        <v>36</v>
      </c>
      <c r="DY75" s="3">
        <v>1</v>
      </c>
      <c r="EB75" s="3">
        <v>2</v>
      </c>
      <c r="ED75" s="3"/>
      <c r="EE75" s="3">
        <v>1</v>
      </c>
      <c r="EI75" s="3">
        <v>137</v>
      </c>
      <c r="EX75" s="3"/>
      <c r="EY75" s="3">
        <v>15</v>
      </c>
      <c r="EZ75" s="3">
        <v>5</v>
      </c>
      <c r="FA75" s="3">
        <v>22</v>
      </c>
      <c r="FB75" s="3">
        <v>4</v>
      </c>
      <c r="FH75" s="3">
        <v>2</v>
      </c>
      <c r="FL75" s="3">
        <v>4</v>
      </c>
      <c r="FP75" s="3">
        <v>46</v>
      </c>
      <c r="FQ75" s="3">
        <v>328</v>
      </c>
      <c r="GB75" s="3"/>
      <c r="GC75" s="3">
        <v>2</v>
      </c>
      <c r="GE75" s="3">
        <f t="shared" si="0"/>
        <v>36</v>
      </c>
      <c r="GF75" s="3">
        <f t="shared" si="1"/>
        <v>29</v>
      </c>
      <c r="GG75" s="3">
        <f t="shared" si="2"/>
        <v>20</v>
      </c>
      <c r="GH75" s="3">
        <f t="shared" si="3"/>
        <v>0.82891793241492995</v>
      </c>
      <c r="GI75" s="3">
        <f t="shared" si="4"/>
        <v>894</v>
      </c>
      <c r="GJ75" s="3">
        <f t="shared" si="5"/>
        <v>1175</v>
      </c>
      <c r="GK75" s="3">
        <f t="shared" si="6"/>
        <v>281</v>
      </c>
    </row>
    <row r="76" spans="1:193" ht="13" x14ac:dyDescent="0.15">
      <c r="A76" s="13">
        <v>42788</v>
      </c>
      <c r="B76" s="3" t="s">
        <v>320</v>
      </c>
      <c r="C76" s="3">
        <v>22.005989</v>
      </c>
      <c r="D76" s="3">
        <v>-159.33564799999999</v>
      </c>
      <c r="E76" s="3" t="s">
        <v>321</v>
      </c>
      <c r="F76" s="14">
        <v>0.38194444444444442</v>
      </c>
      <c r="G76" s="14">
        <v>0.48125000000000001</v>
      </c>
      <c r="H76" s="3">
        <v>2</v>
      </c>
      <c r="I76" s="3">
        <v>8</v>
      </c>
      <c r="J76" s="3" t="s">
        <v>318</v>
      </c>
      <c r="K76" s="3">
        <v>7</v>
      </c>
      <c r="L76" s="3">
        <v>12</v>
      </c>
      <c r="M76" s="3" t="s">
        <v>322</v>
      </c>
      <c r="O76" s="3">
        <v>12</v>
      </c>
      <c r="Q76" s="3">
        <v>35</v>
      </c>
      <c r="AL76" s="3">
        <v>40</v>
      </c>
      <c r="AZ76" s="3"/>
      <c r="BA76" s="3">
        <v>2</v>
      </c>
      <c r="BV76" s="3">
        <v>23</v>
      </c>
      <c r="DK76" s="3">
        <v>14</v>
      </c>
      <c r="DS76" s="3"/>
      <c r="DT76" s="3"/>
      <c r="DU76" s="3">
        <v>42</v>
      </c>
      <c r="EI76" s="3">
        <v>9</v>
      </c>
      <c r="EX76" s="3"/>
      <c r="EY76" s="3">
        <v>8</v>
      </c>
      <c r="FC76" s="3"/>
      <c r="FD76" s="3">
        <v>1</v>
      </c>
      <c r="FQ76" s="3">
        <v>27</v>
      </c>
      <c r="FS76" s="3">
        <v>1</v>
      </c>
      <c r="FX76" s="3">
        <v>1</v>
      </c>
      <c r="GE76" s="3">
        <f t="shared" si="0"/>
        <v>12</v>
      </c>
      <c r="GF76" s="3">
        <f t="shared" si="1"/>
        <v>9</v>
      </c>
      <c r="GG76" s="3">
        <f t="shared" si="2"/>
        <v>8</v>
      </c>
      <c r="GH76" s="3">
        <f t="shared" si="3"/>
        <v>0.85387504267668146</v>
      </c>
      <c r="GI76" s="3">
        <f t="shared" si="4"/>
        <v>203</v>
      </c>
      <c r="GJ76" s="3">
        <f t="shared" si="5"/>
        <v>300</v>
      </c>
      <c r="GK76" s="3">
        <f t="shared" si="6"/>
        <v>97</v>
      </c>
    </row>
    <row r="77" spans="1:193" ht="13" x14ac:dyDescent="0.15">
      <c r="A77" s="13">
        <v>42791</v>
      </c>
      <c r="B77" s="3" t="s">
        <v>244</v>
      </c>
      <c r="C77" s="3">
        <v>21.310611999999999</v>
      </c>
      <c r="D77" s="3">
        <v>-158.00441000000001</v>
      </c>
      <c r="E77" s="3" t="s">
        <v>197</v>
      </c>
      <c r="F77" s="14">
        <v>0.41319444444444442</v>
      </c>
      <c r="G77" s="14">
        <v>0.47916666666666669</v>
      </c>
      <c r="H77" s="3">
        <v>9</v>
      </c>
      <c r="I77" s="3">
        <v>14</v>
      </c>
      <c r="J77" s="3" t="s">
        <v>318</v>
      </c>
      <c r="K77" s="3">
        <v>8</v>
      </c>
      <c r="L77" s="3">
        <v>54</v>
      </c>
      <c r="M77" s="3" t="s">
        <v>323</v>
      </c>
      <c r="O77" s="3">
        <v>54</v>
      </c>
      <c r="Q77" s="3">
        <v>147</v>
      </c>
      <c r="S77" s="3">
        <v>3</v>
      </c>
      <c r="T77" s="3"/>
      <c r="U77" s="3">
        <v>1</v>
      </c>
      <c r="Z77" s="3"/>
      <c r="AA77" s="3">
        <v>2</v>
      </c>
      <c r="AD77" s="3">
        <v>19</v>
      </c>
      <c r="AH77" s="3">
        <v>7</v>
      </c>
      <c r="AQ77" s="3">
        <v>6</v>
      </c>
      <c r="AR77" s="3">
        <v>3</v>
      </c>
      <c r="AZ77" s="3"/>
      <c r="BA77" s="3">
        <v>9</v>
      </c>
      <c r="BB77" s="3">
        <v>4</v>
      </c>
      <c r="BD77" s="3">
        <v>25</v>
      </c>
      <c r="BJ77" s="3">
        <v>1</v>
      </c>
      <c r="BL77" s="3">
        <v>62</v>
      </c>
      <c r="BM77" s="3">
        <v>10</v>
      </c>
      <c r="BP77" s="3">
        <v>6</v>
      </c>
      <c r="BT77" s="3">
        <v>8</v>
      </c>
      <c r="BU77" s="3">
        <v>31</v>
      </c>
      <c r="BX77" s="3">
        <v>2</v>
      </c>
      <c r="BY77" s="3">
        <v>32</v>
      </c>
      <c r="CF77" s="3"/>
      <c r="CG77" s="3">
        <v>4</v>
      </c>
      <c r="CR77" s="3">
        <v>6</v>
      </c>
      <c r="DE77" s="3"/>
      <c r="DF77" s="3">
        <v>65</v>
      </c>
      <c r="DI77" s="3">
        <v>11</v>
      </c>
      <c r="DL77" s="3">
        <v>40</v>
      </c>
      <c r="DN77" s="3">
        <v>7</v>
      </c>
      <c r="DP77" s="3">
        <v>2</v>
      </c>
      <c r="DS77" s="3"/>
      <c r="DT77" s="3"/>
      <c r="DU77" s="3">
        <v>30</v>
      </c>
      <c r="EB77" s="3">
        <v>1</v>
      </c>
      <c r="EI77" s="3">
        <v>293</v>
      </c>
      <c r="EN77" s="3">
        <v>4</v>
      </c>
      <c r="EX77" s="3">
        <v>1</v>
      </c>
      <c r="FA77" s="3">
        <v>5</v>
      </c>
      <c r="FO77" s="3">
        <v>1</v>
      </c>
      <c r="FQ77" s="3">
        <v>288</v>
      </c>
      <c r="FR77" s="3">
        <v>1</v>
      </c>
      <c r="GB77" s="3"/>
      <c r="GC77" s="3">
        <v>8</v>
      </c>
      <c r="GE77" s="3">
        <f t="shared" si="0"/>
        <v>36</v>
      </c>
      <c r="GF77" s="3">
        <f t="shared" si="1"/>
        <v>30</v>
      </c>
      <c r="GG77" s="3">
        <f t="shared" si="2"/>
        <v>22</v>
      </c>
      <c r="GH77" s="3">
        <f t="shared" si="3"/>
        <v>0.84461019330014964</v>
      </c>
      <c r="GI77" s="3">
        <f t="shared" si="4"/>
        <v>1145</v>
      </c>
      <c r="GJ77" s="3">
        <f t="shared" si="5"/>
        <v>1350</v>
      </c>
      <c r="GK77" s="3">
        <f t="shared" si="6"/>
        <v>205</v>
      </c>
    </row>
    <row r="78" spans="1:193" ht="13" x14ac:dyDescent="0.15">
      <c r="A78" s="13">
        <v>42798</v>
      </c>
      <c r="B78" s="3" t="s">
        <v>230</v>
      </c>
      <c r="C78" s="3">
        <v>20.753699999999998</v>
      </c>
      <c r="D78" s="3">
        <v>-156.46090699999999</v>
      </c>
      <c r="E78" s="3" t="s">
        <v>197</v>
      </c>
      <c r="F78" s="14">
        <v>0.59027777777777779</v>
      </c>
      <c r="G78" s="14">
        <v>0.67708333333333337</v>
      </c>
      <c r="H78" s="3">
        <v>3</v>
      </c>
      <c r="I78" s="3">
        <v>21</v>
      </c>
      <c r="J78" s="3" t="s">
        <v>318</v>
      </c>
      <c r="K78" s="3">
        <v>16</v>
      </c>
      <c r="L78" s="3">
        <v>43</v>
      </c>
      <c r="M78" s="3" t="s">
        <v>324</v>
      </c>
      <c r="O78" s="3">
        <v>43</v>
      </c>
      <c r="Q78" s="3">
        <v>192</v>
      </c>
      <c r="AL78" s="3">
        <v>21</v>
      </c>
      <c r="BL78" s="3">
        <v>299</v>
      </c>
      <c r="CI78" s="3">
        <v>6</v>
      </c>
      <c r="DE78" s="3"/>
      <c r="DF78" s="3">
        <v>13</v>
      </c>
      <c r="DO78" s="3">
        <v>1</v>
      </c>
      <c r="DS78" s="3"/>
      <c r="DT78" s="3"/>
      <c r="DU78" s="3">
        <v>2</v>
      </c>
      <c r="EC78" s="3">
        <v>1</v>
      </c>
      <c r="EF78" s="3">
        <v>1</v>
      </c>
      <c r="EW78" s="3">
        <v>60</v>
      </c>
      <c r="FO78" s="3">
        <v>1</v>
      </c>
      <c r="FQ78" s="3">
        <v>58</v>
      </c>
      <c r="FR78" s="3">
        <v>6</v>
      </c>
      <c r="GA78" s="3">
        <v>1</v>
      </c>
      <c r="GB78" s="3"/>
      <c r="GC78" s="3">
        <v>1</v>
      </c>
      <c r="GE78" s="3">
        <f t="shared" si="0"/>
        <v>15</v>
      </c>
      <c r="GF78" s="3">
        <f t="shared" si="1"/>
        <v>9</v>
      </c>
      <c r="GG78" s="3">
        <f t="shared" si="2"/>
        <v>8</v>
      </c>
      <c r="GH78" s="3">
        <f t="shared" si="3"/>
        <v>0.69638601431741654</v>
      </c>
      <c r="GI78" s="3">
        <f t="shared" si="4"/>
        <v>663</v>
      </c>
      <c r="GJ78" s="3">
        <f t="shared" si="5"/>
        <v>1075</v>
      </c>
      <c r="GK78" s="3">
        <f t="shared" si="6"/>
        <v>412</v>
      </c>
    </row>
    <row r="79" spans="1:193" ht="13" x14ac:dyDescent="0.15">
      <c r="A79" s="13">
        <v>42802</v>
      </c>
      <c r="B79" s="3" t="s">
        <v>244</v>
      </c>
      <c r="C79" s="3">
        <v>21.310611999999999</v>
      </c>
      <c r="D79" s="3">
        <v>-158.00441000000001</v>
      </c>
      <c r="E79" s="3" t="s">
        <v>278</v>
      </c>
      <c r="F79" s="14">
        <v>0.38541666666666669</v>
      </c>
      <c r="G79" s="14">
        <v>0.46875</v>
      </c>
      <c r="H79" s="3">
        <v>6</v>
      </c>
      <c r="I79" s="3">
        <v>10</v>
      </c>
      <c r="J79" s="3" t="s">
        <v>198</v>
      </c>
      <c r="K79" s="3">
        <v>5</v>
      </c>
      <c r="L79" s="3">
        <v>30</v>
      </c>
      <c r="N79" s="3" t="s">
        <v>282</v>
      </c>
      <c r="O79" s="3">
        <v>25</v>
      </c>
      <c r="Q79" s="3">
        <v>2</v>
      </c>
      <c r="Z79" s="3"/>
      <c r="AA79" s="3">
        <v>1</v>
      </c>
      <c r="AD79" s="3">
        <v>6</v>
      </c>
      <c r="AH79" s="3">
        <v>6</v>
      </c>
      <c r="AL79" s="3">
        <v>2</v>
      </c>
      <c r="AZ79" s="3"/>
      <c r="BA79" s="3">
        <v>2</v>
      </c>
      <c r="BD79" s="3">
        <v>4</v>
      </c>
      <c r="BJ79" s="3">
        <v>1</v>
      </c>
      <c r="BL79" s="3">
        <v>77</v>
      </c>
      <c r="BY79" s="3">
        <v>12</v>
      </c>
      <c r="CR79" s="3">
        <v>1</v>
      </c>
      <c r="CU79" s="3">
        <v>1</v>
      </c>
      <c r="DE79" s="3"/>
      <c r="DF79" s="3">
        <v>2</v>
      </c>
      <c r="DL79" s="3">
        <v>34</v>
      </c>
      <c r="DN79" s="3">
        <v>1</v>
      </c>
      <c r="DQ79" s="3"/>
      <c r="DR79" s="3">
        <v>13</v>
      </c>
      <c r="EI79" s="3">
        <v>159</v>
      </c>
      <c r="FA79" s="3">
        <v>16</v>
      </c>
      <c r="FQ79" s="3">
        <v>51</v>
      </c>
      <c r="FT79" s="3"/>
      <c r="FU79" s="3">
        <v>72</v>
      </c>
      <c r="GE79" s="3">
        <f t="shared" si="0"/>
        <v>20</v>
      </c>
      <c r="GF79" s="3">
        <f t="shared" si="1"/>
        <v>15</v>
      </c>
      <c r="GG79" s="3">
        <f t="shared" si="2"/>
        <v>10</v>
      </c>
      <c r="GH79" s="3">
        <f t="shared" si="3"/>
        <v>0.81129094088057374</v>
      </c>
      <c r="GI79" s="3">
        <f t="shared" si="4"/>
        <v>463</v>
      </c>
      <c r="GJ79" s="3">
        <f t="shared" si="5"/>
        <v>625</v>
      </c>
      <c r="GK79" s="3">
        <f t="shared" si="6"/>
        <v>162</v>
      </c>
    </row>
    <row r="80" spans="1:193" ht="13" x14ac:dyDescent="0.15">
      <c r="A80" s="13">
        <v>42803</v>
      </c>
      <c r="B80" s="3" t="s">
        <v>244</v>
      </c>
      <c r="C80" s="3">
        <v>21.310611999999999</v>
      </c>
      <c r="D80" s="3">
        <v>-158.00441000000001</v>
      </c>
      <c r="E80" s="3" t="s">
        <v>326</v>
      </c>
      <c r="F80" s="14">
        <v>0.39583333333333331</v>
      </c>
      <c r="G80" s="14">
        <v>0.47916666666666669</v>
      </c>
      <c r="H80" s="3">
        <v>7</v>
      </c>
      <c r="I80" s="3">
        <v>14</v>
      </c>
      <c r="J80" s="3" t="s">
        <v>318</v>
      </c>
      <c r="K80" s="3">
        <v>5</v>
      </c>
      <c r="L80" s="3">
        <v>26</v>
      </c>
      <c r="M80" s="3" t="s">
        <v>327</v>
      </c>
      <c r="N80" s="3" t="s">
        <v>328</v>
      </c>
      <c r="O80" s="3">
        <v>17</v>
      </c>
      <c r="Q80" s="3">
        <v>15</v>
      </c>
      <c r="V80" s="3"/>
      <c r="W80" s="3">
        <v>21</v>
      </c>
      <c r="AB80" s="3">
        <v>6</v>
      </c>
      <c r="AD80" s="3">
        <v>2</v>
      </c>
      <c r="AH80" s="3">
        <v>20</v>
      </c>
      <c r="BD80" s="3">
        <v>10</v>
      </c>
      <c r="BM80" s="3">
        <v>16</v>
      </c>
      <c r="BU80" s="3">
        <v>13</v>
      </c>
      <c r="BY80" s="3">
        <v>9</v>
      </c>
      <c r="CF80" s="3"/>
      <c r="CG80" s="3">
        <v>2</v>
      </c>
      <c r="CR80" s="3">
        <v>8</v>
      </c>
      <c r="DE80" s="3"/>
      <c r="DF80" s="3">
        <v>2</v>
      </c>
      <c r="DL80" s="3">
        <v>3</v>
      </c>
      <c r="DN80" s="3">
        <v>5</v>
      </c>
      <c r="DS80" s="3"/>
      <c r="DT80" s="3"/>
      <c r="DU80" s="3">
        <v>18</v>
      </c>
      <c r="EB80" s="3">
        <v>3</v>
      </c>
      <c r="ED80" s="3"/>
      <c r="EE80" s="3">
        <v>2</v>
      </c>
      <c r="EI80" s="3">
        <v>79</v>
      </c>
      <c r="EV80" s="3">
        <v>1</v>
      </c>
      <c r="FH80" s="3">
        <v>1</v>
      </c>
      <c r="FP80" s="3">
        <v>3</v>
      </c>
      <c r="FQ80" s="3">
        <v>65</v>
      </c>
      <c r="FZ80" s="3">
        <v>4</v>
      </c>
      <c r="GA80" s="3">
        <v>13</v>
      </c>
      <c r="GE80" s="3">
        <f t="shared" si="0"/>
        <v>24</v>
      </c>
      <c r="GF80" s="3">
        <f t="shared" si="1"/>
        <v>22</v>
      </c>
      <c r="GG80" s="3">
        <f t="shared" si="2"/>
        <v>14</v>
      </c>
      <c r="GH80" s="3">
        <f t="shared" si="3"/>
        <v>0.87834890965732093</v>
      </c>
      <c r="GI80" s="3">
        <f t="shared" si="4"/>
        <v>321</v>
      </c>
      <c r="GJ80" s="3">
        <f t="shared" si="5"/>
        <v>425</v>
      </c>
      <c r="GK80" s="3">
        <f t="shared" si="6"/>
        <v>104</v>
      </c>
    </row>
    <row r="81" spans="1:193" ht="13" x14ac:dyDescent="0.15">
      <c r="A81" s="13">
        <v>42804</v>
      </c>
      <c r="B81" s="3" t="s">
        <v>329</v>
      </c>
      <c r="C81" s="3">
        <v>21.140799999999999</v>
      </c>
      <c r="D81" s="3">
        <v>-157.29011499999999</v>
      </c>
      <c r="E81" s="3" t="s">
        <v>330</v>
      </c>
      <c r="F81" s="14">
        <v>0.4375</v>
      </c>
      <c r="G81" s="14">
        <v>0.46736111111111112</v>
      </c>
      <c r="H81" s="3">
        <v>6</v>
      </c>
      <c r="I81" s="3">
        <v>10</v>
      </c>
      <c r="J81" s="3" t="s">
        <v>318</v>
      </c>
      <c r="K81" s="3">
        <v>5</v>
      </c>
      <c r="L81" s="3">
        <v>27</v>
      </c>
      <c r="M81" s="3" t="s">
        <v>331</v>
      </c>
      <c r="N81" s="3" t="s">
        <v>282</v>
      </c>
      <c r="O81" s="3">
        <v>22</v>
      </c>
      <c r="AB81" s="3">
        <v>2</v>
      </c>
      <c r="BL81" s="3">
        <v>16</v>
      </c>
      <c r="CF81" s="3"/>
      <c r="CG81" s="3">
        <v>4</v>
      </c>
      <c r="DN81" s="3">
        <v>8</v>
      </c>
      <c r="EI81" s="3">
        <v>35</v>
      </c>
      <c r="FA81" s="3">
        <v>4</v>
      </c>
      <c r="FQ81" s="3">
        <v>46</v>
      </c>
      <c r="FS81" s="3">
        <v>5</v>
      </c>
      <c r="GE81" s="3">
        <f t="shared" si="0"/>
        <v>8</v>
      </c>
      <c r="GF81" s="3">
        <f t="shared" si="1"/>
        <v>8</v>
      </c>
      <c r="GG81" s="3">
        <f t="shared" si="2"/>
        <v>5</v>
      </c>
      <c r="GH81" s="3">
        <f t="shared" si="3"/>
        <v>0.74775910364145659</v>
      </c>
      <c r="GI81" s="3">
        <f t="shared" si="4"/>
        <v>120</v>
      </c>
      <c r="GJ81" s="3">
        <f t="shared" si="5"/>
        <v>550</v>
      </c>
      <c r="GK81" s="3">
        <f t="shared" si="6"/>
        <v>430</v>
      </c>
    </row>
    <row r="82" spans="1:193" ht="13" x14ac:dyDescent="0.15">
      <c r="A82" s="13">
        <v>42804</v>
      </c>
      <c r="B82" s="3" t="s">
        <v>201</v>
      </c>
      <c r="C82" s="3">
        <v>21.25544</v>
      </c>
      <c r="D82" s="3">
        <v>-157.810303</v>
      </c>
      <c r="E82" s="3" t="s">
        <v>325</v>
      </c>
      <c r="F82" s="14">
        <v>0.41666666666666669</v>
      </c>
      <c r="G82" s="14">
        <v>0.45833333333333331</v>
      </c>
      <c r="H82" s="3">
        <v>6</v>
      </c>
      <c r="I82" s="3">
        <v>5</v>
      </c>
      <c r="J82" s="3" t="s">
        <v>318</v>
      </c>
      <c r="K82" s="3">
        <v>5</v>
      </c>
      <c r="L82" s="3">
        <v>24</v>
      </c>
      <c r="M82" s="3" t="s">
        <v>332</v>
      </c>
      <c r="N82" s="3" t="s">
        <v>288</v>
      </c>
      <c r="O82" s="3">
        <v>24</v>
      </c>
      <c r="BX82" s="3">
        <v>5</v>
      </c>
      <c r="BY82" s="3">
        <v>7</v>
      </c>
      <c r="CR82" s="3">
        <v>4</v>
      </c>
      <c r="DA82" s="3"/>
      <c r="DB82" s="3">
        <v>2</v>
      </c>
      <c r="DI82" s="3">
        <v>5</v>
      </c>
      <c r="DK82" s="3">
        <v>17</v>
      </c>
      <c r="DL82" s="3">
        <v>1</v>
      </c>
      <c r="DQ82" s="3"/>
      <c r="DR82" s="3">
        <v>2</v>
      </c>
      <c r="EI82" s="3">
        <v>273</v>
      </c>
      <c r="FA82" s="3">
        <v>3</v>
      </c>
      <c r="FH82" s="3">
        <v>3</v>
      </c>
      <c r="FP82" s="3">
        <v>63</v>
      </c>
      <c r="FQ82" s="3">
        <v>119</v>
      </c>
      <c r="GE82" s="3">
        <f t="shared" si="0"/>
        <v>13</v>
      </c>
      <c r="GF82" s="3">
        <f t="shared" si="1"/>
        <v>12</v>
      </c>
      <c r="GG82" s="3">
        <f t="shared" si="2"/>
        <v>7</v>
      </c>
      <c r="GH82" s="3">
        <f t="shared" si="3"/>
        <v>0.63478651898134997</v>
      </c>
      <c r="GI82" s="3">
        <f t="shared" si="4"/>
        <v>504</v>
      </c>
      <c r="GJ82" s="3">
        <f t="shared" si="5"/>
        <v>600</v>
      </c>
      <c r="GK82" s="3">
        <f t="shared" si="6"/>
        <v>96</v>
      </c>
    </row>
    <row r="83" spans="1:193" ht="13" x14ac:dyDescent="0.15">
      <c r="A83" s="13">
        <v>42804</v>
      </c>
      <c r="B83" s="3" t="s">
        <v>219</v>
      </c>
      <c r="C83" s="3">
        <v>21.295798999999999</v>
      </c>
      <c r="D83" s="3">
        <v>-158.10369900000001</v>
      </c>
      <c r="E83" s="3" t="s">
        <v>333</v>
      </c>
      <c r="F83" s="14">
        <v>0.38541666666666669</v>
      </c>
      <c r="G83" s="14">
        <v>0.44791666666666669</v>
      </c>
      <c r="H83" s="3">
        <v>7</v>
      </c>
      <c r="I83" s="3">
        <v>10</v>
      </c>
      <c r="J83" s="3" t="s">
        <v>318</v>
      </c>
      <c r="K83" s="3">
        <v>5</v>
      </c>
      <c r="L83" s="3">
        <v>31</v>
      </c>
      <c r="M83" s="3" t="s">
        <v>334</v>
      </c>
      <c r="N83" s="3" t="s">
        <v>335</v>
      </c>
      <c r="O83" s="3">
        <v>26</v>
      </c>
      <c r="Q83" s="3">
        <v>19</v>
      </c>
      <c r="R83" s="3">
        <v>1</v>
      </c>
      <c r="Z83" s="3"/>
      <c r="AA83" s="3">
        <v>3</v>
      </c>
      <c r="AC83" s="3">
        <v>1</v>
      </c>
      <c r="AD83" s="3">
        <v>2</v>
      </c>
      <c r="AH83" s="3">
        <v>1</v>
      </c>
      <c r="AS83" s="3">
        <v>1</v>
      </c>
      <c r="BB83" s="3">
        <v>1</v>
      </c>
      <c r="BD83" s="3">
        <v>4</v>
      </c>
      <c r="BG83" s="3">
        <v>1</v>
      </c>
      <c r="BL83" s="3">
        <v>10</v>
      </c>
      <c r="BM83" s="3">
        <v>2</v>
      </c>
      <c r="BP83" s="3">
        <v>30</v>
      </c>
      <c r="BU83" s="3">
        <v>12</v>
      </c>
      <c r="BY83" s="3">
        <v>23</v>
      </c>
      <c r="CR83" s="3">
        <v>27</v>
      </c>
      <c r="DC83" s="3">
        <v>4</v>
      </c>
      <c r="DE83" s="3"/>
      <c r="DF83" s="3">
        <v>7</v>
      </c>
      <c r="DL83" s="3">
        <v>23</v>
      </c>
      <c r="DQ83" s="3"/>
      <c r="DR83" s="3">
        <v>22</v>
      </c>
      <c r="DY83" s="3">
        <v>1</v>
      </c>
      <c r="EB83" s="3">
        <v>7</v>
      </c>
      <c r="EI83" s="3">
        <v>166</v>
      </c>
      <c r="EJ83" s="3">
        <v>3</v>
      </c>
      <c r="FA83" s="3">
        <v>43</v>
      </c>
      <c r="FE83" s="3">
        <v>9</v>
      </c>
      <c r="FH83" s="3">
        <v>9</v>
      </c>
      <c r="FP83" s="3">
        <v>4</v>
      </c>
      <c r="FQ83" s="3">
        <v>42</v>
      </c>
      <c r="GE83" s="3">
        <f t="shared" si="0"/>
        <v>29</v>
      </c>
      <c r="GF83" s="3">
        <f t="shared" si="1"/>
        <v>22</v>
      </c>
      <c r="GG83" s="3">
        <f t="shared" si="2"/>
        <v>15</v>
      </c>
      <c r="GH83" s="3">
        <f t="shared" si="3"/>
        <v>0.84733735077147099</v>
      </c>
      <c r="GI83" s="3">
        <f t="shared" si="4"/>
        <v>478</v>
      </c>
      <c r="GJ83" s="3">
        <f t="shared" si="5"/>
        <v>650</v>
      </c>
      <c r="GK83" s="3">
        <f t="shared" si="6"/>
        <v>172</v>
      </c>
    </row>
    <row r="84" spans="1:193" ht="13" x14ac:dyDescent="0.15">
      <c r="A84" s="13">
        <v>42806</v>
      </c>
      <c r="B84" s="3" t="s">
        <v>293</v>
      </c>
      <c r="C84" s="3">
        <v>19.738602</v>
      </c>
      <c r="D84" s="3">
        <v>-155.03887900000001</v>
      </c>
      <c r="E84" s="3" t="s">
        <v>197</v>
      </c>
      <c r="F84" s="14">
        <v>0.39930555555555558</v>
      </c>
      <c r="G84" s="14">
        <v>0.43333333333333335</v>
      </c>
      <c r="H84" s="3">
        <v>6</v>
      </c>
      <c r="I84" s="3">
        <v>12</v>
      </c>
      <c r="J84" s="3" t="s">
        <v>198</v>
      </c>
      <c r="K84" s="3">
        <v>7</v>
      </c>
      <c r="L84" s="3">
        <v>32</v>
      </c>
      <c r="M84" s="3" t="s">
        <v>336</v>
      </c>
      <c r="O84" s="3">
        <v>32</v>
      </c>
      <c r="Q84" s="3">
        <v>1</v>
      </c>
      <c r="Z84" s="3"/>
      <c r="AA84" s="3">
        <v>1</v>
      </c>
      <c r="AF84" s="3">
        <v>5</v>
      </c>
      <c r="AL84" s="3">
        <v>1</v>
      </c>
      <c r="BJ84" s="3">
        <v>2</v>
      </c>
      <c r="BL84" s="3">
        <v>26</v>
      </c>
      <c r="BQ84" s="3">
        <v>3</v>
      </c>
      <c r="BV84" s="3">
        <v>2</v>
      </c>
      <c r="CB84" s="3">
        <v>12</v>
      </c>
      <c r="CF84" s="3"/>
      <c r="CG84" s="3">
        <v>8</v>
      </c>
      <c r="CN84" s="3">
        <v>62</v>
      </c>
      <c r="DE84" s="3"/>
      <c r="DF84" s="3">
        <v>25</v>
      </c>
      <c r="DH84" s="3">
        <v>2</v>
      </c>
      <c r="EI84" s="3">
        <v>5</v>
      </c>
      <c r="EO84" s="3">
        <v>2</v>
      </c>
      <c r="EQ84" s="3">
        <v>13</v>
      </c>
      <c r="FL84" s="3">
        <v>26</v>
      </c>
      <c r="FQ84" s="3">
        <v>350</v>
      </c>
      <c r="FR84" s="3">
        <v>3</v>
      </c>
      <c r="GE84" s="3">
        <f t="shared" si="0"/>
        <v>19</v>
      </c>
      <c r="GF84" s="3">
        <f t="shared" si="1"/>
        <v>16</v>
      </c>
      <c r="GG84" s="3">
        <f t="shared" si="2"/>
        <v>10</v>
      </c>
      <c r="GH84" s="3">
        <f t="shared" si="3"/>
        <v>0.57375719622937527</v>
      </c>
      <c r="GI84" s="3">
        <f t="shared" si="4"/>
        <v>549</v>
      </c>
      <c r="GJ84" s="3">
        <f t="shared" si="5"/>
        <v>800</v>
      </c>
      <c r="GK84" s="3">
        <f t="shared" si="6"/>
        <v>251</v>
      </c>
    </row>
    <row r="85" spans="1:193" ht="13" x14ac:dyDescent="0.15">
      <c r="A85" s="13">
        <v>42810</v>
      </c>
      <c r="B85" s="3" t="s">
        <v>337</v>
      </c>
      <c r="C85" s="3">
        <v>19.957187999999999</v>
      </c>
      <c r="D85" s="3">
        <v>-155.859497</v>
      </c>
      <c r="E85" s="3" t="s">
        <v>313</v>
      </c>
      <c r="F85" s="14">
        <v>0.48055555555555557</v>
      </c>
      <c r="G85" s="14">
        <v>0.55208333333333337</v>
      </c>
      <c r="H85" s="3">
        <v>3</v>
      </c>
      <c r="I85" s="3">
        <v>10</v>
      </c>
      <c r="J85" s="3" t="s">
        <v>318</v>
      </c>
      <c r="K85" s="3">
        <v>10</v>
      </c>
      <c r="L85" s="3">
        <v>30</v>
      </c>
      <c r="O85" s="3">
        <v>30</v>
      </c>
      <c r="Z85" s="3"/>
      <c r="AA85" s="3">
        <v>133</v>
      </c>
      <c r="AK85" s="3">
        <v>5</v>
      </c>
      <c r="AL85" s="3">
        <v>7</v>
      </c>
      <c r="AM85" s="3">
        <v>3</v>
      </c>
      <c r="BG85" s="3">
        <v>20</v>
      </c>
      <c r="BL85" s="3">
        <v>64</v>
      </c>
      <c r="BX85" s="3">
        <v>5</v>
      </c>
      <c r="CB85" s="3">
        <v>44</v>
      </c>
      <c r="CC85" s="3">
        <v>7</v>
      </c>
      <c r="CJ85" s="3">
        <v>3</v>
      </c>
      <c r="CT85" s="3">
        <v>9</v>
      </c>
      <c r="DG85" s="3">
        <v>1</v>
      </c>
      <c r="DQ85" s="3"/>
      <c r="DR85" s="3">
        <v>4</v>
      </c>
      <c r="DZ85" s="3">
        <v>2</v>
      </c>
      <c r="EI85" s="3">
        <v>27</v>
      </c>
      <c r="EV85" s="3">
        <v>1</v>
      </c>
      <c r="FA85" s="3">
        <v>6</v>
      </c>
      <c r="FP85" s="3">
        <v>7</v>
      </c>
      <c r="FQ85" s="3">
        <v>310</v>
      </c>
      <c r="GE85" s="3">
        <f t="shared" si="0"/>
        <v>19</v>
      </c>
      <c r="GF85" s="3">
        <f t="shared" si="1"/>
        <v>17</v>
      </c>
      <c r="GG85" s="3">
        <f t="shared" si="2"/>
        <v>13</v>
      </c>
      <c r="GH85" s="3">
        <f t="shared" si="3"/>
        <v>0.72092453030954928</v>
      </c>
      <c r="GI85" s="3">
        <f t="shared" si="4"/>
        <v>658</v>
      </c>
      <c r="GJ85" s="3">
        <f t="shared" si="5"/>
        <v>750</v>
      </c>
      <c r="GK85" s="3">
        <f t="shared" si="6"/>
        <v>92</v>
      </c>
    </row>
    <row r="86" spans="1:193" ht="13" x14ac:dyDescent="0.15">
      <c r="A86" s="13">
        <v>42823</v>
      </c>
      <c r="B86" s="3" t="s">
        <v>244</v>
      </c>
      <c r="C86" s="3">
        <v>21.310611999999999</v>
      </c>
      <c r="D86" s="3">
        <v>-158.00441000000001</v>
      </c>
      <c r="E86" s="3" t="s">
        <v>278</v>
      </c>
      <c r="F86" s="14">
        <v>0.38541666666666669</v>
      </c>
      <c r="G86" s="14">
        <v>0.46875</v>
      </c>
      <c r="H86" s="3">
        <v>6</v>
      </c>
      <c r="I86" s="3">
        <v>10</v>
      </c>
      <c r="J86" s="3" t="s">
        <v>198</v>
      </c>
      <c r="K86" s="3">
        <v>5</v>
      </c>
      <c r="L86" s="3">
        <v>26</v>
      </c>
      <c r="M86" s="3" t="s">
        <v>338</v>
      </c>
      <c r="O86" s="3">
        <v>26</v>
      </c>
      <c r="Q86" s="3">
        <v>8</v>
      </c>
      <c r="AH86" s="3">
        <v>14</v>
      </c>
      <c r="BL86" s="3">
        <v>2</v>
      </c>
      <c r="BU86" s="3">
        <v>16</v>
      </c>
      <c r="BY86" s="3">
        <v>42</v>
      </c>
      <c r="DE86" s="3"/>
      <c r="DF86" s="3">
        <v>40</v>
      </c>
      <c r="DL86" s="3">
        <v>40</v>
      </c>
      <c r="DQ86" s="3"/>
      <c r="DR86" s="3">
        <v>2</v>
      </c>
      <c r="EI86" s="3">
        <v>231</v>
      </c>
      <c r="FA86" s="3">
        <v>20</v>
      </c>
      <c r="FQ86" s="3">
        <v>47</v>
      </c>
      <c r="GE86" s="3">
        <f t="shared" si="0"/>
        <v>11</v>
      </c>
      <c r="GF86" s="3">
        <f t="shared" si="1"/>
        <v>11</v>
      </c>
      <c r="GG86" s="3">
        <f t="shared" si="2"/>
        <v>9</v>
      </c>
      <c r="GH86" s="3">
        <f t="shared" si="3"/>
        <v>0.71360960081133618</v>
      </c>
      <c r="GI86" s="3">
        <f t="shared" si="4"/>
        <v>462</v>
      </c>
      <c r="GJ86" s="3">
        <f t="shared" si="5"/>
        <v>650</v>
      </c>
      <c r="GK86" s="3">
        <f t="shared" si="6"/>
        <v>188</v>
      </c>
    </row>
    <row r="87" spans="1:193" ht="13" x14ac:dyDescent="0.15">
      <c r="A87" s="13">
        <v>42826</v>
      </c>
      <c r="B87" s="3" t="s">
        <v>303</v>
      </c>
      <c r="C87" s="3">
        <v>20.994240000000001</v>
      </c>
      <c r="D87" s="3">
        <v>-156.66825900000001</v>
      </c>
      <c r="E87" s="3" t="s">
        <v>197</v>
      </c>
      <c r="F87" s="14">
        <v>0.47083333333333333</v>
      </c>
      <c r="G87" s="14">
        <v>0.50416666666666665</v>
      </c>
      <c r="H87" s="3">
        <v>3</v>
      </c>
      <c r="I87" s="3">
        <v>25</v>
      </c>
      <c r="J87" s="3" t="s">
        <v>198</v>
      </c>
      <c r="K87" s="3">
        <v>11</v>
      </c>
      <c r="L87" s="3">
        <v>20</v>
      </c>
      <c r="M87" s="3" t="s">
        <v>339</v>
      </c>
      <c r="O87" s="3">
        <v>20</v>
      </c>
      <c r="Z87" s="3"/>
      <c r="AA87" s="3">
        <v>12</v>
      </c>
      <c r="AL87" s="3">
        <v>30</v>
      </c>
      <c r="BJ87" s="3">
        <v>1</v>
      </c>
      <c r="BL87" s="3">
        <v>51</v>
      </c>
      <c r="BP87" s="3">
        <v>5</v>
      </c>
      <c r="CB87" s="3">
        <v>9</v>
      </c>
      <c r="CC87" s="3">
        <v>1</v>
      </c>
      <c r="CJ87" s="3">
        <v>12</v>
      </c>
      <c r="DG87" s="3">
        <v>22</v>
      </c>
      <c r="DO87" s="3">
        <v>2</v>
      </c>
      <c r="EC87" s="3">
        <v>7</v>
      </c>
      <c r="ES87" s="3"/>
      <c r="ET87" s="3"/>
      <c r="EU87" s="3">
        <v>11</v>
      </c>
      <c r="FB87" s="3">
        <v>2</v>
      </c>
      <c r="FQ87" s="3">
        <v>24</v>
      </c>
      <c r="FW87" s="3">
        <v>1</v>
      </c>
      <c r="GE87" s="3">
        <f t="shared" si="0"/>
        <v>15</v>
      </c>
      <c r="GF87" s="3">
        <f t="shared" si="1"/>
        <v>12</v>
      </c>
      <c r="GG87" s="3">
        <f t="shared" si="2"/>
        <v>10</v>
      </c>
      <c r="GH87" s="3">
        <f t="shared" si="3"/>
        <v>0.86226677805625174</v>
      </c>
      <c r="GI87" s="3">
        <f t="shared" si="4"/>
        <v>190</v>
      </c>
      <c r="GJ87" s="3">
        <f t="shared" si="5"/>
        <v>500</v>
      </c>
      <c r="GK87" s="3">
        <f t="shared" si="6"/>
        <v>310</v>
      </c>
    </row>
    <row r="88" spans="1:193" ht="13" x14ac:dyDescent="0.15">
      <c r="A88" s="13">
        <v>42827</v>
      </c>
      <c r="B88" s="3" t="s">
        <v>340</v>
      </c>
      <c r="C88" s="3">
        <v>19.643276</v>
      </c>
      <c r="D88" s="3">
        <v>-156.01019299999999</v>
      </c>
      <c r="E88" s="3" t="s">
        <v>197</v>
      </c>
      <c r="F88" s="14">
        <v>0.48680555555555555</v>
      </c>
      <c r="G88" s="14">
        <v>0.52500000000000002</v>
      </c>
      <c r="H88" s="3">
        <v>3</v>
      </c>
      <c r="I88" s="3">
        <v>40</v>
      </c>
      <c r="J88" s="3" t="s">
        <v>198</v>
      </c>
      <c r="K88" s="3">
        <v>10</v>
      </c>
      <c r="L88" s="3">
        <v>28</v>
      </c>
      <c r="M88" s="3" t="s">
        <v>341</v>
      </c>
      <c r="O88" s="3">
        <v>28</v>
      </c>
      <c r="S88" s="3">
        <v>1</v>
      </c>
      <c r="AC88" s="3">
        <v>2</v>
      </c>
      <c r="AL88" s="3">
        <v>126</v>
      </c>
      <c r="BL88" s="3">
        <v>1</v>
      </c>
      <c r="BY88" s="3">
        <v>2</v>
      </c>
      <c r="CB88" s="3">
        <v>2</v>
      </c>
      <c r="CM88" s="3">
        <v>7</v>
      </c>
      <c r="EI88" s="3">
        <v>3</v>
      </c>
      <c r="FE88" s="3">
        <v>6</v>
      </c>
      <c r="FL88" s="3">
        <v>12</v>
      </c>
      <c r="FP88" s="3">
        <v>156</v>
      </c>
      <c r="FQ88" s="3">
        <v>283</v>
      </c>
      <c r="GE88" s="3">
        <f t="shared" si="0"/>
        <v>12</v>
      </c>
      <c r="GF88" s="3">
        <f t="shared" si="1"/>
        <v>10</v>
      </c>
      <c r="GG88" s="3">
        <f t="shared" si="2"/>
        <v>6</v>
      </c>
      <c r="GH88" s="3">
        <f t="shared" si="3"/>
        <v>0.66735440931780365</v>
      </c>
      <c r="GI88" s="3">
        <f t="shared" si="4"/>
        <v>601</v>
      </c>
      <c r="GJ88" s="3">
        <f t="shared" si="5"/>
        <v>700</v>
      </c>
      <c r="GK88" s="3">
        <f t="shared" si="6"/>
        <v>99</v>
      </c>
    </row>
    <row r="89" spans="1:193" ht="13" x14ac:dyDescent="0.15">
      <c r="A89" s="13">
        <v>42831</v>
      </c>
      <c r="B89" s="3" t="s">
        <v>201</v>
      </c>
      <c r="C89" s="3">
        <v>21.25544</v>
      </c>
      <c r="D89" s="3">
        <v>-157.810303</v>
      </c>
      <c r="E89" s="3" t="s">
        <v>197</v>
      </c>
      <c r="F89" s="14">
        <v>0</v>
      </c>
      <c r="G89" s="14">
        <v>4.1666666666666664E-2</v>
      </c>
      <c r="H89" s="3">
        <v>6</v>
      </c>
      <c r="I89" s="3">
        <v>11</v>
      </c>
      <c r="J89" s="3" t="s">
        <v>198</v>
      </c>
      <c r="K89" s="3">
        <v>12</v>
      </c>
      <c r="L89" s="3">
        <v>55</v>
      </c>
      <c r="M89" s="3" t="s">
        <v>342</v>
      </c>
      <c r="O89" s="3">
        <v>55</v>
      </c>
      <c r="Q89" s="3">
        <v>4</v>
      </c>
      <c r="Z89" s="3"/>
      <c r="AA89" s="3">
        <v>3</v>
      </c>
      <c r="AC89" s="3">
        <v>2</v>
      </c>
      <c r="AE89" s="3">
        <v>5</v>
      </c>
      <c r="BG89" s="3">
        <v>1</v>
      </c>
      <c r="BL89" s="3">
        <v>4</v>
      </c>
      <c r="BV89" s="3">
        <v>54</v>
      </c>
      <c r="BY89" s="3">
        <v>49</v>
      </c>
      <c r="CA89" s="3">
        <v>1</v>
      </c>
      <c r="CR89" s="3">
        <v>21</v>
      </c>
      <c r="DL89" s="3">
        <v>120</v>
      </c>
      <c r="DS89" s="3">
        <v>1</v>
      </c>
      <c r="EC89" s="3">
        <v>2</v>
      </c>
      <c r="EI89" s="3">
        <v>319</v>
      </c>
      <c r="FA89" s="3">
        <v>187</v>
      </c>
      <c r="FB89" s="3">
        <v>2</v>
      </c>
      <c r="FQ89" s="3">
        <v>74</v>
      </c>
      <c r="FS89" s="3">
        <v>7</v>
      </c>
      <c r="GB89" s="3">
        <v>1</v>
      </c>
      <c r="GC89" s="3">
        <v>27</v>
      </c>
      <c r="GE89" s="3">
        <f t="shared" si="0"/>
        <v>20</v>
      </c>
      <c r="GF89" s="3">
        <f t="shared" si="1"/>
        <v>16</v>
      </c>
      <c r="GG89" s="3">
        <f t="shared" si="2"/>
        <v>10</v>
      </c>
      <c r="GH89" s="3">
        <f t="shared" si="3"/>
        <v>0.79202431037751797</v>
      </c>
      <c r="GI89" s="3">
        <f t="shared" si="4"/>
        <v>884</v>
      </c>
      <c r="GJ89" s="3">
        <f t="shared" si="5"/>
        <v>1375</v>
      </c>
      <c r="GK89" s="3">
        <f t="shared" si="6"/>
        <v>491</v>
      </c>
    </row>
    <row r="90" spans="1:193" ht="13" x14ac:dyDescent="0.15">
      <c r="A90" s="13">
        <v>42834</v>
      </c>
      <c r="B90" s="3" t="s">
        <v>301</v>
      </c>
      <c r="C90" s="3">
        <v>22.065598999999999</v>
      </c>
      <c r="D90" s="3">
        <v>-159.31770299999999</v>
      </c>
      <c r="E90" s="3" t="s">
        <v>344</v>
      </c>
      <c r="F90" s="14">
        <v>0.36875000000000002</v>
      </c>
      <c r="G90" s="14">
        <v>0.41041666666666665</v>
      </c>
      <c r="H90" s="3">
        <v>4</v>
      </c>
      <c r="I90" s="3">
        <v>15</v>
      </c>
      <c r="J90" s="3" t="s">
        <v>198</v>
      </c>
      <c r="K90" s="3">
        <v>8</v>
      </c>
      <c r="L90" s="3">
        <v>25</v>
      </c>
      <c r="M90" s="3" t="s">
        <v>345</v>
      </c>
      <c r="O90" s="3">
        <v>25</v>
      </c>
      <c r="Q90" s="3">
        <v>1</v>
      </c>
      <c r="Z90" s="3"/>
      <c r="AA90" s="3">
        <v>6</v>
      </c>
      <c r="AC90" s="3">
        <v>1</v>
      </c>
      <c r="AZ90" s="3"/>
      <c r="BA90" s="3">
        <v>1</v>
      </c>
      <c r="BM90" s="3">
        <v>70</v>
      </c>
      <c r="BU90" s="3">
        <v>10</v>
      </c>
      <c r="DL90" s="3">
        <v>28</v>
      </c>
      <c r="DM90" s="3">
        <v>1</v>
      </c>
      <c r="DQ90" s="3"/>
      <c r="DR90" s="3">
        <v>6</v>
      </c>
      <c r="EI90" s="3">
        <v>140</v>
      </c>
      <c r="FA90" s="3">
        <v>6</v>
      </c>
      <c r="FH90" s="3">
        <v>17</v>
      </c>
      <c r="FP90" s="3">
        <v>30</v>
      </c>
      <c r="FQ90" s="3">
        <v>108</v>
      </c>
      <c r="FY90" s="3">
        <v>53</v>
      </c>
      <c r="GE90" s="3">
        <f t="shared" si="0"/>
        <v>15</v>
      </c>
      <c r="GF90" s="3">
        <f t="shared" si="1"/>
        <v>11</v>
      </c>
      <c r="GG90" s="3">
        <f t="shared" si="2"/>
        <v>11</v>
      </c>
      <c r="GH90" s="3">
        <f t="shared" si="3"/>
        <v>0.8215836425357228</v>
      </c>
      <c r="GI90" s="3">
        <f t="shared" si="4"/>
        <v>478</v>
      </c>
      <c r="GJ90" s="3">
        <f t="shared" si="5"/>
        <v>625</v>
      </c>
      <c r="GK90" s="3">
        <f t="shared" si="6"/>
        <v>147</v>
      </c>
    </row>
    <row r="91" spans="1:193" ht="13" x14ac:dyDescent="0.15">
      <c r="A91" s="13">
        <v>42835</v>
      </c>
      <c r="B91" s="3" t="s">
        <v>216</v>
      </c>
      <c r="C91" s="3">
        <v>21.3002</v>
      </c>
      <c r="D91" s="3">
        <v>-157.882599</v>
      </c>
      <c r="E91" s="3" t="s">
        <v>272</v>
      </c>
      <c r="F91" s="14">
        <v>0.3888888888888889</v>
      </c>
      <c r="G91" s="14">
        <v>0.4236111111111111</v>
      </c>
      <c r="H91" s="3">
        <v>7</v>
      </c>
      <c r="I91" s="3">
        <v>20</v>
      </c>
      <c r="J91" s="3" t="s">
        <v>198</v>
      </c>
      <c r="K91" s="3">
        <v>5</v>
      </c>
      <c r="L91" s="3">
        <v>33</v>
      </c>
      <c r="M91" s="3" t="s">
        <v>346</v>
      </c>
      <c r="O91" s="3">
        <v>33</v>
      </c>
      <c r="V91" s="3"/>
      <c r="W91" s="3">
        <v>1</v>
      </c>
      <c r="Z91" s="3"/>
      <c r="AA91" s="3">
        <v>17</v>
      </c>
      <c r="AB91" s="3">
        <v>2</v>
      </c>
      <c r="AH91" s="3">
        <v>2</v>
      </c>
      <c r="BL91" s="3">
        <v>20</v>
      </c>
      <c r="BU91" s="3">
        <v>3</v>
      </c>
      <c r="BY91" s="3">
        <v>1</v>
      </c>
      <c r="CB91" s="3">
        <v>2</v>
      </c>
      <c r="DE91" s="3"/>
      <c r="DF91" s="3">
        <v>1</v>
      </c>
      <c r="DG91" s="3">
        <v>15</v>
      </c>
      <c r="DN91" s="3">
        <v>2</v>
      </c>
      <c r="EB91" s="3">
        <v>4</v>
      </c>
      <c r="EG91" s="3">
        <v>1</v>
      </c>
      <c r="EI91" s="3">
        <v>10</v>
      </c>
      <c r="FH91" s="3">
        <v>56</v>
      </c>
      <c r="FQ91" s="3">
        <v>365</v>
      </c>
      <c r="GE91" s="3">
        <f t="shared" si="0"/>
        <v>16</v>
      </c>
      <c r="GF91" s="3">
        <f t="shared" si="1"/>
        <v>12</v>
      </c>
      <c r="GG91" s="3">
        <f t="shared" si="2"/>
        <v>6</v>
      </c>
      <c r="GH91" s="3">
        <f t="shared" si="3"/>
        <v>0.45559876263409438</v>
      </c>
      <c r="GI91" s="3">
        <f t="shared" si="4"/>
        <v>502</v>
      </c>
      <c r="GJ91" s="3">
        <f t="shared" si="5"/>
        <v>825</v>
      </c>
      <c r="GK91" s="3">
        <f t="shared" si="6"/>
        <v>323</v>
      </c>
    </row>
    <row r="92" spans="1:193" ht="13" x14ac:dyDescent="0.15">
      <c r="A92" s="13">
        <v>42836</v>
      </c>
      <c r="B92" s="3" t="s">
        <v>301</v>
      </c>
      <c r="C92" s="3">
        <v>22.065598999999999</v>
      </c>
      <c r="D92" s="3">
        <v>-159.31770299999999</v>
      </c>
      <c r="E92" s="3" t="s">
        <v>347</v>
      </c>
      <c r="F92" s="14">
        <v>0.39583333333333331</v>
      </c>
      <c r="G92" s="14">
        <v>0.44374999999999998</v>
      </c>
      <c r="H92" s="3">
        <v>6</v>
      </c>
      <c r="I92" s="3">
        <v>15</v>
      </c>
      <c r="J92" s="3" t="s">
        <v>198</v>
      </c>
      <c r="K92" s="3">
        <v>7</v>
      </c>
      <c r="L92" s="3">
        <v>33</v>
      </c>
      <c r="M92" s="3" t="s">
        <v>348</v>
      </c>
      <c r="O92" s="3">
        <v>33</v>
      </c>
      <c r="V92" s="3"/>
      <c r="W92" s="3">
        <v>1</v>
      </c>
      <c r="Z92" s="3"/>
      <c r="AA92" s="3">
        <v>5</v>
      </c>
      <c r="AM92" s="3">
        <v>1</v>
      </c>
      <c r="AT92" s="3">
        <v>2</v>
      </c>
      <c r="AV92" s="3"/>
      <c r="AW92" s="3">
        <v>13</v>
      </c>
      <c r="AY92" s="3">
        <v>1</v>
      </c>
      <c r="AZ92" s="3"/>
      <c r="BA92" s="3">
        <v>4</v>
      </c>
      <c r="BL92" s="3">
        <v>3</v>
      </c>
      <c r="BM92" s="3">
        <v>62</v>
      </c>
      <c r="BT92" s="3">
        <v>7</v>
      </c>
      <c r="BU92" s="3">
        <v>36</v>
      </c>
      <c r="BY92" s="3">
        <v>1</v>
      </c>
      <c r="CR92" s="3">
        <v>1</v>
      </c>
      <c r="CU92" s="3">
        <v>2</v>
      </c>
      <c r="DI92" s="3">
        <v>22</v>
      </c>
      <c r="DK92" s="3">
        <v>14</v>
      </c>
      <c r="DL92" s="3">
        <v>5</v>
      </c>
      <c r="DQ92" s="3"/>
      <c r="DR92" s="3">
        <v>11</v>
      </c>
      <c r="DT92" s="3"/>
      <c r="DU92" s="3">
        <v>1</v>
      </c>
      <c r="DY92" s="3">
        <v>1</v>
      </c>
      <c r="EI92" s="3">
        <v>159</v>
      </c>
      <c r="ES92" s="3"/>
      <c r="ET92" s="3"/>
      <c r="EU92" s="3">
        <v>3</v>
      </c>
      <c r="FA92" s="3">
        <v>2</v>
      </c>
      <c r="FE92" s="3">
        <v>18</v>
      </c>
      <c r="FH92" s="3">
        <v>20</v>
      </c>
      <c r="FQ92" s="3">
        <v>159</v>
      </c>
      <c r="FY92" s="3">
        <v>1</v>
      </c>
      <c r="GE92" s="3">
        <f t="shared" si="0"/>
        <v>27</v>
      </c>
      <c r="GF92" s="3">
        <f t="shared" si="1"/>
        <v>19</v>
      </c>
      <c r="GG92" s="3">
        <f t="shared" si="2"/>
        <v>13</v>
      </c>
      <c r="GH92" s="3">
        <f t="shared" si="3"/>
        <v>0.81463557420236121</v>
      </c>
      <c r="GI92" s="3">
        <f t="shared" si="4"/>
        <v>555</v>
      </c>
      <c r="GJ92" s="3">
        <f t="shared" si="5"/>
        <v>825</v>
      </c>
      <c r="GK92" s="3">
        <f t="shared" si="6"/>
        <v>270</v>
      </c>
    </row>
    <row r="93" spans="1:193" ht="13" x14ac:dyDescent="0.15">
      <c r="A93" s="13">
        <v>42836</v>
      </c>
      <c r="B93" s="3" t="s">
        <v>266</v>
      </c>
      <c r="C93" s="3">
        <v>22.060683999999998</v>
      </c>
      <c r="D93" s="3">
        <v>-159.318512</v>
      </c>
      <c r="E93" s="3" t="s">
        <v>297</v>
      </c>
      <c r="F93" s="14">
        <v>0.40416666666666667</v>
      </c>
      <c r="G93" s="14">
        <v>0.44097222222222221</v>
      </c>
      <c r="H93" s="3">
        <v>6</v>
      </c>
      <c r="I93" s="3">
        <v>14</v>
      </c>
      <c r="J93" s="3" t="s">
        <v>198</v>
      </c>
      <c r="K93" s="3">
        <v>8</v>
      </c>
      <c r="L93" s="3">
        <v>37</v>
      </c>
      <c r="M93" s="3" t="s">
        <v>349</v>
      </c>
      <c r="O93" s="3">
        <v>37</v>
      </c>
      <c r="S93" s="3">
        <v>1</v>
      </c>
      <c r="Z93" s="3">
        <v>3</v>
      </c>
      <c r="AU93" s="3">
        <v>1</v>
      </c>
      <c r="AZ93" s="3"/>
      <c r="BA93" s="3">
        <v>1</v>
      </c>
      <c r="BM93" s="3">
        <v>139</v>
      </c>
      <c r="BU93" s="3">
        <v>10</v>
      </c>
      <c r="CV93" s="3"/>
      <c r="CW93" s="3"/>
      <c r="CX93" s="3"/>
      <c r="CY93" s="3">
        <v>1</v>
      </c>
      <c r="DL93" s="3">
        <v>1</v>
      </c>
      <c r="DQ93" s="3"/>
      <c r="DR93" s="3">
        <v>154</v>
      </c>
      <c r="DT93" s="3"/>
      <c r="DU93" s="3">
        <v>8</v>
      </c>
      <c r="EI93" s="3">
        <v>181</v>
      </c>
      <c r="FA93" s="3">
        <v>6</v>
      </c>
      <c r="FB93" s="3">
        <v>2</v>
      </c>
      <c r="FE93" s="3">
        <v>28</v>
      </c>
      <c r="FH93" s="3">
        <v>4</v>
      </c>
      <c r="FP93" s="3">
        <v>21</v>
      </c>
      <c r="FQ93" s="3">
        <v>72</v>
      </c>
      <c r="FS93" s="3">
        <v>1</v>
      </c>
      <c r="GE93" s="3">
        <f t="shared" si="0"/>
        <v>18</v>
      </c>
      <c r="GF93" s="3">
        <f t="shared" si="1"/>
        <v>12</v>
      </c>
      <c r="GG93" s="3">
        <f t="shared" si="2"/>
        <v>9</v>
      </c>
      <c r="GH93" s="3">
        <f t="shared" si="3"/>
        <v>0.79615371198189977</v>
      </c>
      <c r="GI93" s="3">
        <f t="shared" si="4"/>
        <v>634</v>
      </c>
      <c r="GJ93" s="3">
        <f t="shared" si="5"/>
        <v>925</v>
      </c>
      <c r="GK93" s="3">
        <f t="shared" si="6"/>
        <v>291</v>
      </c>
    </row>
    <row r="94" spans="1:193" ht="13" x14ac:dyDescent="0.15">
      <c r="A94" s="13">
        <v>42837</v>
      </c>
      <c r="B94" s="3" t="s">
        <v>266</v>
      </c>
      <c r="C94" s="3">
        <v>22.060683999999998</v>
      </c>
      <c r="D94" s="3">
        <v>-159.318512</v>
      </c>
      <c r="E94" s="3" t="s">
        <v>350</v>
      </c>
      <c r="F94" s="14">
        <v>0.3611111111111111</v>
      </c>
      <c r="G94" s="14">
        <v>0.44097222222222221</v>
      </c>
      <c r="H94" s="3">
        <v>6</v>
      </c>
      <c r="I94" s="3">
        <v>13</v>
      </c>
      <c r="J94" s="3" t="s">
        <v>198</v>
      </c>
      <c r="K94" s="3">
        <v>5</v>
      </c>
      <c r="L94" s="3">
        <v>28</v>
      </c>
      <c r="M94" s="3" t="s">
        <v>351</v>
      </c>
      <c r="O94" s="3">
        <v>28</v>
      </c>
      <c r="AM94" s="3">
        <v>1</v>
      </c>
      <c r="AY94" s="3">
        <v>5</v>
      </c>
      <c r="BM94" s="3">
        <v>215</v>
      </c>
      <c r="BU94" s="3">
        <v>5</v>
      </c>
      <c r="DC94" s="3">
        <v>1</v>
      </c>
      <c r="DL94" s="3">
        <v>77</v>
      </c>
      <c r="DT94" s="3"/>
      <c r="DU94" s="3">
        <v>10</v>
      </c>
      <c r="EI94" s="3">
        <v>144</v>
      </c>
      <c r="FP94" s="3">
        <v>5</v>
      </c>
      <c r="FQ94" s="3">
        <v>47</v>
      </c>
      <c r="GE94" s="3">
        <f t="shared" si="0"/>
        <v>10</v>
      </c>
      <c r="GF94" s="3">
        <f t="shared" si="1"/>
        <v>8</v>
      </c>
      <c r="GG94" s="3">
        <f t="shared" si="2"/>
        <v>8</v>
      </c>
      <c r="GH94" s="3">
        <f t="shared" si="3"/>
        <v>0.71198428290766214</v>
      </c>
      <c r="GI94" s="3">
        <f t="shared" si="4"/>
        <v>510</v>
      </c>
      <c r="GJ94" s="3">
        <f t="shared" si="5"/>
        <v>700</v>
      </c>
      <c r="GK94" s="3">
        <f t="shared" si="6"/>
        <v>190</v>
      </c>
    </row>
    <row r="95" spans="1:193" ht="13" x14ac:dyDescent="0.15">
      <c r="A95" s="13">
        <v>42837</v>
      </c>
      <c r="B95" s="3" t="s">
        <v>355</v>
      </c>
      <c r="C95" s="3">
        <v>21.284300000000002</v>
      </c>
      <c r="D95" s="3">
        <v>-157.67529300000001</v>
      </c>
      <c r="E95" s="3" t="s">
        <v>356</v>
      </c>
      <c r="F95" s="14">
        <v>0.39791666666666664</v>
      </c>
      <c r="G95" s="14">
        <v>0.44097222222222221</v>
      </c>
      <c r="H95" s="3">
        <v>7</v>
      </c>
      <c r="I95" s="3">
        <v>25</v>
      </c>
      <c r="J95" s="3" t="s">
        <v>198</v>
      </c>
      <c r="K95" s="3">
        <v>4</v>
      </c>
      <c r="L95" s="3">
        <v>23</v>
      </c>
      <c r="M95" s="3" t="s">
        <v>357</v>
      </c>
      <c r="O95" s="3">
        <v>23</v>
      </c>
      <c r="AA95" s="3">
        <v>5</v>
      </c>
      <c r="AB95" s="3">
        <v>1</v>
      </c>
      <c r="AC95" s="3">
        <v>6</v>
      </c>
      <c r="AF95" s="3">
        <v>11</v>
      </c>
      <c r="BJ95" s="3">
        <v>2</v>
      </c>
      <c r="BL95" s="3">
        <v>22</v>
      </c>
      <c r="BY95" s="3">
        <v>2</v>
      </c>
      <c r="CF95" s="3"/>
      <c r="CG95" s="3">
        <v>24</v>
      </c>
      <c r="EI95" s="3">
        <v>18</v>
      </c>
      <c r="EJ95" s="3">
        <v>1</v>
      </c>
      <c r="FA95" s="3">
        <v>4</v>
      </c>
      <c r="FE95" s="3">
        <v>16</v>
      </c>
      <c r="FP95" s="3">
        <v>3</v>
      </c>
      <c r="FQ95" s="3">
        <v>157</v>
      </c>
      <c r="FS95" s="3">
        <v>3</v>
      </c>
      <c r="GE95" s="3">
        <f t="shared" si="0"/>
        <v>15</v>
      </c>
      <c r="GF95" s="3">
        <f t="shared" si="1"/>
        <v>13</v>
      </c>
      <c r="GG95" s="3">
        <f t="shared" si="2"/>
        <v>8</v>
      </c>
      <c r="GH95" s="3">
        <f t="shared" si="3"/>
        <v>0.65175846051758457</v>
      </c>
      <c r="GI95" s="3">
        <f t="shared" si="4"/>
        <v>275</v>
      </c>
      <c r="GJ95" s="3">
        <f t="shared" si="5"/>
        <v>575</v>
      </c>
      <c r="GK95" s="3">
        <f t="shared" si="6"/>
        <v>300</v>
      </c>
    </row>
    <row r="96" spans="1:193" ht="13" x14ac:dyDescent="0.15">
      <c r="A96" s="13">
        <v>42838</v>
      </c>
      <c r="B96" s="3" t="s">
        <v>259</v>
      </c>
      <c r="C96" s="3">
        <v>19.737894000000001</v>
      </c>
      <c r="D96" s="3">
        <v>-155.03405799999999</v>
      </c>
      <c r="E96" s="3" t="s">
        <v>358</v>
      </c>
      <c r="F96" s="14">
        <v>0.40277777777777779</v>
      </c>
      <c r="G96" s="14">
        <v>0.47847222222222224</v>
      </c>
      <c r="H96" s="3">
        <v>4</v>
      </c>
      <c r="I96" s="3">
        <v>60</v>
      </c>
      <c r="J96" s="3" t="s">
        <v>360</v>
      </c>
      <c r="K96" s="3">
        <v>10</v>
      </c>
      <c r="L96" s="3">
        <v>27</v>
      </c>
      <c r="M96" s="3" t="s">
        <v>361</v>
      </c>
      <c r="O96" s="3">
        <v>27</v>
      </c>
      <c r="AB96" s="3">
        <v>27</v>
      </c>
      <c r="AE96" s="3">
        <v>2</v>
      </c>
      <c r="AH96" s="3">
        <v>1</v>
      </c>
      <c r="BJ96" s="3">
        <v>11</v>
      </c>
      <c r="BL96" s="3">
        <v>31</v>
      </c>
      <c r="BM96" s="3">
        <v>21</v>
      </c>
      <c r="BP96" s="3">
        <v>3</v>
      </c>
      <c r="CF96" s="3"/>
      <c r="CG96" s="3">
        <v>1</v>
      </c>
      <c r="CN96" s="3">
        <v>5</v>
      </c>
      <c r="EC96" s="3">
        <v>18</v>
      </c>
      <c r="FA96" s="3">
        <v>7</v>
      </c>
      <c r="FE96" s="3">
        <v>2</v>
      </c>
      <c r="FQ96" s="3">
        <v>230</v>
      </c>
      <c r="FS96" s="3">
        <v>3</v>
      </c>
      <c r="FT96" s="3"/>
      <c r="FU96" s="3">
        <v>35</v>
      </c>
      <c r="GE96" s="3">
        <f t="shared" si="0"/>
        <v>15</v>
      </c>
      <c r="GF96" s="3">
        <f t="shared" si="1"/>
        <v>13</v>
      </c>
      <c r="GG96" s="3">
        <f t="shared" si="2"/>
        <v>9</v>
      </c>
      <c r="GH96" s="3">
        <f t="shared" si="3"/>
        <v>0.64121059461109842</v>
      </c>
      <c r="GI96" s="3">
        <f t="shared" si="4"/>
        <v>397</v>
      </c>
      <c r="GJ96" s="3">
        <f t="shared" si="5"/>
        <v>675</v>
      </c>
      <c r="GK96" s="3">
        <f t="shared" si="6"/>
        <v>278</v>
      </c>
    </row>
    <row r="97" spans="1:193" ht="13" x14ac:dyDescent="0.15">
      <c r="A97" s="13">
        <v>42838</v>
      </c>
      <c r="B97" s="3" t="s">
        <v>352</v>
      </c>
      <c r="C97" s="3">
        <v>21.7057</v>
      </c>
      <c r="D97" s="3">
        <v>-157.99569700000001</v>
      </c>
      <c r="E97" s="3" t="s">
        <v>353</v>
      </c>
      <c r="F97" s="14">
        <v>0.4375</v>
      </c>
      <c r="G97" s="14">
        <v>0.47916666666666669</v>
      </c>
      <c r="H97" s="3">
        <v>9</v>
      </c>
      <c r="I97" s="3">
        <v>16</v>
      </c>
      <c r="J97" s="3" t="s">
        <v>198</v>
      </c>
      <c r="K97" s="3">
        <v>10</v>
      </c>
      <c r="L97" s="3">
        <v>40</v>
      </c>
      <c r="M97" s="3" t="s">
        <v>363</v>
      </c>
      <c r="N97" s="3" t="s">
        <v>364</v>
      </c>
      <c r="O97" s="3">
        <v>40</v>
      </c>
      <c r="AH97" s="3">
        <v>1</v>
      </c>
      <c r="AM97" s="3">
        <v>1</v>
      </c>
      <c r="AT97" s="3">
        <v>1</v>
      </c>
      <c r="BL97" s="3">
        <v>4</v>
      </c>
      <c r="BM97" s="3">
        <v>2</v>
      </c>
      <c r="BU97" s="3">
        <v>1</v>
      </c>
      <c r="CB97" s="3">
        <v>8</v>
      </c>
      <c r="CC97" s="3">
        <v>3</v>
      </c>
      <c r="CR97" s="3">
        <v>7</v>
      </c>
      <c r="DL97" s="3">
        <v>9</v>
      </c>
      <c r="DT97" s="3"/>
      <c r="DU97" s="3">
        <v>6</v>
      </c>
      <c r="DY97" s="3">
        <v>2</v>
      </c>
      <c r="EI97" s="3">
        <v>344</v>
      </c>
      <c r="FA97" s="3">
        <v>2</v>
      </c>
      <c r="FG97" s="3">
        <v>2</v>
      </c>
      <c r="FP97" s="3">
        <v>25</v>
      </c>
      <c r="FQ97" s="3">
        <v>133</v>
      </c>
      <c r="FZ97" s="3">
        <v>3</v>
      </c>
      <c r="GE97" s="3">
        <f t="shared" si="0"/>
        <v>18</v>
      </c>
      <c r="GF97" s="3">
        <f t="shared" si="1"/>
        <v>14</v>
      </c>
      <c r="GG97" s="3">
        <f t="shared" si="2"/>
        <v>7</v>
      </c>
      <c r="GH97" s="3">
        <f t="shared" si="3"/>
        <v>0.5548403522630091</v>
      </c>
      <c r="GI97" s="3">
        <f t="shared" si="4"/>
        <v>554</v>
      </c>
      <c r="GJ97" s="3">
        <f t="shared" si="5"/>
        <v>1000</v>
      </c>
      <c r="GK97" s="3">
        <f t="shared" si="6"/>
        <v>446</v>
      </c>
    </row>
    <row r="98" spans="1:193" ht="13" x14ac:dyDescent="0.15">
      <c r="A98" s="13">
        <v>42844</v>
      </c>
      <c r="B98" s="3" t="s">
        <v>244</v>
      </c>
      <c r="C98" s="3">
        <v>21.310611999999999</v>
      </c>
      <c r="D98" s="3">
        <v>-158.00441000000001</v>
      </c>
      <c r="E98" s="3" t="s">
        <v>278</v>
      </c>
      <c r="F98" s="14">
        <v>0.38541666666666669</v>
      </c>
      <c r="G98" s="14">
        <v>0.46875</v>
      </c>
      <c r="H98" s="3">
        <v>6</v>
      </c>
      <c r="I98" s="3">
        <v>6</v>
      </c>
      <c r="J98" s="3" t="s">
        <v>198</v>
      </c>
      <c r="K98" s="3">
        <v>5</v>
      </c>
      <c r="L98" s="3">
        <v>24</v>
      </c>
      <c r="M98" s="3" t="s">
        <v>365</v>
      </c>
      <c r="N98" s="3" t="s">
        <v>295</v>
      </c>
      <c r="O98" s="3">
        <v>24</v>
      </c>
      <c r="Q98" s="3">
        <v>9</v>
      </c>
      <c r="AD98" s="3">
        <v>2</v>
      </c>
      <c r="AH98" s="3">
        <v>8</v>
      </c>
      <c r="AV98" s="3">
        <v>2</v>
      </c>
      <c r="AZ98" s="3"/>
      <c r="BA98" s="3">
        <v>1</v>
      </c>
      <c r="BL98" s="3">
        <v>2</v>
      </c>
      <c r="BU98" s="3">
        <v>3</v>
      </c>
      <c r="BY98" s="3">
        <v>95</v>
      </c>
      <c r="DE98" s="3"/>
      <c r="DF98" s="3">
        <v>4</v>
      </c>
      <c r="DL98" s="3">
        <v>30</v>
      </c>
      <c r="DQ98" s="3"/>
      <c r="DR98" s="3">
        <v>1</v>
      </c>
      <c r="EB98" s="3">
        <v>3</v>
      </c>
      <c r="EI98" s="3">
        <v>288</v>
      </c>
      <c r="EW98" s="3">
        <v>1</v>
      </c>
      <c r="FE98" s="3">
        <v>1</v>
      </c>
      <c r="FH98" s="3">
        <v>33</v>
      </c>
      <c r="FQ98" s="3">
        <v>20</v>
      </c>
      <c r="FT98" s="3"/>
      <c r="FU98" s="3">
        <v>1</v>
      </c>
      <c r="GE98" s="3">
        <f t="shared" si="0"/>
        <v>18</v>
      </c>
      <c r="GF98" s="3">
        <f t="shared" si="1"/>
        <v>13</v>
      </c>
      <c r="GG98" s="3">
        <f t="shared" si="2"/>
        <v>7</v>
      </c>
      <c r="GH98" s="3">
        <f t="shared" si="3"/>
        <v>0.6290116444191991</v>
      </c>
      <c r="GI98" s="3">
        <f t="shared" si="4"/>
        <v>504</v>
      </c>
      <c r="GJ98" s="3">
        <f t="shared" si="5"/>
        <v>600</v>
      </c>
      <c r="GK98" s="3">
        <f t="shared" si="6"/>
        <v>96</v>
      </c>
    </row>
    <row r="99" spans="1:193" ht="13" x14ac:dyDescent="0.15">
      <c r="A99" s="13">
        <v>42844</v>
      </c>
      <c r="B99" s="3" t="s">
        <v>369</v>
      </c>
      <c r="C99" s="3">
        <v>21.888725000000001</v>
      </c>
      <c r="D99" s="3">
        <v>-159.41641200000001</v>
      </c>
      <c r="E99" s="3" t="s">
        <v>321</v>
      </c>
      <c r="F99" s="14">
        <v>0.35416666666666669</v>
      </c>
      <c r="G99" s="14">
        <v>0.5</v>
      </c>
      <c r="H99" s="3">
        <v>5</v>
      </c>
      <c r="I99" s="3">
        <v>18</v>
      </c>
      <c r="J99" s="3" t="s">
        <v>217</v>
      </c>
      <c r="K99" s="3">
        <v>5</v>
      </c>
      <c r="L99" s="3">
        <v>19</v>
      </c>
      <c r="M99" s="3" t="s">
        <v>370</v>
      </c>
      <c r="O99" s="3">
        <v>19</v>
      </c>
      <c r="AA99" s="3">
        <v>26</v>
      </c>
      <c r="AH99" s="3">
        <v>1</v>
      </c>
      <c r="AM99" s="3">
        <v>5</v>
      </c>
      <c r="BG99" s="3">
        <v>12</v>
      </c>
      <c r="BN99" s="3"/>
      <c r="BO99" s="3">
        <v>2</v>
      </c>
      <c r="BU99" s="3">
        <v>4</v>
      </c>
      <c r="BY99" s="3">
        <v>28</v>
      </c>
      <c r="CR99" s="3">
        <v>1</v>
      </c>
      <c r="DQ99" s="3"/>
      <c r="DR99" s="3">
        <v>30</v>
      </c>
      <c r="DT99" s="3"/>
      <c r="DU99" s="3">
        <v>45</v>
      </c>
      <c r="EI99" s="3">
        <v>73</v>
      </c>
      <c r="FH99" s="3">
        <v>7</v>
      </c>
      <c r="FQ99" s="3">
        <v>150</v>
      </c>
      <c r="GE99" s="3">
        <f t="shared" si="0"/>
        <v>13</v>
      </c>
      <c r="GF99" s="3">
        <f t="shared" si="1"/>
        <v>11</v>
      </c>
      <c r="GG99" s="3">
        <f t="shared" si="2"/>
        <v>9</v>
      </c>
      <c r="GH99" s="3">
        <f t="shared" si="3"/>
        <v>0.78194353785900783</v>
      </c>
      <c r="GI99" s="3">
        <f t="shared" si="4"/>
        <v>384</v>
      </c>
      <c r="GJ99" s="3">
        <f t="shared" si="5"/>
        <v>475</v>
      </c>
      <c r="GK99" s="3">
        <f t="shared" si="6"/>
        <v>91</v>
      </c>
    </row>
    <row r="100" spans="1:193" ht="13" x14ac:dyDescent="0.15">
      <c r="A100" s="13">
        <v>42850</v>
      </c>
      <c r="B100" s="3" t="s">
        <v>244</v>
      </c>
      <c r="C100" s="3">
        <v>21.310611999999999</v>
      </c>
      <c r="D100" s="3">
        <v>-158.00441000000001</v>
      </c>
      <c r="E100" s="3" t="s">
        <v>326</v>
      </c>
      <c r="F100" s="14">
        <v>0.39583333333333331</v>
      </c>
      <c r="G100" s="14">
        <v>0.45833333333333331</v>
      </c>
      <c r="H100" s="3">
        <v>7</v>
      </c>
      <c r="I100" s="3">
        <v>10</v>
      </c>
      <c r="J100" s="3" t="s">
        <v>318</v>
      </c>
      <c r="K100" s="3">
        <v>5</v>
      </c>
      <c r="L100" s="3">
        <v>34</v>
      </c>
      <c r="M100" s="3" t="s">
        <v>371</v>
      </c>
      <c r="O100" s="3">
        <v>34</v>
      </c>
      <c r="Q100" s="3">
        <v>14</v>
      </c>
      <c r="AA100" s="3">
        <v>1</v>
      </c>
      <c r="AB100" s="3">
        <v>14</v>
      </c>
      <c r="AD100" s="3">
        <v>7</v>
      </c>
      <c r="AH100" s="3">
        <v>1</v>
      </c>
      <c r="AL100" s="3">
        <v>2</v>
      </c>
      <c r="AM100" s="3">
        <v>11</v>
      </c>
      <c r="AS100" s="3">
        <v>1</v>
      </c>
      <c r="AZ100" s="3"/>
      <c r="BA100" s="3">
        <v>3</v>
      </c>
      <c r="BL100" s="3">
        <v>1</v>
      </c>
      <c r="BU100" s="3">
        <v>60</v>
      </c>
      <c r="BY100" s="3">
        <v>53</v>
      </c>
      <c r="CO100" s="3"/>
      <c r="CP100" s="3"/>
      <c r="CQ100" s="3">
        <v>4</v>
      </c>
      <c r="CV100" s="3"/>
      <c r="CW100" s="3"/>
      <c r="CX100" s="3">
        <v>2</v>
      </c>
      <c r="DE100" s="3"/>
      <c r="DF100" s="3">
        <v>12</v>
      </c>
      <c r="DL100" s="3">
        <v>22</v>
      </c>
      <c r="DN100" s="3">
        <v>2</v>
      </c>
      <c r="DT100" s="3"/>
      <c r="DU100" s="3">
        <v>9</v>
      </c>
      <c r="EI100" s="3">
        <v>293</v>
      </c>
      <c r="EJ100" s="3">
        <v>28</v>
      </c>
      <c r="EN100" s="3">
        <v>14</v>
      </c>
      <c r="FA100" s="3">
        <v>10</v>
      </c>
      <c r="FQ100" s="3">
        <v>87</v>
      </c>
      <c r="FT100" s="3"/>
      <c r="FU100" s="3">
        <v>1</v>
      </c>
      <c r="GE100" s="3">
        <f t="shared" si="0"/>
        <v>24</v>
      </c>
      <c r="GF100" s="3">
        <f t="shared" si="1"/>
        <v>19</v>
      </c>
      <c r="GG100" s="3">
        <f t="shared" si="2"/>
        <v>14</v>
      </c>
      <c r="GH100" s="3">
        <f t="shared" si="3"/>
        <v>0.76070792457097625</v>
      </c>
      <c r="GI100" s="3">
        <f t="shared" si="4"/>
        <v>652</v>
      </c>
      <c r="GJ100" s="3">
        <f t="shared" si="5"/>
        <v>850</v>
      </c>
      <c r="GK100" s="3">
        <f t="shared" si="6"/>
        <v>198</v>
      </c>
    </row>
    <row r="101" spans="1:193" ht="13" x14ac:dyDescent="0.15">
      <c r="A101" s="13">
        <v>42850</v>
      </c>
      <c r="B101" s="3" t="s">
        <v>250</v>
      </c>
      <c r="C101" s="3">
        <v>21.410399999999999</v>
      </c>
      <c r="D101" s="3">
        <v>-158.17770400000001</v>
      </c>
      <c r="E101" s="3" t="s">
        <v>372</v>
      </c>
      <c r="F101" s="14">
        <v>0.3888888888888889</v>
      </c>
      <c r="G101" s="14">
        <v>0.47916666666666669</v>
      </c>
      <c r="H101" s="3">
        <v>6</v>
      </c>
      <c r="I101" s="3">
        <v>20</v>
      </c>
      <c r="J101" s="3" t="s">
        <v>198</v>
      </c>
      <c r="K101" s="3">
        <v>5</v>
      </c>
      <c r="L101" s="3">
        <v>23</v>
      </c>
      <c r="M101" s="3" t="s">
        <v>373</v>
      </c>
      <c r="O101" s="3">
        <v>23</v>
      </c>
      <c r="Q101" s="3">
        <v>104</v>
      </c>
      <c r="AB101" s="3">
        <v>1</v>
      </c>
      <c r="BR101" s="3">
        <v>3</v>
      </c>
      <c r="BY101" s="3">
        <v>42</v>
      </c>
      <c r="CB101" s="3">
        <v>2</v>
      </c>
      <c r="CJ101" s="3">
        <v>96</v>
      </c>
      <c r="CM101" s="3">
        <v>6</v>
      </c>
      <c r="CN101" s="3">
        <v>5</v>
      </c>
      <c r="DE101" s="3"/>
      <c r="DF101" s="3">
        <v>12</v>
      </c>
      <c r="DI101" s="3">
        <v>3</v>
      </c>
      <c r="DK101" s="3">
        <v>1</v>
      </c>
      <c r="DL101" s="3">
        <v>33</v>
      </c>
      <c r="DQ101" s="3"/>
      <c r="DR101" s="3">
        <v>5</v>
      </c>
      <c r="EJ101" s="3">
        <v>13</v>
      </c>
      <c r="EW101" s="3">
        <v>55</v>
      </c>
      <c r="EX101" s="3">
        <v>1</v>
      </c>
      <c r="FP101" s="3">
        <v>1</v>
      </c>
      <c r="FQ101" s="3">
        <v>160</v>
      </c>
      <c r="FZ101" s="3">
        <v>1</v>
      </c>
      <c r="GC101" s="3">
        <v>2</v>
      </c>
      <c r="GE101" s="3">
        <f t="shared" si="0"/>
        <v>20</v>
      </c>
      <c r="GF101" s="3">
        <f t="shared" si="1"/>
        <v>15</v>
      </c>
      <c r="GG101" s="3">
        <f t="shared" si="2"/>
        <v>11</v>
      </c>
      <c r="GH101" s="3">
        <f t="shared" si="3"/>
        <v>0.82728769701246763</v>
      </c>
      <c r="GI101" s="3">
        <f t="shared" si="4"/>
        <v>546</v>
      </c>
      <c r="GJ101" s="3">
        <f t="shared" si="5"/>
        <v>575</v>
      </c>
      <c r="GK101" s="3">
        <f t="shared" si="6"/>
        <v>29</v>
      </c>
    </row>
    <row r="102" spans="1:193" ht="13" x14ac:dyDescent="0.15">
      <c r="A102" s="13">
        <v>42850</v>
      </c>
      <c r="B102" s="3" t="s">
        <v>374</v>
      </c>
      <c r="C102" s="3">
        <v>20.738001000000001</v>
      </c>
      <c r="D102" s="3">
        <v>-156.895004</v>
      </c>
      <c r="E102" s="3" t="s">
        <v>375</v>
      </c>
      <c r="F102" s="14">
        <v>0.40625</v>
      </c>
      <c r="G102" s="14">
        <v>0.46875</v>
      </c>
      <c r="H102" s="3">
        <v>5</v>
      </c>
      <c r="I102" s="3">
        <v>20</v>
      </c>
      <c r="J102" s="3" t="s">
        <v>318</v>
      </c>
      <c r="K102" s="3">
        <v>5</v>
      </c>
      <c r="L102" s="3">
        <v>20</v>
      </c>
      <c r="M102" s="3" t="s">
        <v>376</v>
      </c>
      <c r="O102" s="3">
        <v>20</v>
      </c>
      <c r="Q102" s="3">
        <v>7</v>
      </c>
      <c r="R102" s="3">
        <v>3</v>
      </c>
      <c r="AA102" s="3">
        <v>19</v>
      </c>
      <c r="AC102" s="3">
        <v>1</v>
      </c>
      <c r="AG102" s="3">
        <v>10</v>
      </c>
      <c r="AL102" s="3">
        <v>7</v>
      </c>
      <c r="AY102" s="3">
        <v>6</v>
      </c>
      <c r="BD102" s="3">
        <v>5</v>
      </c>
      <c r="BL102" s="3">
        <v>35</v>
      </c>
      <c r="BU102" s="3">
        <v>2</v>
      </c>
      <c r="BV102" s="3">
        <v>2</v>
      </c>
      <c r="BX102" s="3">
        <v>3</v>
      </c>
      <c r="BY102" s="3">
        <v>10</v>
      </c>
      <c r="CB102" s="3">
        <v>20</v>
      </c>
      <c r="CO102" s="3">
        <v>1</v>
      </c>
      <c r="CY102" s="3">
        <v>15</v>
      </c>
      <c r="DA102" s="3">
        <v>3</v>
      </c>
      <c r="DE102" s="3"/>
      <c r="DF102" s="3">
        <v>5</v>
      </c>
      <c r="DI102" s="3">
        <v>5</v>
      </c>
      <c r="DO102" s="3">
        <v>5</v>
      </c>
      <c r="DV102" s="3">
        <v>2</v>
      </c>
      <c r="EC102" s="3">
        <v>23</v>
      </c>
      <c r="EI102" s="3">
        <v>21</v>
      </c>
      <c r="EY102" s="3">
        <v>4</v>
      </c>
      <c r="FA102" s="3">
        <v>18</v>
      </c>
      <c r="FE102" s="3">
        <v>1</v>
      </c>
      <c r="FP102" s="3">
        <v>1</v>
      </c>
      <c r="FQ102" s="3">
        <v>55</v>
      </c>
      <c r="GE102" s="3">
        <f t="shared" si="0"/>
        <v>28</v>
      </c>
      <c r="GF102" s="3">
        <f t="shared" si="1"/>
        <v>24</v>
      </c>
      <c r="GG102" s="3">
        <f t="shared" si="2"/>
        <v>17</v>
      </c>
      <c r="GH102" s="3">
        <f t="shared" si="3"/>
        <v>0.91909361783929255</v>
      </c>
      <c r="GI102" s="3">
        <f t="shared" si="4"/>
        <v>289</v>
      </c>
      <c r="GJ102" s="3">
        <f t="shared" si="5"/>
        <v>500</v>
      </c>
      <c r="GK102" s="3">
        <f t="shared" si="6"/>
        <v>211</v>
      </c>
    </row>
    <row r="103" spans="1:193" ht="13" x14ac:dyDescent="0.15">
      <c r="A103" s="13">
        <v>42851</v>
      </c>
      <c r="B103" s="3" t="s">
        <v>369</v>
      </c>
      <c r="C103" s="3">
        <v>21.888725000000001</v>
      </c>
      <c r="D103" s="3">
        <v>-159.41641200000001</v>
      </c>
      <c r="E103" s="3" t="s">
        <v>321</v>
      </c>
      <c r="F103" s="14">
        <v>0.375</v>
      </c>
      <c r="G103" s="14">
        <v>0.5625</v>
      </c>
      <c r="H103" s="3">
        <v>5</v>
      </c>
      <c r="I103" s="3">
        <v>10</v>
      </c>
      <c r="J103" s="3" t="s">
        <v>217</v>
      </c>
      <c r="K103" s="3">
        <v>5</v>
      </c>
      <c r="L103" s="3">
        <v>23</v>
      </c>
      <c r="M103" s="3" t="s">
        <v>380</v>
      </c>
      <c r="O103" s="3">
        <v>23</v>
      </c>
      <c r="AA103" s="3">
        <v>78</v>
      </c>
      <c r="AB103" s="3">
        <v>1</v>
      </c>
      <c r="AG103" s="3">
        <v>1</v>
      </c>
      <c r="AH103" s="3">
        <v>5</v>
      </c>
      <c r="AZ103" s="3"/>
      <c r="BA103" s="3">
        <v>4</v>
      </c>
      <c r="BG103" s="3">
        <v>5</v>
      </c>
      <c r="BL103" s="3">
        <v>28</v>
      </c>
      <c r="BN103" s="3"/>
      <c r="BO103" s="3">
        <v>1</v>
      </c>
      <c r="BU103" s="3">
        <v>10</v>
      </c>
      <c r="BY103" s="3">
        <v>6</v>
      </c>
      <c r="CR103" s="3">
        <v>9</v>
      </c>
      <c r="DE103" s="3"/>
      <c r="DF103" s="3">
        <v>5</v>
      </c>
      <c r="DL103" s="3">
        <v>27</v>
      </c>
      <c r="DQ103" s="3"/>
      <c r="DR103" s="3">
        <v>33</v>
      </c>
      <c r="DT103" s="3"/>
      <c r="DU103" s="3">
        <v>52</v>
      </c>
      <c r="EI103" s="3">
        <v>50</v>
      </c>
      <c r="FA103" s="3">
        <v>9</v>
      </c>
      <c r="FH103" s="3">
        <v>1</v>
      </c>
      <c r="FQ103" s="3">
        <v>112</v>
      </c>
      <c r="GE103" s="3">
        <f t="shared" si="0"/>
        <v>19</v>
      </c>
      <c r="GF103" s="3">
        <f t="shared" si="1"/>
        <v>15</v>
      </c>
      <c r="GG103" s="3">
        <f t="shared" si="2"/>
        <v>14</v>
      </c>
      <c r="GH103" s="3">
        <f t="shared" si="3"/>
        <v>0.86149308252681966</v>
      </c>
      <c r="GI103" s="3">
        <f t="shared" si="4"/>
        <v>437</v>
      </c>
      <c r="GJ103" s="3">
        <f t="shared" si="5"/>
        <v>575</v>
      </c>
      <c r="GK103" s="3">
        <f t="shared" si="6"/>
        <v>138</v>
      </c>
    </row>
    <row r="104" spans="1:193" ht="13" x14ac:dyDescent="0.15">
      <c r="A104" s="13">
        <v>42851</v>
      </c>
      <c r="B104" s="3" t="s">
        <v>340</v>
      </c>
      <c r="C104" s="3">
        <v>19.643276</v>
      </c>
      <c r="D104" s="3">
        <v>-156.01019299999999</v>
      </c>
      <c r="E104" s="3" t="s">
        <v>381</v>
      </c>
      <c r="F104" s="14">
        <v>0.38541666666666669</v>
      </c>
      <c r="G104" s="14">
        <v>0.45833333333333331</v>
      </c>
      <c r="H104" s="3">
        <v>7</v>
      </c>
      <c r="I104" s="3">
        <v>21</v>
      </c>
      <c r="J104" s="3" t="s">
        <v>198</v>
      </c>
      <c r="K104" s="3">
        <v>11</v>
      </c>
      <c r="L104" s="3">
        <v>75</v>
      </c>
      <c r="M104" s="3" t="s">
        <v>382</v>
      </c>
      <c r="O104" s="3">
        <v>75</v>
      </c>
      <c r="S104" s="3">
        <v>1</v>
      </c>
      <c r="AF104" s="3">
        <v>1</v>
      </c>
      <c r="AL104" s="3">
        <v>12</v>
      </c>
      <c r="BL104" s="3">
        <v>25</v>
      </c>
      <c r="BQ104" s="3">
        <v>1</v>
      </c>
      <c r="CB104" s="3">
        <v>16</v>
      </c>
      <c r="EI104" s="3">
        <v>11</v>
      </c>
      <c r="EY104" s="3">
        <v>3</v>
      </c>
      <c r="FE104" s="3">
        <v>1</v>
      </c>
      <c r="FL104" s="3">
        <v>5</v>
      </c>
      <c r="FP104" s="3">
        <v>680</v>
      </c>
      <c r="FQ104" s="3">
        <v>920</v>
      </c>
      <c r="FZ104" s="3">
        <v>1</v>
      </c>
      <c r="GE104" s="3">
        <f t="shared" si="0"/>
        <v>13</v>
      </c>
      <c r="GF104" s="3">
        <f t="shared" si="1"/>
        <v>8</v>
      </c>
      <c r="GG104" s="3">
        <f t="shared" si="2"/>
        <v>7</v>
      </c>
      <c r="GH104" s="3">
        <f t="shared" si="3"/>
        <v>0.5345179694960458</v>
      </c>
      <c r="GI104" s="3">
        <f t="shared" si="4"/>
        <v>1677</v>
      </c>
      <c r="GJ104" s="3">
        <f t="shared" si="5"/>
        <v>1875</v>
      </c>
      <c r="GK104" s="3">
        <f t="shared" si="6"/>
        <v>198</v>
      </c>
    </row>
    <row r="105" spans="1:193" ht="13" x14ac:dyDescent="0.15">
      <c r="A105" s="13">
        <v>42851</v>
      </c>
      <c r="B105" s="3" t="s">
        <v>293</v>
      </c>
      <c r="C105" s="3">
        <v>19.738602</v>
      </c>
      <c r="D105" s="3">
        <v>-155.03887900000001</v>
      </c>
      <c r="E105" s="3" t="s">
        <v>383</v>
      </c>
      <c r="F105" s="14">
        <v>0.39930555555555558</v>
      </c>
      <c r="G105" s="14">
        <v>0.4548611111111111</v>
      </c>
      <c r="H105" s="3">
        <v>5</v>
      </c>
      <c r="I105" s="3">
        <v>22</v>
      </c>
      <c r="J105" s="3" t="s">
        <v>198</v>
      </c>
      <c r="K105" s="3">
        <v>6</v>
      </c>
      <c r="L105" s="3">
        <v>28</v>
      </c>
      <c r="M105" s="3" t="s">
        <v>384</v>
      </c>
      <c r="O105" s="3">
        <v>28</v>
      </c>
      <c r="BJ105" s="3">
        <v>12</v>
      </c>
      <c r="BL105" s="3">
        <v>222</v>
      </c>
      <c r="CB105" s="3">
        <v>5</v>
      </c>
      <c r="CN105" s="3">
        <v>2</v>
      </c>
      <c r="EI105" s="3">
        <v>4</v>
      </c>
      <c r="EO105" s="3">
        <v>1</v>
      </c>
      <c r="FQ105" s="3">
        <v>377</v>
      </c>
      <c r="FR105" s="3">
        <v>5</v>
      </c>
      <c r="GE105" s="3">
        <f t="shared" si="0"/>
        <v>8</v>
      </c>
      <c r="GF105" s="3">
        <f t="shared" si="1"/>
        <v>7</v>
      </c>
      <c r="GG105" s="3">
        <f t="shared" si="2"/>
        <v>5</v>
      </c>
      <c r="GH105" s="3">
        <f t="shared" si="3"/>
        <v>0.51492802649356451</v>
      </c>
      <c r="GI105" s="3">
        <f t="shared" si="4"/>
        <v>628</v>
      </c>
      <c r="GJ105" s="3">
        <f t="shared" si="5"/>
        <v>700</v>
      </c>
      <c r="GK105" s="3">
        <f t="shared" si="6"/>
        <v>72</v>
      </c>
    </row>
    <row r="106" spans="1:193" ht="13" x14ac:dyDescent="0.15">
      <c r="A106" s="13">
        <v>42851</v>
      </c>
      <c r="B106" s="3" t="s">
        <v>216</v>
      </c>
      <c r="C106" s="3">
        <v>21.3002</v>
      </c>
      <c r="D106" s="3">
        <v>-157.882599</v>
      </c>
      <c r="E106" s="3" t="s">
        <v>385</v>
      </c>
      <c r="F106" s="14">
        <v>0.40277777777777779</v>
      </c>
      <c r="G106" s="14">
        <v>0.44791666666666669</v>
      </c>
      <c r="H106" s="3">
        <v>7</v>
      </c>
      <c r="I106" s="3">
        <v>16</v>
      </c>
      <c r="J106" s="3" t="s">
        <v>217</v>
      </c>
      <c r="K106" s="3">
        <v>5</v>
      </c>
      <c r="L106" s="3">
        <v>28</v>
      </c>
      <c r="M106" s="3" t="s">
        <v>386</v>
      </c>
      <c r="N106" s="3" t="s">
        <v>387</v>
      </c>
      <c r="O106" s="3">
        <v>28</v>
      </c>
      <c r="AA106" s="3">
        <v>2</v>
      </c>
      <c r="AL106" s="3">
        <v>39</v>
      </c>
      <c r="BL106" s="3">
        <v>28</v>
      </c>
      <c r="BV106" s="3">
        <v>2</v>
      </c>
      <c r="CB106" s="3">
        <v>15</v>
      </c>
      <c r="CC106" s="3">
        <v>7</v>
      </c>
      <c r="DH106" s="3">
        <v>1</v>
      </c>
      <c r="DN106" s="3">
        <v>4</v>
      </c>
      <c r="DQ106" s="3"/>
      <c r="DR106" s="3">
        <v>2</v>
      </c>
      <c r="EB106" s="3">
        <v>2</v>
      </c>
      <c r="EI106" s="3">
        <v>17</v>
      </c>
      <c r="FH106" s="3">
        <v>5</v>
      </c>
      <c r="FQ106" s="3">
        <v>285</v>
      </c>
      <c r="GE106" s="3">
        <f t="shared" si="0"/>
        <v>13</v>
      </c>
      <c r="GF106" s="3">
        <f t="shared" si="1"/>
        <v>12</v>
      </c>
      <c r="GG106" s="3">
        <f t="shared" si="2"/>
        <v>7</v>
      </c>
      <c r="GH106" s="3">
        <f t="shared" si="3"/>
        <v>0.49816625916870416</v>
      </c>
      <c r="GI106" s="3">
        <f t="shared" si="4"/>
        <v>409</v>
      </c>
      <c r="GJ106" s="3">
        <f t="shared" si="5"/>
        <v>700</v>
      </c>
      <c r="GK106" s="3">
        <f t="shared" si="6"/>
        <v>291</v>
      </c>
    </row>
    <row r="107" spans="1:193" ht="13" x14ac:dyDescent="0.15">
      <c r="A107" s="13">
        <v>42852</v>
      </c>
      <c r="B107" s="3" t="s">
        <v>293</v>
      </c>
      <c r="C107" s="3">
        <v>19.738602</v>
      </c>
      <c r="D107" s="3">
        <v>-155.03887900000001</v>
      </c>
      <c r="F107" s="14">
        <v>0.3611111111111111</v>
      </c>
      <c r="G107" s="14">
        <v>0.45833333333333331</v>
      </c>
      <c r="H107" s="3">
        <v>3</v>
      </c>
      <c r="I107" s="3">
        <v>10</v>
      </c>
      <c r="J107" s="3" t="s">
        <v>198</v>
      </c>
      <c r="K107" s="3">
        <v>5</v>
      </c>
      <c r="L107" s="3">
        <v>8</v>
      </c>
      <c r="M107" s="3" t="s">
        <v>388</v>
      </c>
      <c r="N107" s="3" t="s">
        <v>295</v>
      </c>
      <c r="O107" s="3">
        <v>8</v>
      </c>
      <c r="BJ107" s="3">
        <v>3</v>
      </c>
      <c r="BL107" s="3">
        <v>3</v>
      </c>
      <c r="CB107" s="3">
        <v>3</v>
      </c>
      <c r="CN107" s="3">
        <v>6</v>
      </c>
      <c r="DL107" s="3">
        <v>5</v>
      </c>
      <c r="DQ107" s="3">
        <v>4</v>
      </c>
      <c r="ES107" s="3"/>
      <c r="ET107" s="3"/>
      <c r="EU107" s="3">
        <v>5</v>
      </c>
      <c r="FA107" s="3">
        <v>10</v>
      </c>
      <c r="FQ107" s="3">
        <v>60</v>
      </c>
      <c r="FT107" s="3"/>
      <c r="FU107" s="3">
        <v>15</v>
      </c>
      <c r="GE107" s="3">
        <f t="shared" si="0"/>
        <v>10</v>
      </c>
      <c r="GF107" s="3">
        <f t="shared" si="1"/>
        <v>10</v>
      </c>
      <c r="GG107" s="3">
        <f t="shared" si="2"/>
        <v>6</v>
      </c>
      <c r="GH107" s="3">
        <f t="shared" si="3"/>
        <v>0.69414687160378818</v>
      </c>
      <c r="GI107" s="3">
        <f t="shared" si="4"/>
        <v>114</v>
      </c>
      <c r="GJ107" s="3">
        <f t="shared" si="5"/>
        <v>200</v>
      </c>
      <c r="GK107" s="3">
        <f t="shared" si="6"/>
        <v>86</v>
      </c>
    </row>
    <row r="108" spans="1:193" ht="13" x14ac:dyDescent="0.15">
      <c r="A108" s="13">
        <v>42852</v>
      </c>
      <c r="B108" s="3" t="s">
        <v>201</v>
      </c>
      <c r="C108" s="3">
        <v>21.25544</v>
      </c>
      <c r="D108" s="3">
        <v>-157.810303</v>
      </c>
      <c r="E108" s="3" t="s">
        <v>389</v>
      </c>
      <c r="F108" s="14">
        <v>0.37847222222222221</v>
      </c>
      <c r="G108" s="14">
        <v>0.4236111111111111</v>
      </c>
      <c r="H108" s="3">
        <v>7</v>
      </c>
      <c r="I108" s="3">
        <v>12</v>
      </c>
      <c r="J108" s="3" t="s">
        <v>198</v>
      </c>
      <c r="K108" s="3">
        <v>6</v>
      </c>
      <c r="L108" s="3">
        <v>31</v>
      </c>
      <c r="M108" s="3" t="s">
        <v>390</v>
      </c>
      <c r="O108" s="3">
        <v>31</v>
      </c>
      <c r="AE108" s="3">
        <v>1</v>
      </c>
      <c r="AY108" s="3">
        <v>15</v>
      </c>
      <c r="BU108" s="3">
        <v>5</v>
      </c>
      <c r="BY108" s="3">
        <v>6</v>
      </c>
      <c r="DE108" s="3"/>
      <c r="DF108" s="3">
        <v>9</v>
      </c>
      <c r="DR108" s="3">
        <v>27</v>
      </c>
      <c r="EI108" s="3">
        <v>252</v>
      </c>
      <c r="FA108" s="3">
        <v>26</v>
      </c>
      <c r="FC108" s="3"/>
      <c r="FD108" s="3">
        <v>2</v>
      </c>
      <c r="FP108" s="3">
        <v>53</v>
      </c>
      <c r="FQ108" s="3">
        <v>178</v>
      </c>
      <c r="GE108" s="3">
        <f t="shared" si="0"/>
        <v>11</v>
      </c>
      <c r="GF108" s="3">
        <f t="shared" si="1"/>
        <v>10</v>
      </c>
      <c r="GG108" s="3">
        <f t="shared" si="2"/>
        <v>9</v>
      </c>
      <c r="GH108" s="3">
        <f t="shared" si="3"/>
        <v>0.6983904020042444</v>
      </c>
      <c r="GI108" s="3">
        <f t="shared" si="4"/>
        <v>574</v>
      </c>
      <c r="GJ108" s="3">
        <f t="shared" si="5"/>
        <v>775</v>
      </c>
      <c r="GK108" s="3">
        <f t="shared" si="6"/>
        <v>201</v>
      </c>
    </row>
    <row r="109" spans="1:193" ht="13" x14ac:dyDescent="0.15">
      <c r="A109" s="13">
        <v>42853</v>
      </c>
      <c r="B109" s="3" t="s">
        <v>374</v>
      </c>
      <c r="C109" s="3">
        <v>20.738001000000001</v>
      </c>
      <c r="D109" s="3">
        <v>-156.895004</v>
      </c>
      <c r="E109" s="3" t="s">
        <v>391</v>
      </c>
      <c r="F109" s="14">
        <v>0.47083333333333333</v>
      </c>
      <c r="G109" s="14">
        <v>0.49861111111111112</v>
      </c>
      <c r="H109" s="3">
        <v>2</v>
      </c>
      <c r="I109" s="3">
        <v>25</v>
      </c>
      <c r="J109" s="3" t="s">
        <v>198</v>
      </c>
      <c r="K109" s="3">
        <v>13</v>
      </c>
      <c r="L109" s="3">
        <v>11</v>
      </c>
      <c r="M109" s="3" t="s">
        <v>392</v>
      </c>
      <c r="O109" s="3">
        <v>11</v>
      </c>
      <c r="BL109" s="3">
        <v>60</v>
      </c>
      <c r="CF109" s="3"/>
      <c r="CG109" s="3">
        <v>7</v>
      </c>
      <c r="CT109" s="3">
        <v>1</v>
      </c>
      <c r="EI109" s="3">
        <v>8</v>
      </c>
      <c r="FL109" s="3">
        <v>2</v>
      </c>
      <c r="FQ109" s="3">
        <v>73</v>
      </c>
      <c r="FS109" s="3">
        <v>16</v>
      </c>
      <c r="GE109" s="3">
        <f t="shared" si="0"/>
        <v>7</v>
      </c>
      <c r="GF109" s="3">
        <f t="shared" si="1"/>
        <v>6</v>
      </c>
      <c r="GG109" s="3">
        <f t="shared" si="2"/>
        <v>5</v>
      </c>
      <c r="GH109" s="3">
        <f t="shared" si="3"/>
        <v>0.67044224803405239</v>
      </c>
      <c r="GI109" s="3">
        <f t="shared" si="4"/>
        <v>167</v>
      </c>
      <c r="GJ109" s="3">
        <f t="shared" si="5"/>
        <v>275</v>
      </c>
      <c r="GK109" s="3">
        <f t="shared" si="6"/>
        <v>108</v>
      </c>
    </row>
    <row r="110" spans="1:193" ht="13" x14ac:dyDescent="0.15">
      <c r="A110" s="13">
        <v>42860</v>
      </c>
      <c r="B110" s="3" t="s">
        <v>244</v>
      </c>
      <c r="C110" s="3">
        <v>21.310611999999999</v>
      </c>
      <c r="D110" s="3">
        <v>-158.00441000000001</v>
      </c>
      <c r="E110" s="3" t="s">
        <v>278</v>
      </c>
      <c r="F110" s="14">
        <v>0.38541666666666669</v>
      </c>
      <c r="G110" s="14">
        <v>0.45833333333333331</v>
      </c>
      <c r="H110" s="3">
        <v>6</v>
      </c>
      <c r="I110" s="3">
        <v>12</v>
      </c>
      <c r="J110" s="3" t="s">
        <v>198</v>
      </c>
      <c r="K110" s="3">
        <v>5</v>
      </c>
      <c r="L110" s="3">
        <v>25</v>
      </c>
      <c r="M110" s="3" t="s">
        <v>393</v>
      </c>
      <c r="O110" s="3">
        <v>25</v>
      </c>
      <c r="Q110" s="3">
        <v>2</v>
      </c>
      <c r="AA110" s="3">
        <v>2</v>
      </c>
      <c r="AB110" s="3">
        <v>4</v>
      </c>
      <c r="AD110" s="3">
        <v>4</v>
      </c>
      <c r="AH110" s="3">
        <v>1</v>
      </c>
      <c r="AZ110" s="3"/>
      <c r="BA110" s="3">
        <v>1</v>
      </c>
      <c r="BD110" s="3">
        <v>1</v>
      </c>
      <c r="BE110" s="3">
        <v>1</v>
      </c>
      <c r="BL110" s="3">
        <v>30</v>
      </c>
      <c r="BR110" s="3">
        <v>3</v>
      </c>
      <c r="BU110" s="3">
        <v>2</v>
      </c>
      <c r="BY110" s="3">
        <v>54</v>
      </c>
      <c r="CR110" s="3">
        <v>5</v>
      </c>
      <c r="DE110" s="3"/>
      <c r="DF110" s="3">
        <v>3</v>
      </c>
      <c r="DL110" s="3">
        <v>27</v>
      </c>
      <c r="DN110" s="3">
        <v>5</v>
      </c>
      <c r="DT110" s="3"/>
      <c r="DU110" s="3">
        <v>1</v>
      </c>
      <c r="EI110" s="3">
        <v>305</v>
      </c>
      <c r="FH110" s="3">
        <v>24</v>
      </c>
      <c r="FM110" s="3">
        <v>1</v>
      </c>
      <c r="FQ110" s="3">
        <v>40</v>
      </c>
      <c r="GE110" s="3">
        <f t="shared" si="0"/>
        <v>21</v>
      </c>
      <c r="GF110" s="3">
        <f t="shared" si="1"/>
        <v>15</v>
      </c>
      <c r="GG110" s="3">
        <f t="shared" si="2"/>
        <v>8</v>
      </c>
      <c r="GH110" s="3">
        <f t="shared" si="3"/>
        <v>0.62614585685256263</v>
      </c>
      <c r="GI110" s="3">
        <f t="shared" si="4"/>
        <v>516</v>
      </c>
      <c r="GJ110" s="3">
        <f t="shared" si="5"/>
        <v>625</v>
      </c>
      <c r="GK110" s="3">
        <f t="shared" si="6"/>
        <v>109</v>
      </c>
    </row>
    <row r="111" spans="1:193" ht="13" x14ac:dyDescent="0.15">
      <c r="A111" s="13">
        <v>42860</v>
      </c>
      <c r="B111" s="3" t="s">
        <v>394</v>
      </c>
      <c r="C111" s="3">
        <v>19.637501</v>
      </c>
      <c r="D111" s="3">
        <v>-155.99389600000001</v>
      </c>
      <c r="E111" s="3" t="s">
        <v>367</v>
      </c>
      <c r="F111" s="14">
        <v>0.51041666666666663</v>
      </c>
      <c r="G111" s="14">
        <v>0.51041666666666663</v>
      </c>
      <c r="H111" s="3">
        <v>5</v>
      </c>
      <c r="I111" s="3">
        <v>25</v>
      </c>
      <c r="J111" s="3" t="s">
        <v>198</v>
      </c>
      <c r="K111" s="3">
        <v>10</v>
      </c>
      <c r="L111" s="3">
        <v>44</v>
      </c>
      <c r="M111" s="3" t="s">
        <v>395</v>
      </c>
      <c r="O111" s="3">
        <v>44</v>
      </c>
      <c r="R111" s="3">
        <v>6</v>
      </c>
      <c r="AL111" s="3">
        <v>61</v>
      </c>
      <c r="AW111" s="3">
        <v>51</v>
      </c>
      <c r="AZ111" s="3"/>
      <c r="BA111" s="3">
        <v>3</v>
      </c>
      <c r="BL111" s="3">
        <v>11</v>
      </c>
      <c r="BQ111" s="3">
        <v>12</v>
      </c>
      <c r="CB111" s="3">
        <v>24</v>
      </c>
      <c r="CC111" s="3">
        <v>7</v>
      </c>
      <c r="CR111" s="3">
        <v>6</v>
      </c>
      <c r="EI111" s="3">
        <v>10</v>
      </c>
      <c r="EW111" s="3">
        <v>5</v>
      </c>
      <c r="EY111" s="3">
        <v>5</v>
      </c>
      <c r="FA111" s="3">
        <v>35</v>
      </c>
      <c r="FQ111" s="3">
        <v>495</v>
      </c>
      <c r="FT111" s="3"/>
      <c r="FU111" s="3">
        <v>55</v>
      </c>
      <c r="FX111" s="3">
        <v>1</v>
      </c>
      <c r="GA111" s="3">
        <v>4</v>
      </c>
      <c r="GE111" s="3">
        <f t="shared" si="0"/>
        <v>17</v>
      </c>
      <c r="GF111" s="3">
        <f t="shared" si="1"/>
        <v>16</v>
      </c>
      <c r="GG111" s="3">
        <f t="shared" si="2"/>
        <v>14</v>
      </c>
      <c r="GH111" s="3">
        <f t="shared" si="3"/>
        <v>0.59041751348237292</v>
      </c>
      <c r="GI111" s="3">
        <f t="shared" si="4"/>
        <v>791</v>
      </c>
      <c r="GJ111" s="3">
        <f t="shared" si="5"/>
        <v>1100</v>
      </c>
      <c r="GK111" s="3">
        <f t="shared" si="6"/>
        <v>309</v>
      </c>
    </row>
    <row r="112" spans="1:193" ht="13" x14ac:dyDescent="0.15">
      <c r="A112" s="13">
        <v>42865</v>
      </c>
      <c r="B112" s="3" t="s">
        <v>230</v>
      </c>
      <c r="C112" s="3">
        <v>20.753699999999998</v>
      </c>
      <c r="D112" s="3">
        <v>-156.46090699999999</v>
      </c>
      <c r="E112" s="3" t="s">
        <v>397</v>
      </c>
      <c r="F112" s="14">
        <v>0.39583333333333331</v>
      </c>
      <c r="G112" s="14">
        <v>0.46527777777777779</v>
      </c>
      <c r="H112" s="3">
        <v>4</v>
      </c>
      <c r="I112" s="3">
        <v>15</v>
      </c>
      <c r="J112" s="3" t="s">
        <v>398</v>
      </c>
      <c r="K112" s="3">
        <v>7</v>
      </c>
      <c r="L112" s="3">
        <v>24</v>
      </c>
      <c r="M112" s="3" t="s">
        <v>399</v>
      </c>
      <c r="O112" s="3">
        <v>24</v>
      </c>
      <c r="Q112" s="3">
        <v>170</v>
      </c>
      <c r="BL112" s="3">
        <v>148</v>
      </c>
      <c r="CT112" s="3">
        <v>1</v>
      </c>
      <c r="DE112" s="3">
        <v>3</v>
      </c>
      <c r="DF112" s="3">
        <v>4</v>
      </c>
      <c r="DN112" s="3">
        <v>1</v>
      </c>
      <c r="ES112" s="3"/>
      <c r="ET112" s="3"/>
      <c r="EU112" s="3">
        <v>4</v>
      </c>
      <c r="FQ112" s="3">
        <v>17</v>
      </c>
      <c r="FT112" s="3"/>
      <c r="FU112" s="3">
        <v>1</v>
      </c>
      <c r="GE112" s="3">
        <f t="shared" si="0"/>
        <v>9</v>
      </c>
      <c r="GF112" s="3">
        <f t="shared" si="1"/>
        <v>6</v>
      </c>
      <c r="GG112" s="3">
        <f t="shared" si="2"/>
        <v>3</v>
      </c>
      <c r="GH112" s="3">
        <f t="shared" si="3"/>
        <v>0.58182656522741494</v>
      </c>
      <c r="GI112" s="3">
        <f t="shared" si="4"/>
        <v>349</v>
      </c>
      <c r="GJ112" s="3">
        <f t="shared" si="5"/>
        <v>600</v>
      </c>
      <c r="GK112" s="3">
        <f t="shared" si="6"/>
        <v>251</v>
      </c>
    </row>
    <row r="113" spans="1:193" ht="13" x14ac:dyDescent="0.15">
      <c r="A113" s="13">
        <v>42866</v>
      </c>
      <c r="B113" s="3" t="s">
        <v>400</v>
      </c>
      <c r="C113" s="3">
        <v>21.900562000000001</v>
      </c>
      <c r="D113" s="3">
        <v>-159.60981799999999</v>
      </c>
      <c r="E113" s="3" t="s">
        <v>401</v>
      </c>
      <c r="F113" s="14">
        <v>0.36805555555555558</v>
      </c>
      <c r="G113" s="14">
        <v>0.41319444444444442</v>
      </c>
      <c r="H113" s="3">
        <v>6</v>
      </c>
      <c r="I113" s="3">
        <v>15</v>
      </c>
      <c r="J113" s="3" t="s">
        <v>198</v>
      </c>
      <c r="K113" s="3">
        <v>5</v>
      </c>
      <c r="L113" s="3">
        <v>25</v>
      </c>
      <c r="M113" s="3" t="s">
        <v>402</v>
      </c>
      <c r="O113" s="3">
        <v>25</v>
      </c>
      <c r="AA113" s="3">
        <v>2</v>
      </c>
      <c r="AB113" s="3">
        <v>1</v>
      </c>
      <c r="BL113" s="3">
        <v>1</v>
      </c>
      <c r="BU113" s="3">
        <v>16</v>
      </c>
      <c r="BV113" s="3">
        <v>38</v>
      </c>
      <c r="CJ113" s="3">
        <v>5</v>
      </c>
      <c r="DD113" s="3">
        <v>1</v>
      </c>
      <c r="DI113" s="3">
        <v>3</v>
      </c>
      <c r="DM113" s="3">
        <v>2</v>
      </c>
      <c r="DR113" s="3">
        <v>2</v>
      </c>
      <c r="EI113" s="3">
        <v>69</v>
      </c>
      <c r="FA113" s="3">
        <v>2</v>
      </c>
      <c r="FB113" s="3">
        <v>1</v>
      </c>
      <c r="FQ113" s="3">
        <v>112</v>
      </c>
      <c r="FS113" s="3">
        <v>1</v>
      </c>
      <c r="GE113" s="3">
        <f t="shared" si="0"/>
        <v>15</v>
      </c>
      <c r="GF113" s="3">
        <f t="shared" si="1"/>
        <v>10</v>
      </c>
      <c r="GG113" s="3">
        <f t="shared" si="2"/>
        <v>5</v>
      </c>
      <c r="GH113" s="3">
        <f t="shared" si="3"/>
        <v>0.71194852941176467</v>
      </c>
      <c r="GI113" s="3">
        <f t="shared" si="4"/>
        <v>256</v>
      </c>
      <c r="GJ113" s="3">
        <f t="shared" si="5"/>
        <v>625</v>
      </c>
      <c r="GK113" s="3">
        <f t="shared" si="6"/>
        <v>369</v>
      </c>
    </row>
    <row r="114" spans="1:193" ht="13" x14ac:dyDescent="0.15">
      <c r="A114" s="13">
        <v>42866</v>
      </c>
      <c r="B114" s="3" t="s">
        <v>244</v>
      </c>
      <c r="C114" s="3">
        <v>21.310611999999999</v>
      </c>
      <c r="D114" s="3">
        <v>-158.00441000000001</v>
      </c>
      <c r="E114" s="3" t="s">
        <v>278</v>
      </c>
      <c r="F114" s="14">
        <v>0.38541666666666669</v>
      </c>
      <c r="G114" s="14">
        <v>0.45833333333333331</v>
      </c>
      <c r="H114" s="3">
        <v>6</v>
      </c>
      <c r="I114" s="3">
        <v>11</v>
      </c>
      <c r="J114" s="3" t="s">
        <v>198</v>
      </c>
      <c r="K114" s="3">
        <v>5</v>
      </c>
      <c r="L114" s="3">
        <v>24</v>
      </c>
      <c r="M114" s="3" t="s">
        <v>403</v>
      </c>
      <c r="O114" s="3">
        <v>24</v>
      </c>
      <c r="Q114" s="3">
        <v>35</v>
      </c>
      <c r="AA114" s="3">
        <v>10</v>
      </c>
      <c r="AD114" s="3">
        <v>5</v>
      </c>
      <c r="AH114" s="3">
        <v>9</v>
      </c>
      <c r="AM114" s="3">
        <v>1</v>
      </c>
      <c r="AZ114" s="3"/>
      <c r="BA114" s="3">
        <v>5</v>
      </c>
      <c r="BD114" s="3">
        <v>5</v>
      </c>
      <c r="BL114" s="3">
        <v>1</v>
      </c>
      <c r="BN114" s="3"/>
      <c r="BO114" s="3">
        <v>1</v>
      </c>
      <c r="BP114" s="3">
        <v>1</v>
      </c>
      <c r="BU114" s="3">
        <v>11</v>
      </c>
      <c r="BY114" s="3">
        <v>2</v>
      </c>
      <c r="CJ114" s="3">
        <v>1</v>
      </c>
      <c r="CN114" s="3">
        <v>7</v>
      </c>
      <c r="DF114" s="3">
        <v>12</v>
      </c>
      <c r="DL114" s="3">
        <v>32</v>
      </c>
      <c r="DN114" s="3">
        <v>4</v>
      </c>
      <c r="DT114" s="3"/>
      <c r="DU114" s="3">
        <v>6</v>
      </c>
      <c r="EB114" s="3">
        <v>4</v>
      </c>
      <c r="EI114" s="3">
        <v>122</v>
      </c>
      <c r="EW114" s="3">
        <v>9</v>
      </c>
      <c r="FA114" s="3">
        <v>13</v>
      </c>
      <c r="FG114" s="3">
        <v>1</v>
      </c>
      <c r="FH114" s="3">
        <v>10</v>
      </c>
      <c r="FQ114" s="3">
        <v>32</v>
      </c>
      <c r="FT114" s="3"/>
      <c r="FU114" s="3">
        <v>6</v>
      </c>
      <c r="GD114" s="3">
        <v>35</v>
      </c>
      <c r="GE114" s="3">
        <f t="shared" si="0"/>
        <v>27</v>
      </c>
      <c r="GF114" s="3">
        <f t="shared" si="1"/>
        <v>21</v>
      </c>
      <c r="GG114" s="3">
        <f t="shared" si="2"/>
        <v>18</v>
      </c>
      <c r="GH114" s="3">
        <f t="shared" si="3"/>
        <v>0.86088043327315655</v>
      </c>
      <c r="GI114" s="3">
        <f t="shared" si="4"/>
        <v>380</v>
      </c>
      <c r="GJ114" s="3">
        <f t="shared" si="5"/>
        <v>600</v>
      </c>
      <c r="GK114" s="3">
        <f t="shared" si="6"/>
        <v>220</v>
      </c>
    </row>
    <row r="115" spans="1:193" ht="13" x14ac:dyDescent="0.15">
      <c r="A115" s="13">
        <v>42867</v>
      </c>
      <c r="B115" s="3" t="s">
        <v>216</v>
      </c>
      <c r="C115" s="3">
        <v>21.3002</v>
      </c>
      <c r="D115" s="3">
        <v>-157.882599</v>
      </c>
      <c r="E115" s="3" t="s">
        <v>299</v>
      </c>
      <c r="F115" s="14">
        <v>0.45833333333333331</v>
      </c>
      <c r="G115" s="14">
        <v>0.51041666666666663</v>
      </c>
      <c r="H115" s="3">
        <v>4</v>
      </c>
      <c r="I115" s="3">
        <v>20</v>
      </c>
      <c r="J115" s="3" t="s">
        <v>217</v>
      </c>
      <c r="K115" s="3">
        <v>10</v>
      </c>
      <c r="L115" s="3">
        <v>32</v>
      </c>
      <c r="M115" s="3" t="s">
        <v>404</v>
      </c>
      <c r="O115" s="3">
        <v>32</v>
      </c>
      <c r="R115" s="3">
        <v>2</v>
      </c>
      <c r="AH115" s="3">
        <v>1</v>
      </c>
      <c r="AL115" s="3">
        <v>6</v>
      </c>
      <c r="BL115" s="3">
        <v>45</v>
      </c>
      <c r="BM115" s="3">
        <v>16</v>
      </c>
      <c r="BP115" s="3">
        <v>7</v>
      </c>
      <c r="CB115" s="3">
        <v>2</v>
      </c>
      <c r="DR115" s="3">
        <v>6</v>
      </c>
      <c r="EB115" s="3">
        <v>17</v>
      </c>
      <c r="EI115" s="3">
        <v>2</v>
      </c>
      <c r="FI115" s="3"/>
      <c r="FJ115" s="3"/>
      <c r="FK115" s="3">
        <v>1</v>
      </c>
      <c r="FP115" s="3">
        <v>4</v>
      </c>
      <c r="FQ115" s="3">
        <v>455</v>
      </c>
      <c r="GE115" s="3">
        <f t="shared" si="0"/>
        <v>13</v>
      </c>
      <c r="GF115" s="3">
        <f t="shared" si="1"/>
        <v>11</v>
      </c>
      <c r="GG115" s="3">
        <f t="shared" si="2"/>
        <v>7</v>
      </c>
      <c r="GH115" s="3">
        <f t="shared" si="3"/>
        <v>0.341225451293098</v>
      </c>
      <c r="GI115" s="3">
        <f t="shared" si="4"/>
        <v>564</v>
      </c>
      <c r="GJ115" s="3">
        <f t="shared" si="5"/>
        <v>800</v>
      </c>
      <c r="GK115" s="3">
        <f t="shared" si="6"/>
        <v>236</v>
      </c>
    </row>
    <row r="116" spans="1:193" ht="13" x14ac:dyDescent="0.15">
      <c r="A116" s="13">
        <v>42879</v>
      </c>
      <c r="B116" s="3" t="s">
        <v>247</v>
      </c>
      <c r="C116" s="3">
        <v>19.488199000000002</v>
      </c>
      <c r="D116" s="3">
        <v>-154.81930500000001</v>
      </c>
      <c r="E116" s="3" t="s">
        <v>289</v>
      </c>
      <c r="F116" s="14">
        <v>0.38541666666666669</v>
      </c>
      <c r="G116" s="14">
        <v>0.46875</v>
      </c>
      <c r="H116" s="3">
        <v>5</v>
      </c>
      <c r="I116" s="3">
        <v>20</v>
      </c>
      <c r="J116" s="3" t="s">
        <v>198</v>
      </c>
      <c r="K116" s="3">
        <v>5</v>
      </c>
      <c r="L116" s="3">
        <v>25</v>
      </c>
      <c r="O116" s="3">
        <v>25</v>
      </c>
      <c r="AE116" s="3">
        <v>3</v>
      </c>
      <c r="AH116" s="3">
        <v>1</v>
      </c>
      <c r="AL116" s="3">
        <v>22</v>
      </c>
      <c r="BL116" s="3">
        <v>22</v>
      </c>
      <c r="BM116" s="3">
        <v>3</v>
      </c>
      <c r="CB116" s="3">
        <v>3</v>
      </c>
      <c r="EJ116" s="3">
        <v>2</v>
      </c>
      <c r="EO116" s="3">
        <v>2</v>
      </c>
      <c r="EQ116" s="3">
        <v>4</v>
      </c>
      <c r="FE116" s="3">
        <v>1</v>
      </c>
      <c r="FH116" s="3">
        <v>1</v>
      </c>
      <c r="FL116" s="3">
        <v>15</v>
      </c>
      <c r="FQ116" s="3">
        <v>514</v>
      </c>
      <c r="GE116" s="3">
        <f t="shared" si="0"/>
        <v>13</v>
      </c>
      <c r="GF116" s="3">
        <f t="shared" si="1"/>
        <v>10</v>
      </c>
      <c r="GG116" s="3">
        <f t="shared" si="2"/>
        <v>4</v>
      </c>
      <c r="GH116" s="3">
        <f t="shared" si="3"/>
        <v>0.24556196162435617</v>
      </c>
      <c r="GI116" s="3">
        <f t="shared" si="4"/>
        <v>593</v>
      </c>
      <c r="GJ116" s="3">
        <f t="shared" si="5"/>
        <v>625</v>
      </c>
      <c r="GK116" s="3">
        <f t="shared" si="6"/>
        <v>32</v>
      </c>
    </row>
    <row r="117" spans="1:193" ht="13" x14ac:dyDescent="0.15">
      <c r="A117" s="13">
        <v>42908</v>
      </c>
      <c r="B117" s="3" t="s">
        <v>246</v>
      </c>
      <c r="C117" s="3">
        <v>21.2882</v>
      </c>
      <c r="D117" s="3">
        <v>-157.66799900000001</v>
      </c>
      <c r="E117" s="3" t="s">
        <v>197</v>
      </c>
      <c r="F117" s="14">
        <v>0.31944444444444442</v>
      </c>
      <c r="G117" s="14">
        <v>0.39583333333333331</v>
      </c>
      <c r="H117" s="3">
        <v>3</v>
      </c>
      <c r="I117" s="3">
        <v>20</v>
      </c>
      <c r="J117" s="3" t="s">
        <v>217</v>
      </c>
      <c r="K117" s="3">
        <v>10</v>
      </c>
      <c r="L117" s="3">
        <v>26</v>
      </c>
      <c r="M117" s="3" t="s">
        <v>405</v>
      </c>
      <c r="O117" s="3">
        <v>26</v>
      </c>
      <c r="T117" s="3">
        <v>1</v>
      </c>
      <c r="V117" s="3"/>
      <c r="W117" s="3">
        <v>1</v>
      </c>
      <c r="AA117" s="3">
        <v>111</v>
      </c>
      <c r="AG117" s="3">
        <v>3</v>
      </c>
      <c r="AL117" s="3">
        <v>4</v>
      </c>
      <c r="AV117" s="3">
        <v>10</v>
      </c>
      <c r="AZ117" s="3"/>
      <c r="BA117" s="3">
        <v>1</v>
      </c>
      <c r="BC117" s="3">
        <v>3</v>
      </c>
      <c r="BE117" s="3">
        <v>9</v>
      </c>
      <c r="BJ117" s="3">
        <v>16</v>
      </c>
      <c r="BL117" s="3">
        <v>7</v>
      </c>
      <c r="BM117" s="3">
        <v>18</v>
      </c>
      <c r="BP117" s="3">
        <v>4</v>
      </c>
      <c r="BY117" s="3">
        <v>22</v>
      </c>
      <c r="CB117" s="3">
        <v>1</v>
      </c>
      <c r="CF117" s="3"/>
      <c r="CG117" s="3">
        <v>4</v>
      </c>
      <c r="CJ117" s="3">
        <v>42</v>
      </c>
      <c r="CK117" s="3">
        <v>3</v>
      </c>
      <c r="CP117" s="3"/>
      <c r="CQ117" s="3">
        <v>3</v>
      </c>
      <c r="CT117" s="3">
        <v>2</v>
      </c>
      <c r="DD117" s="3">
        <v>2</v>
      </c>
      <c r="DF117" s="3">
        <v>1</v>
      </c>
      <c r="DL117" s="3">
        <v>8</v>
      </c>
      <c r="DM117" s="3">
        <v>3</v>
      </c>
      <c r="DN117" s="3">
        <v>3</v>
      </c>
      <c r="DT117" s="3"/>
      <c r="DU117" s="3">
        <v>27</v>
      </c>
      <c r="EI117" s="3">
        <v>1</v>
      </c>
      <c r="EJ117" s="3">
        <v>3</v>
      </c>
      <c r="EK117" s="3"/>
      <c r="EL117" s="3">
        <v>1</v>
      </c>
      <c r="ES117" s="3"/>
      <c r="ET117" s="3"/>
      <c r="EU117" s="3">
        <v>52</v>
      </c>
      <c r="FC117" s="3"/>
      <c r="FD117" s="3">
        <v>1</v>
      </c>
      <c r="FE117" s="3">
        <v>3</v>
      </c>
      <c r="FL117" s="3">
        <v>7</v>
      </c>
      <c r="FP117" s="3">
        <v>3</v>
      </c>
      <c r="FQ117" s="3">
        <v>218</v>
      </c>
      <c r="FV117" s="3">
        <v>1</v>
      </c>
      <c r="GB117" s="3">
        <v>6</v>
      </c>
      <c r="GE117" s="3">
        <f t="shared" si="0"/>
        <v>37</v>
      </c>
      <c r="GF117" s="3">
        <f t="shared" si="1"/>
        <v>28</v>
      </c>
      <c r="GG117" s="3">
        <f t="shared" si="2"/>
        <v>14</v>
      </c>
      <c r="GH117" s="3">
        <f t="shared" si="3"/>
        <v>0.81931476109682011</v>
      </c>
      <c r="GI117" s="3">
        <f t="shared" si="4"/>
        <v>605</v>
      </c>
      <c r="GJ117" s="3">
        <f t="shared" si="5"/>
        <v>650</v>
      </c>
      <c r="GK117" s="3">
        <f t="shared" si="6"/>
        <v>45</v>
      </c>
    </row>
    <row r="118" spans="1:193" ht="13" x14ac:dyDescent="0.15">
      <c r="A118" s="13">
        <v>42910</v>
      </c>
      <c r="B118" s="3" t="s">
        <v>219</v>
      </c>
      <c r="C118" s="3">
        <v>21.295798999999999</v>
      </c>
      <c r="D118" s="3">
        <v>-158.10369900000001</v>
      </c>
      <c r="E118" s="3" t="s">
        <v>197</v>
      </c>
      <c r="F118" s="14">
        <v>0.34722222222222221</v>
      </c>
      <c r="G118" s="14">
        <v>0.45833333333333331</v>
      </c>
      <c r="H118" s="3">
        <v>4</v>
      </c>
      <c r="I118" s="3">
        <v>24</v>
      </c>
      <c r="J118" s="3" t="s">
        <v>227</v>
      </c>
      <c r="K118" s="3">
        <v>8</v>
      </c>
      <c r="L118" s="3">
        <v>27</v>
      </c>
      <c r="M118" s="3" t="s">
        <v>406</v>
      </c>
      <c r="O118" s="3">
        <v>27</v>
      </c>
      <c r="Q118" s="3">
        <v>6</v>
      </c>
      <c r="V118" s="3"/>
      <c r="W118" s="3">
        <v>3</v>
      </c>
      <c r="AA118" s="3">
        <v>27</v>
      </c>
      <c r="AD118" s="3">
        <v>1</v>
      </c>
      <c r="AH118" s="3">
        <v>8</v>
      </c>
      <c r="AL118" s="3">
        <v>10</v>
      </c>
      <c r="AV118" s="3">
        <v>3</v>
      </c>
      <c r="AZ118" s="3">
        <v>7</v>
      </c>
      <c r="BA118" s="3">
        <v>42</v>
      </c>
      <c r="BB118" s="3">
        <v>3</v>
      </c>
      <c r="BC118" s="3">
        <v>5</v>
      </c>
      <c r="BD118" s="3">
        <v>2</v>
      </c>
      <c r="BG118" s="3">
        <v>2</v>
      </c>
      <c r="BL118" s="3">
        <v>7</v>
      </c>
      <c r="BM118" s="3">
        <v>4</v>
      </c>
      <c r="BP118" s="3">
        <v>6</v>
      </c>
      <c r="BU118" s="3">
        <v>8</v>
      </c>
      <c r="BV118" s="3">
        <v>10</v>
      </c>
      <c r="BW118" s="3">
        <v>3</v>
      </c>
      <c r="BX118" s="3">
        <v>4</v>
      </c>
      <c r="BY118" s="3">
        <v>34</v>
      </c>
      <c r="CP118" s="3"/>
      <c r="CQ118" s="3">
        <v>6</v>
      </c>
      <c r="CR118" s="3">
        <v>29</v>
      </c>
      <c r="CZ118" s="3">
        <v>1</v>
      </c>
      <c r="DC118" s="3">
        <v>4</v>
      </c>
      <c r="DD118" s="3">
        <v>6</v>
      </c>
      <c r="DF118" s="3">
        <v>20</v>
      </c>
      <c r="DI118" s="3">
        <v>1</v>
      </c>
      <c r="DJ118" s="3">
        <v>6</v>
      </c>
      <c r="DK118" s="3">
        <v>28</v>
      </c>
      <c r="DL118" s="3">
        <v>105</v>
      </c>
      <c r="DN118" s="3">
        <v>2</v>
      </c>
      <c r="DP118" s="3">
        <v>5</v>
      </c>
      <c r="DR118" s="3">
        <v>1</v>
      </c>
      <c r="DT118" s="3"/>
      <c r="DU118" s="3">
        <v>2</v>
      </c>
      <c r="EB118" s="3">
        <v>3</v>
      </c>
      <c r="EI118" s="3">
        <v>61</v>
      </c>
      <c r="EJ118" s="3">
        <v>23</v>
      </c>
      <c r="EK118" s="3">
        <v>4</v>
      </c>
      <c r="ES118" s="3">
        <v>2</v>
      </c>
      <c r="EZ118" s="3">
        <v>9</v>
      </c>
      <c r="FA118" s="3">
        <v>38</v>
      </c>
      <c r="FC118" s="3"/>
      <c r="FD118" s="3">
        <v>1</v>
      </c>
      <c r="FE118" s="3">
        <v>21</v>
      </c>
      <c r="FH118" s="3">
        <v>9</v>
      </c>
      <c r="FL118" s="3">
        <v>3</v>
      </c>
      <c r="FP118" s="3">
        <v>2</v>
      </c>
      <c r="FQ118" s="3">
        <v>18</v>
      </c>
      <c r="FV118" s="3">
        <v>7</v>
      </c>
      <c r="GE118" s="3">
        <f t="shared" si="0"/>
        <v>49</v>
      </c>
      <c r="GF118" s="3">
        <f t="shared" si="1"/>
        <v>44</v>
      </c>
      <c r="GG118" s="3">
        <f t="shared" si="2"/>
        <v>28</v>
      </c>
      <c r="GH118" s="3">
        <f t="shared" si="3"/>
        <v>0.93699389193757154</v>
      </c>
      <c r="GI118" s="3">
        <f t="shared" si="4"/>
        <v>612</v>
      </c>
      <c r="GJ118" s="3">
        <f t="shared" si="5"/>
        <v>675</v>
      </c>
      <c r="GK118" s="3">
        <f t="shared" si="6"/>
        <v>63</v>
      </c>
    </row>
    <row r="119" spans="1:193" ht="13" x14ac:dyDescent="0.15">
      <c r="A119" s="13">
        <v>42911</v>
      </c>
      <c r="B119" s="3" t="s">
        <v>250</v>
      </c>
      <c r="C119" s="3">
        <v>21.410399999999999</v>
      </c>
      <c r="D119" s="3">
        <v>-158.17770400000001</v>
      </c>
      <c r="E119" s="3" t="s">
        <v>197</v>
      </c>
      <c r="F119" s="14">
        <v>0.375</v>
      </c>
      <c r="G119" s="14">
        <v>0.45833333333333331</v>
      </c>
      <c r="H119" s="3">
        <v>3</v>
      </c>
      <c r="I119" s="3">
        <v>33</v>
      </c>
      <c r="J119" s="3" t="s">
        <v>227</v>
      </c>
      <c r="K119" s="3">
        <v>12</v>
      </c>
      <c r="L119" s="3">
        <v>26</v>
      </c>
      <c r="M119" s="3" t="s">
        <v>407</v>
      </c>
      <c r="O119" s="3">
        <v>26</v>
      </c>
      <c r="Q119" s="3">
        <v>159</v>
      </c>
      <c r="AA119" s="3">
        <v>5</v>
      </c>
      <c r="AC119" s="3">
        <v>7</v>
      </c>
      <c r="AL119" s="3">
        <v>1</v>
      </c>
      <c r="AV119" s="3">
        <v>2</v>
      </c>
      <c r="AX119" s="3">
        <v>1</v>
      </c>
      <c r="BA119" s="3">
        <v>5</v>
      </c>
      <c r="BJ119" s="3">
        <v>2</v>
      </c>
      <c r="BL119" s="3">
        <v>8</v>
      </c>
      <c r="BM119" s="3">
        <v>7</v>
      </c>
      <c r="BP119" s="3">
        <v>6</v>
      </c>
      <c r="BY119" s="3">
        <v>42</v>
      </c>
      <c r="CB119" s="3">
        <v>2</v>
      </c>
      <c r="CC119" s="3">
        <v>1</v>
      </c>
      <c r="CI119" s="3">
        <v>10</v>
      </c>
      <c r="CJ119" s="3">
        <v>64</v>
      </c>
      <c r="CK119" s="3">
        <v>11</v>
      </c>
      <c r="CM119" s="3">
        <v>6</v>
      </c>
      <c r="CN119" s="3">
        <v>29</v>
      </c>
      <c r="CP119" s="3">
        <v>1</v>
      </c>
      <c r="CZ119" s="3">
        <v>1</v>
      </c>
      <c r="DD119" s="3">
        <v>1</v>
      </c>
      <c r="DE119" s="3">
        <v>8</v>
      </c>
      <c r="DF119" s="3">
        <v>30</v>
      </c>
      <c r="DL119" s="3">
        <v>34</v>
      </c>
      <c r="EJ119" s="3">
        <v>1</v>
      </c>
      <c r="EK119" s="3">
        <v>1</v>
      </c>
      <c r="ET119" s="3"/>
      <c r="EU119" s="3">
        <v>25</v>
      </c>
      <c r="EW119" s="3">
        <v>150</v>
      </c>
      <c r="FI119" s="3"/>
      <c r="FJ119" s="3"/>
      <c r="FK119" s="3">
        <v>1</v>
      </c>
      <c r="FQ119" s="3">
        <v>13</v>
      </c>
      <c r="FR119" s="3">
        <v>2</v>
      </c>
      <c r="GE119" s="3">
        <f t="shared" si="0"/>
        <v>32</v>
      </c>
      <c r="GF119" s="3">
        <f t="shared" si="1"/>
        <v>23</v>
      </c>
      <c r="GG119" s="3">
        <f t="shared" si="2"/>
        <v>19</v>
      </c>
      <c r="GH119" s="3">
        <f t="shared" si="3"/>
        <v>0.85814391125637601</v>
      </c>
      <c r="GI119" s="3">
        <f t="shared" si="4"/>
        <v>636</v>
      </c>
      <c r="GJ119" s="3">
        <f t="shared" si="5"/>
        <v>650</v>
      </c>
      <c r="GK119" s="3">
        <f t="shared" si="6"/>
        <v>14</v>
      </c>
    </row>
    <row r="120" spans="1:193" ht="13" x14ac:dyDescent="0.15">
      <c r="A120" s="13">
        <v>43134</v>
      </c>
      <c r="B120" s="3" t="s">
        <v>201</v>
      </c>
      <c r="C120" s="3">
        <v>21.25544</v>
      </c>
      <c r="D120" s="3">
        <v>-157.810303</v>
      </c>
      <c r="E120" s="3" t="s">
        <v>197</v>
      </c>
      <c r="F120" s="14">
        <v>0.48958333333333331</v>
      </c>
      <c r="G120" s="14">
        <v>0.5625</v>
      </c>
      <c r="H120" s="3">
        <v>3</v>
      </c>
      <c r="I120" s="3">
        <v>13</v>
      </c>
      <c r="J120" s="3" t="s">
        <v>198</v>
      </c>
      <c r="K120" s="3">
        <v>13</v>
      </c>
      <c r="L120" s="3">
        <v>35</v>
      </c>
      <c r="M120" s="3" t="s">
        <v>408</v>
      </c>
      <c r="O120" s="3">
        <v>35</v>
      </c>
      <c r="Q120" s="3">
        <v>11</v>
      </c>
      <c r="AD120" s="3">
        <v>1</v>
      </c>
      <c r="AE120" s="3">
        <v>1</v>
      </c>
      <c r="AH120" s="3">
        <v>4</v>
      </c>
      <c r="BD120" s="3">
        <v>3</v>
      </c>
      <c r="BL120" s="3">
        <v>29</v>
      </c>
      <c r="BP120" s="3">
        <v>8</v>
      </c>
      <c r="BU120" s="3">
        <v>6</v>
      </c>
      <c r="BX120" s="3">
        <v>10</v>
      </c>
      <c r="BY120" s="3">
        <v>6</v>
      </c>
      <c r="CO120" s="3"/>
      <c r="CP120" s="3"/>
      <c r="CQ120" s="3"/>
      <c r="CR120" s="3">
        <v>4</v>
      </c>
      <c r="DE120" s="3"/>
      <c r="DF120" s="3">
        <v>1</v>
      </c>
      <c r="DL120" s="3">
        <v>58</v>
      </c>
      <c r="DQ120" s="3"/>
      <c r="DR120" s="3">
        <v>28</v>
      </c>
      <c r="DS120" s="3"/>
      <c r="DT120" s="3"/>
      <c r="DU120" s="3">
        <v>9</v>
      </c>
      <c r="DZ120" s="3">
        <v>1</v>
      </c>
      <c r="EB120" s="3">
        <v>3</v>
      </c>
      <c r="ED120" s="3"/>
      <c r="EE120" s="3"/>
      <c r="EF120" s="3"/>
      <c r="EG120" s="3"/>
      <c r="EH120" s="3"/>
      <c r="EI120" s="3">
        <v>145</v>
      </c>
      <c r="EK120" s="3"/>
      <c r="EL120" s="3"/>
      <c r="EM120" s="3">
        <v>4</v>
      </c>
      <c r="FA120" s="3">
        <v>47</v>
      </c>
      <c r="FB120" s="3">
        <v>2</v>
      </c>
      <c r="FH120" s="3">
        <v>5</v>
      </c>
      <c r="FP120" s="3">
        <v>84</v>
      </c>
      <c r="FQ120" s="3">
        <v>139</v>
      </c>
      <c r="GD120" s="3">
        <v>1</v>
      </c>
      <c r="GE120" s="3">
        <f t="shared" si="0"/>
        <v>25</v>
      </c>
      <c r="GF120" s="3">
        <f t="shared" si="1"/>
        <v>20</v>
      </c>
      <c r="GG120" s="3">
        <f t="shared" si="2"/>
        <v>14</v>
      </c>
      <c r="GH120" s="3">
        <f t="shared" si="3"/>
        <v>0.85321812161834776</v>
      </c>
      <c r="GI120" s="3">
        <f t="shared" si="4"/>
        <v>610</v>
      </c>
      <c r="GJ120" s="3">
        <f t="shared" si="5"/>
        <v>875</v>
      </c>
      <c r="GK120" s="3">
        <f t="shared" si="6"/>
        <v>265</v>
      </c>
    </row>
    <row r="121" spans="1:193" ht="13" x14ac:dyDescent="0.15">
      <c r="A121" s="13">
        <v>43148</v>
      </c>
      <c r="B121" s="3" t="s">
        <v>244</v>
      </c>
      <c r="C121" s="3">
        <v>21.310611999999999</v>
      </c>
      <c r="D121" s="3">
        <v>-158.00441000000001</v>
      </c>
      <c r="E121" s="3" t="s">
        <v>197</v>
      </c>
      <c r="F121" s="14">
        <v>0.49861111111111112</v>
      </c>
      <c r="G121" s="14">
        <v>0.56874999999999998</v>
      </c>
      <c r="H121" s="3">
        <v>3</v>
      </c>
      <c r="I121" s="3">
        <v>11</v>
      </c>
      <c r="J121" s="3" t="s">
        <v>198</v>
      </c>
      <c r="K121" s="3">
        <v>11</v>
      </c>
      <c r="L121" s="3">
        <v>29</v>
      </c>
      <c r="M121" s="3" t="s">
        <v>409</v>
      </c>
      <c r="O121" s="3">
        <v>29</v>
      </c>
      <c r="Q121" s="3">
        <v>7</v>
      </c>
      <c r="X121" s="3"/>
      <c r="Y121" s="3"/>
      <c r="Z121" s="3"/>
      <c r="AA121" s="3">
        <v>1</v>
      </c>
      <c r="AD121" s="3">
        <v>19</v>
      </c>
      <c r="AH121" s="3">
        <v>13</v>
      </c>
      <c r="AI121" s="3"/>
      <c r="AJ121" s="3"/>
      <c r="AK121" s="3"/>
      <c r="AL121" s="3">
        <v>7</v>
      </c>
      <c r="AP121" s="3"/>
      <c r="AQ121" s="3">
        <v>2</v>
      </c>
      <c r="AR121" s="3">
        <v>4</v>
      </c>
      <c r="AZ121" s="3"/>
      <c r="BA121" s="3">
        <v>5</v>
      </c>
      <c r="BB121" s="3">
        <v>2</v>
      </c>
      <c r="BD121" s="3">
        <v>1</v>
      </c>
      <c r="BL121" s="3">
        <v>30</v>
      </c>
      <c r="BP121" s="3">
        <v>6</v>
      </c>
      <c r="BT121" s="3">
        <v>4</v>
      </c>
      <c r="BU121" s="3">
        <v>10</v>
      </c>
      <c r="BV121" s="3">
        <v>8</v>
      </c>
      <c r="BW121" s="3">
        <v>7</v>
      </c>
      <c r="BX121" s="3">
        <v>13</v>
      </c>
      <c r="BY121" s="3">
        <v>36</v>
      </c>
      <c r="CO121" s="3"/>
      <c r="CP121" s="3"/>
      <c r="CQ121" s="3">
        <v>5</v>
      </c>
      <c r="CR121" s="3">
        <v>2</v>
      </c>
      <c r="CS121" s="3">
        <v>3</v>
      </c>
      <c r="CU121" s="3">
        <v>1</v>
      </c>
      <c r="DC121" s="3">
        <v>5</v>
      </c>
      <c r="DE121" s="3"/>
      <c r="DF121" s="3">
        <v>1</v>
      </c>
      <c r="DJ121" s="3"/>
      <c r="DK121" s="3">
        <v>2</v>
      </c>
      <c r="DL121" s="3">
        <v>7</v>
      </c>
      <c r="DN121" s="3">
        <v>6</v>
      </c>
      <c r="DS121" s="3"/>
      <c r="DT121" s="3"/>
      <c r="DU121" s="3">
        <v>18</v>
      </c>
      <c r="EB121" s="3">
        <v>4</v>
      </c>
      <c r="ED121" s="3"/>
      <c r="EE121" s="3"/>
      <c r="EF121" s="3"/>
      <c r="EG121" s="3"/>
      <c r="EH121" s="3"/>
      <c r="EI121" s="3">
        <v>161</v>
      </c>
      <c r="EN121" s="3">
        <v>8</v>
      </c>
      <c r="FQ121" s="3">
        <v>154</v>
      </c>
      <c r="FT121" s="3"/>
      <c r="FU121" s="3">
        <v>1</v>
      </c>
      <c r="GE121" s="3">
        <f t="shared" si="0"/>
        <v>33</v>
      </c>
      <c r="GF121" s="3">
        <f t="shared" si="1"/>
        <v>28</v>
      </c>
      <c r="GG121" s="3">
        <f t="shared" si="2"/>
        <v>20</v>
      </c>
      <c r="GH121" s="3">
        <f t="shared" si="3"/>
        <v>0.8265324842099746</v>
      </c>
      <c r="GI121" s="3">
        <f t="shared" si="4"/>
        <v>553</v>
      </c>
      <c r="GJ121" s="3">
        <f t="shared" si="5"/>
        <v>725</v>
      </c>
      <c r="GK121" s="3">
        <f t="shared" si="6"/>
        <v>172</v>
      </c>
    </row>
    <row r="122" spans="1:193" ht="13" x14ac:dyDescent="0.15">
      <c r="A122" s="13">
        <v>43160</v>
      </c>
      <c r="B122" s="3" t="s">
        <v>219</v>
      </c>
      <c r="C122" s="3">
        <v>21.295798999999999</v>
      </c>
      <c r="D122" s="3">
        <v>-158.10369900000001</v>
      </c>
      <c r="E122" s="3" t="s">
        <v>333</v>
      </c>
      <c r="F122" s="14">
        <v>0.375</v>
      </c>
      <c r="G122" s="14">
        <v>0.4513888888888889</v>
      </c>
      <c r="H122" s="3">
        <v>10</v>
      </c>
      <c r="I122" s="3">
        <v>10</v>
      </c>
      <c r="J122" s="3" t="s">
        <v>318</v>
      </c>
      <c r="K122" s="3">
        <v>5</v>
      </c>
      <c r="L122" s="3">
        <v>46</v>
      </c>
      <c r="M122" s="3" t="s">
        <v>410</v>
      </c>
      <c r="N122" s="3" t="s">
        <v>411</v>
      </c>
      <c r="O122" s="3">
        <v>39</v>
      </c>
      <c r="Q122" s="3">
        <v>4</v>
      </c>
      <c r="T122" s="3"/>
      <c r="U122" s="3"/>
      <c r="V122" s="3"/>
      <c r="W122" s="3">
        <v>4</v>
      </c>
      <c r="X122" s="3"/>
      <c r="Y122" s="3">
        <v>12</v>
      </c>
      <c r="Z122" s="3"/>
      <c r="AA122" s="3">
        <v>10</v>
      </c>
      <c r="AB122" s="3">
        <v>20</v>
      </c>
      <c r="AD122" s="3">
        <v>5</v>
      </c>
      <c r="AH122" s="3">
        <v>10</v>
      </c>
      <c r="AM122" s="3">
        <v>6</v>
      </c>
      <c r="BB122" s="3">
        <v>8</v>
      </c>
      <c r="BC122" s="3">
        <v>8</v>
      </c>
      <c r="BD122" s="3">
        <v>6</v>
      </c>
      <c r="BL122" s="3">
        <v>14</v>
      </c>
      <c r="BM122" s="3">
        <v>27</v>
      </c>
      <c r="BP122" s="3">
        <v>40</v>
      </c>
      <c r="BU122" s="3">
        <v>44</v>
      </c>
      <c r="BY122" s="3">
        <v>25</v>
      </c>
      <c r="CR122" s="3">
        <v>31</v>
      </c>
      <c r="CT122" s="3">
        <v>1</v>
      </c>
      <c r="DC122" s="3">
        <v>3</v>
      </c>
      <c r="DE122" s="3"/>
      <c r="DF122" s="3">
        <v>1</v>
      </c>
      <c r="DL122" s="3">
        <v>23</v>
      </c>
      <c r="DM122" s="3">
        <v>1</v>
      </c>
      <c r="DN122" s="3">
        <v>1</v>
      </c>
      <c r="DO122" s="3">
        <v>1</v>
      </c>
      <c r="DQ122" s="3"/>
      <c r="DR122" s="3">
        <v>5</v>
      </c>
      <c r="DS122" s="3"/>
      <c r="DT122" s="3"/>
      <c r="DU122" s="3">
        <v>4</v>
      </c>
      <c r="EB122" s="3">
        <v>40</v>
      </c>
      <c r="ED122" s="3"/>
      <c r="EE122" s="3"/>
      <c r="EF122" s="3"/>
      <c r="EG122" s="3"/>
      <c r="EH122" s="3"/>
      <c r="EI122" s="3">
        <v>272</v>
      </c>
      <c r="FA122" s="3">
        <v>15</v>
      </c>
      <c r="FE122" s="3">
        <v>3</v>
      </c>
      <c r="FH122" s="3">
        <v>15</v>
      </c>
      <c r="FQ122" s="3">
        <v>75</v>
      </c>
      <c r="GD122" s="3">
        <v>1</v>
      </c>
      <c r="GE122" s="3">
        <f t="shared" si="0"/>
        <v>33</v>
      </c>
      <c r="GF122" s="3">
        <f t="shared" si="1"/>
        <v>27</v>
      </c>
      <c r="GG122" s="3">
        <f t="shared" si="2"/>
        <v>22</v>
      </c>
      <c r="GH122" s="3">
        <f t="shared" si="3"/>
        <v>0.83583384307401432</v>
      </c>
      <c r="GI122" s="3">
        <f t="shared" si="4"/>
        <v>735</v>
      </c>
      <c r="GJ122" s="3">
        <f t="shared" si="5"/>
        <v>975</v>
      </c>
      <c r="GK122" s="3">
        <f t="shared" si="6"/>
        <v>240</v>
      </c>
    </row>
    <row r="123" spans="1:193" ht="13" x14ac:dyDescent="0.15">
      <c r="A123" s="13">
        <v>43160</v>
      </c>
      <c r="B123" s="3" t="s">
        <v>233</v>
      </c>
      <c r="C123" s="23">
        <v>21.066799</v>
      </c>
      <c r="D123" s="23">
        <v>-156.804993</v>
      </c>
      <c r="E123" s="3" t="s">
        <v>286</v>
      </c>
      <c r="F123" s="14">
        <v>0.39583333333333331</v>
      </c>
      <c r="G123" s="14">
        <v>0.43888888888888888</v>
      </c>
      <c r="H123" s="3">
        <v>4</v>
      </c>
      <c r="I123" s="3">
        <v>9</v>
      </c>
      <c r="J123" s="3" t="s">
        <v>198</v>
      </c>
      <c r="K123" s="3">
        <v>9</v>
      </c>
      <c r="L123" s="3">
        <v>28</v>
      </c>
      <c r="M123" s="3" t="s">
        <v>412</v>
      </c>
      <c r="O123" s="3">
        <v>28</v>
      </c>
      <c r="X123" s="3"/>
      <c r="Y123" s="3">
        <v>7</v>
      </c>
      <c r="AP123" s="3"/>
      <c r="AZ123" s="3"/>
      <c r="BA123" s="3">
        <v>15</v>
      </c>
      <c r="BH123" s="3"/>
      <c r="BI123" s="3"/>
      <c r="BJ123" s="3"/>
      <c r="BL123" s="3">
        <v>70</v>
      </c>
      <c r="BU123" s="3"/>
      <c r="BY123" s="3">
        <v>1</v>
      </c>
      <c r="CB123" s="3"/>
      <c r="CC123" s="3"/>
      <c r="CD123" s="3"/>
      <c r="CE123" s="3"/>
      <c r="CH123" s="3"/>
      <c r="CN123" s="3">
        <v>5</v>
      </c>
      <c r="DL123" s="3">
        <v>25</v>
      </c>
      <c r="DW123" s="3"/>
      <c r="ED123" s="3"/>
      <c r="EE123" s="3"/>
      <c r="EI123" s="3">
        <v>101</v>
      </c>
      <c r="EO123" s="3"/>
      <c r="ER123" s="3"/>
      <c r="FA123" s="3">
        <v>4</v>
      </c>
      <c r="FE123" s="3">
        <v>11</v>
      </c>
      <c r="FF123" s="3"/>
      <c r="FG123" s="3">
        <v>1</v>
      </c>
      <c r="FL123" s="3"/>
      <c r="FQ123" s="3">
        <v>6</v>
      </c>
      <c r="GE123" s="3">
        <f t="shared" si="0"/>
        <v>11</v>
      </c>
      <c r="GF123" s="3">
        <f t="shared" si="1"/>
        <v>9</v>
      </c>
      <c r="GG123" s="3">
        <f t="shared" si="2"/>
        <v>8</v>
      </c>
      <c r="GH123" s="3">
        <f t="shared" si="3"/>
        <v>0.73529118964659035</v>
      </c>
      <c r="GI123" s="3">
        <f t="shared" si="4"/>
        <v>246</v>
      </c>
      <c r="GJ123" s="3">
        <f t="shared" si="5"/>
        <v>700</v>
      </c>
      <c r="GK123" s="3">
        <f t="shared" si="6"/>
        <v>454</v>
      </c>
    </row>
    <row r="124" spans="1:193" ht="13" x14ac:dyDescent="0.15">
      <c r="A124" s="13">
        <v>43163</v>
      </c>
      <c r="B124" s="3" t="s">
        <v>293</v>
      </c>
      <c r="C124" s="3">
        <v>19.738602</v>
      </c>
      <c r="D124" s="3">
        <v>-155.03887900000001</v>
      </c>
      <c r="E124" s="3" t="s">
        <v>197</v>
      </c>
      <c r="F124" s="14">
        <v>0.42708333333333331</v>
      </c>
      <c r="G124" s="14">
        <v>0.53125</v>
      </c>
      <c r="H124" s="3">
        <v>3</v>
      </c>
      <c r="I124" s="3">
        <v>21</v>
      </c>
      <c r="J124" s="3" t="s">
        <v>415</v>
      </c>
      <c r="K124" s="3">
        <v>14</v>
      </c>
      <c r="L124" s="3">
        <v>25</v>
      </c>
      <c r="M124" s="3" t="s">
        <v>416</v>
      </c>
      <c r="O124" s="3">
        <v>25</v>
      </c>
      <c r="AP124" s="3">
        <v>1</v>
      </c>
      <c r="BH124" s="3"/>
      <c r="BI124" s="3"/>
      <c r="BJ124" s="3">
        <v>2</v>
      </c>
      <c r="BL124" s="3">
        <v>79</v>
      </c>
      <c r="BU124" s="3">
        <v>2</v>
      </c>
      <c r="CB124" s="3">
        <v>9</v>
      </c>
      <c r="CC124" s="3">
        <v>2</v>
      </c>
      <c r="CD124" s="3">
        <v>2</v>
      </c>
      <c r="CE124" s="3">
        <v>1</v>
      </c>
      <c r="CH124" s="3">
        <v>1</v>
      </c>
      <c r="CN124" s="3">
        <v>8</v>
      </c>
      <c r="DW124" s="3">
        <v>6</v>
      </c>
      <c r="ED124" s="3"/>
      <c r="EE124" s="3">
        <v>2</v>
      </c>
      <c r="EO124" s="3">
        <v>1</v>
      </c>
      <c r="ER124" s="3">
        <v>5</v>
      </c>
      <c r="FF124" s="3">
        <v>1</v>
      </c>
      <c r="FL124" s="3">
        <v>65</v>
      </c>
      <c r="FQ124" s="3">
        <v>236</v>
      </c>
      <c r="GE124" s="3">
        <f t="shared" si="0"/>
        <v>17</v>
      </c>
      <c r="GF124" s="3">
        <f t="shared" si="1"/>
        <v>12</v>
      </c>
      <c r="GG124" s="3">
        <f t="shared" si="2"/>
        <v>7</v>
      </c>
      <c r="GH124" s="3">
        <f t="shared" si="3"/>
        <v>0.63043259050115963</v>
      </c>
      <c r="GI124" s="3">
        <f t="shared" si="4"/>
        <v>423</v>
      </c>
      <c r="GJ124" s="3">
        <f t="shared" si="5"/>
        <v>625</v>
      </c>
      <c r="GK124" s="3">
        <f t="shared" si="6"/>
        <v>202</v>
      </c>
    </row>
    <row r="125" spans="1:193" ht="13" x14ac:dyDescent="0.15">
      <c r="A125" s="13">
        <v>43207</v>
      </c>
      <c r="B125" s="3" t="s">
        <v>244</v>
      </c>
      <c r="C125" s="3">
        <v>21.310611999999999</v>
      </c>
      <c r="D125" s="3">
        <v>-158.00441000000001</v>
      </c>
      <c r="E125" s="3" t="s">
        <v>326</v>
      </c>
      <c r="F125" s="14">
        <v>0.38541666666666669</v>
      </c>
      <c r="G125" s="14">
        <v>0.44444444444444442</v>
      </c>
      <c r="H125" s="3">
        <v>9</v>
      </c>
      <c r="I125" s="3">
        <v>8</v>
      </c>
      <c r="J125" s="3" t="s">
        <v>198</v>
      </c>
      <c r="K125" s="3">
        <v>5</v>
      </c>
      <c r="L125" s="3">
        <v>30</v>
      </c>
      <c r="M125" s="3" t="s">
        <v>417</v>
      </c>
      <c r="N125" s="3" t="s">
        <v>396</v>
      </c>
      <c r="O125" s="3">
        <v>30</v>
      </c>
      <c r="T125" s="3"/>
      <c r="U125" s="3"/>
      <c r="V125" s="3"/>
      <c r="W125" s="3">
        <v>2</v>
      </c>
      <c r="Z125" s="3"/>
      <c r="AA125" s="3">
        <v>22</v>
      </c>
      <c r="AD125" s="3">
        <v>6</v>
      </c>
      <c r="AH125" s="3">
        <v>7</v>
      </c>
      <c r="BB125" s="3">
        <v>2</v>
      </c>
      <c r="BD125" s="3">
        <v>24</v>
      </c>
      <c r="BL125" s="3">
        <v>27</v>
      </c>
      <c r="BU125" s="3">
        <v>9</v>
      </c>
      <c r="BY125" s="3">
        <v>10</v>
      </c>
      <c r="CI125" s="3"/>
      <c r="CJ125" s="3">
        <v>19</v>
      </c>
      <c r="CR125" s="3">
        <v>1</v>
      </c>
      <c r="DL125" s="3">
        <v>7</v>
      </c>
      <c r="DN125" s="3">
        <v>1</v>
      </c>
      <c r="DS125" s="3"/>
      <c r="DT125" s="3"/>
      <c r="DU125" s="3">
        <v>21</v>
      </c>
      <c r="DY125" s="3">
        <v>1</v>
      </c>
      <c r="EB125" s="3">
        <v>5</v>
      </c>
      <c r="EF125" s="3"/>
      <c r="EG125" s="3"/>
      <c r="EH125" s="3"/>
      <c r="EI125" s="3">
        <v>306</v>
      </c>
      <c r="FA125" s="3">
        <v>11</v>
      </c>
      <c r="FH125" s="3">
        <v>1</v>
      </c>
      <c r="FQ125" s="3">
        <v>90</v>
      </c>
      <c r="FT125" s="3"/>
      <c r="FU125" s="3">
        <v>4</v>
      </c>
      <c r="GE125" s="3">
        <f t="shared" si="0"/>
        <v>21</v>
      </c>
      <c r="GF125" s="3">
        <f t="shared" si="1"/>
        <v>17</v>
      </c>
      <c r="GG125" s="3">
        <f t="shared" si="2"/>
        <v>14</v>
      </c>
      <c r="GH125" s="3">
        <f t="shared" si="3"/>
        <v>0.68526570048309177</v>
      </c>
      <c r="GI125" s="3">
        <f t="shared" si="4"/>
        <v>576</v>
      </c>
      <c r="GJ125" s="3">
        <f t="shared" si="5"/>
        <v>750</v>
      </c>
      <c r="GK125" s="3">
        <f t="shared" si="6"/>
        <v>174</v>
      </c>
    </row>
    <row r="126" spans="1:193" ht="13" x14ac:dyDescent="0.15">
      <c r="A126" s="13">
        <v>43212</v>
      </c>
      <c r="B126" s="3" t="s">
        <v>293</v>
      </c>
      <c r="C126" s="3">
        <v>19.738602</v>
      </c>
      <c r="D126" s="3">
        <v>-155.03887900000001</v>
      </c>
      <c r="E126" s="3" t="s">
        <v>418</v>
      </c>
      <c r="F126" s="14">
        <v>0.5541666666666667</v>
      </c>
      <c r="G126" s="14">
        <v>0.64583333333333337</v>
      </c>
      <c r="H126" s="3">
        <v>3</v>
      </c>
      <c r="I126" s="3">
        <v>18</v>
      </c>
      <c r="J126" s="3" t="s">
        <v>415</v>
      </c>
      <c r="K126" s="3">
        <v>10</v>
      </c>
      <c r="L126" s="3">
        <v>23</v>
      </c>
      <c r="M126" s="3" t="s">
        <v>419</v>
      </c>
      <c r="O126" s="3">
        <v>23</v>
      </c>
      <c r="BH126" s="3"/>
      <c r="BI126" s="3"/>
      <c r="BJ126" s="3">
        <v>10</v>
      </c>
      <c r="BL126" s="3">
        <v>1</v>
      </c>
      <c r="CB126" s="3">
        <v>11</v>
      </c>
      <c r="CC126" s="3">
        <v>13</v>
      </c>
      <c r="CU126" s="3">
        <v>2</v>
      </c>
      <c r="FL126" s="3">
        <v>24</v>
      </c>
      <c r="FM126" s="3"/>
      <c r="FN126" s="3">
        <v>1</v>
      </c>
      <c r="FQ126" s="3">
        <v>363</v>
      </c>
      <c r="GE126" s="3">
        <f t="shared" si="0"/>
        <v>8</v>
      </c>
      <c r="GF126" s="3">
        <f t="shared" si="1"/>
        <v>6</v>
      </c>
      <c r="GG126" s="3">
        <f t="shared" si="2"/>
        <v>5</v>
      </c>
      <c r="GH126" s="3">
        <f t="shared" si="3"/>
        <v>0.26572697003329637</v>
      </c>
      <c r="GI126" s="3">
        <f t="shared" si="4"/>
        <v>425</v>
      </c>
      <c r="GJ126" s="3">
        <f t="shared" si="5"/>
        <v>575</v>
      </c>
      <c r="GK126" s="3">
        <f t="shared" si="6"/>
        <v>150</v>
      </c>
    </row>
    <row r="127" spans="1:193" ht="13" x14ac:dyDescent="0.15">
      <c r="A127" s="13">
        <v>43214</v>
      </c>
      <c r="B127" s="3" t="s">
        <v>244</v>
      </c>
      <c r="C127" s="3">
        <v>21.310611999999999</v>
      </c>
      <c r="D127" s="3">
        <v>-158.00441000000001</v>
      </c>
      <c r="E127" s="3" t="s">
        <v>326</v>
      </c>
      <c r="F127" s="14">
        <v>0.375</v>
      </c>
      <c r="G127" s="14">
        <v>0.44444444444444442</v>
      </c>
      <c r="H127" s="3">
        <v>6</v>
      </c>
      <c r="I127" s="3">
        <v>8</v>
      </c>
      <c r="J127" s="3" t="s">
        <v>217</v>
      </c>
      <c r="K127" s="3">
        <v>4</v>
      </c>
      <c r="L127" s="3">
        <v>20</v>
      </c>
      <c r="M127" s="3" t="s">
        <v>421</v>
      </c>
      <c r="O127" s="3">
        <v>20</v>
      </c>
      <c r="Q127" s="3">
        <v>1</v>
      </c>
      <c r="Z127" s="3"/>
      <c r="AA127" s="3">
        <v>4</v>
      </c>
      <c r="AB127" s="3">
        <v>1</v>
      </c>
      <c r="AD127" s="3">
        <v>3</v>
      </c>
      <c r="AH127" s="3">
        <v>2</v>
      </c>
      <c r="BD127" s="3">
        <v>13</v>
      </c>
      <c r="BU127" s="3">
        <v>13</v>
      </c>
      <c r="BY127" s="3">
        <v>35</v>
      </c>
      <c r="CN127" s="3">
        <v>1</v>
      </c>
      <c r="CR127" s="3">
        <v>2</v>
      </c>
      <c r="DE127" s="3"/>
      <c r="DF127" s="3">
        <v>4</v>
      </c>
      <c r="DL127" s="3">
        <v>2</v>
      </c>
      <c r="DN127" s="3">
        <v>1</v>
      </c>
      <c r="DS127" s="3"/>
      <c r="DT127" s="3"/>
      <c r="DU127" s="3">
        <v>5</v>
      </c>
      <c r="EB127" s="3">
        <v>3</v>
      </c>
      <c r="EF127" s="3"/>
      <c r="EG127" s="3"/>
      <c r="EH127" s="3">
        <v>25</v>
      </c>
      <c r="EI127" s="3">
        <v>208</v>
      </c>
      <c r="ES127" s="3"/>
      <c r="ET127" s="3"/>
      <c r="EU127" s="3">
        <v>4</v>
      </c>
      <c r="EV127" s="3">
        <v>1</v>
      </c>
      <c r="FA127" s="3">
        <v>28</v>
      </c>
      <c r="FE127" s="3">
        <v>22</v>
      </c>
      <c r="FP127" s="3">
        <v>3</v>
      </c>
      <c r="FQ127" s="3">
        <v>11</v>
      </c>
      <c r="GD127" s="3">
        <v>9</v>
      </c>
      <c r="GE127" s="3">
        <f t="shared" si="0"/>
        <v>24</v>
      </c>
      <c r="GF127" s="3">
        <f t="shared" si="1"/>
        <v>19</v>
      </c>
      <c r="GG127" s="3">
        <f t="shared" si="2"/>
        <v>10</v>
      </c>
      <c r="GH127" s="3">
        <f t="shared" si="3"/>
        <v>0.7092394014962593</v>
      </c>
      <c r="GI127" s="3">
        <f t="shared" si="4"/>
        <v>401</v>
      </c>
      <c r="GJ127" s="3">
        <f t="shared" si="5"/>
        <v>500</v>
      </c>
      <c r="GK127" s="3">
        <f t="shared" si="6"/>
        <v>99</v>
      </c>
    </row>
    <row r="128" spans="1:193" ht="13" x14ac:dyDescent="0.15">
      <c r="A128" s="13">
        <v>43214</v>
      </c>
      <c r="B128" s="3" t="s">
        <v>201</v>
      </c>
      <c r="C128" s="3">
        <v>21.25544</v>
      </c>
      <c r="D128" s="3">
        <v>-157.810303</v>
      </c>
      <c r="E128" s="3" t="s">
        <v>422</v>
      </c>
      <c r="F128" s="14">
        <v>0.38541666666666669</v>
      </c>
      <c r="G128" s="14">
        <v>0.40972222222222221</v>
      </c>
      <c r="H128" s="3">
        <v>7</v>
      </c>
      <c r="I128" s="3">
        <v>12</v>
      </c>
      <c r="J128" s="3" t="s">
        <v>198</v>
      </c>
      <c r="K128" s="3">
        <v>5</v>
      </c>
      <c r="L128" s="3">
        <v>25</v>
      </c>
      <c r="M128" s="3" t="s">
        <v>523</v>
      </c>
      <c r="N128" s="3" t="s">
        <v>424</v>
      </c>
      <c r="O128" s="3">
        <v>25</v>
      </c>
      <c r="AD128" s="3">
        <v>4</v>
      </c>
      <c r="AH128" s="3">
        <v>2</v>
      </c>
      <c r="AU128" s="3">
        <v>1</v>
      </c>
      <c r="AZ128" s="3"/>
      <c r="BA128" s="3">
        <v>3</v>
      </c>
      <c r="BD128" s="3">
        <v>1</v>
      </c>
      <c r="BE128" s="3">
        <v>3</v>
      </c>
      <c r="BL128" s="3">
        <v>4</v>
      </c>
      <c r="BP128" s="3">
        <v>46</v>
      </c>
      <c r="BU128" s="3">
        <v>2</v>
      </c>
      <c r="BY128" s="3">
        <v>11</v>
      </c>
      <c r="CD128" s="3">
        <v>1</v>
      </c>
      <c r="DL128" s="3">
        <v>5</v>
      </c>
      <c r="DQ128" s="3"/>
      <c r="DR128" s="3">
        <v>5</v>
      </c>
      <c r="EI128" s="3">
        <v>315</v>
      </c>
      <c r="FA128" s="3">
        <v>5</v>
      </c>
      <c r="FE128" s="3">
        <v>5</v>
      </c>
      <c r="FP128" s="3">
        <v>34</v>
      </c>
      <c r="FQ128" s="3">
        <v>23</v>
      </c>
      <c r="FT128" s="3"/>
      <c r="FU128" s="3">
        <v>4</v>
      </c>
      <c r="FY128" s="3"/>
      <c r="FZ128" s="3">
        <v>2</v>
      </c>
      <c r="GD128" s="3">
        <v>2</v>
      </c>
      <c r="GE128" s="3">
        <f t="shared" si="0"/>
        <v>21</v>
      </c>
      <c r="GF128" s="3">
        <f t="shared" si="1"/>
        <v>18</v>
      </c>
      <c r="GG128" s="3">
        <f t="shared" si="2"/>
        <v>9</v>
      </c>
      <c r="GH128" s="3">
        <f t="shared" si="3"/>
        <v>0.54889783602185904</v>
      </c>
      <c r="GI128" s="3">
        <f t="shared" si="4"/>
        <v>478</v>
      </c>
      <c r="GJ128" s="3">
        <f t="shared" si="5"/>
        <v>625</v>
      </c>
      <c r="GK128" s="3">
        <f t="shared" si="6"/>
        <v>147</v>
      </c>
    </row>
    <row r="129" spans="1:193" ht="13" x14ac:dyDescent="0.15">
      <c r="A129" s="13">
        <v>43215</v>
      </c>
      <c r="B129" s="3" t="s">
        <v>340</v>
      </c>
      <c r="C129" s="3">
        <v>19.643276</v>
      </c>
      <c r="D129" s="3">
        <v>-156.01019299999999</v>
      </c>
      <c r="E129" s="3" t="s">
        <v>381</v>
      </c>
      <c r="F129" s="14">
        <v>0.31597222222222221</v>
      </c>
      <c r="G129" s="14">
        <v>0.34375</v>
      </c>
      <c r="H129" s="3">
        <v>5</v>
      </c>
      <c r="I129" s="3">
        <v>21</v>
      </c>
      <c r="J129" s="3" t="s">
        <v>198</v>
      </c>
      <c r="K129" s="3">
        <v>11</v>
      </c>
      <c r="L129" s="3">
        <v>50</v>
      </c>
      <c r="M129" s="3" t="s">
        <v>425</v>
      </c>
      <c r="O129" s="3">
        <v>50</v>
      </c>
      <c r="R129" s="3">
        <v>7</v>
      </c>
      <c r="AI129" s="3"/>
      <c r="AJ129" s="3"/>
      <c r="AK129" s="3"/>
      <c r="AL129" s="3">
        <v>371</v>
      </c>
      <c r="BL129" s="3">
        <v>8</v>
      </c>
      <c r="CB129" s="3">
        <v>23</v>
      </c>
      <c r="CC129" s="3">
        <v>7</v>
      </c>
      <c r="EA129" s="3">
        <v>1</v>
      </c>
      <c r="FE129" s="3">
        <v>12</v>
      </c>
      <c r="FL129" s="3">
        <v>7</v>
      </c>
      <c r="FP129" s="3">
        <v>1</v>
      </c>
      <c r="FQ129" s="3">
        <v>398</v>
      </c>
      <c r="FR129" s="3">
        <v>6</v>
      </c>
      <c r="GE129" s="3">
        <f t="shared" si="0"/>
        <v>11</v>
      </c>
      <c r="GF129" s="3">
        <f t="shared" si="1"/>
        <v>9</v>
      </c>
      <c r="GG129" s="3">
        <f t="shared" si="2"/>
        <v>9</v>
      </c>
      <c r="GH129" s="3">
        <f t="shared" si="3"/>
        <v>0.58081931940433718</v>
      </c>
      <c r="GI129" s="3">
        <f t="shared" si="4"/>
        <v>841</v>
      </c>
      <c r="GJ129" s="3">
        <f t="shared" si="5"/>
        <v>1250</v>
      </c>
      <c r="GK129" s="3">
        <f t="shared" si="6"/>
        <v>409</v>
      </c>
    </row>
    <row r="130" spans="1:193" ht="13" x14ac:dyDescent="0.15">
      <c r="A130" s="13">
        <v>43216</v>
      </c>
      <c r="B130" s="3" t="s">
        <v>329</v>
      </c>
      <c r="C130" s="3">
        <v>21.140799999999999</v>
      </c>
      <c r="D130" s="3">
        <v>-157.29011499999999</v>
      </c>
      <c r="E130" s="3" t="s">
        <v>330</v>
      </c>
      <c r="F130" s="14">
        <v>0.39583333333333331</v>
      </c>
      <c r="G130" s="14">
        <v>0.4236111111111111</v>
      </c>
      <c r="H130" s="3">
        <v>5</v>
      </c>
      <c r="I130" s="3">
        <v>9.5</v>
      </c>
      <c r="J130" s="3" t="s">
        <v>318</v>
      </c>
      <c r="K130" s="3">
        <v>5</v>
      </c>
      <c r="L130" s="3">
        <v>23</v>
      </c>
      <c r="M130" s="3" t="s">
        <v>426</v>
      </c>
      <c r="O130" s="3">
        <v>23</v>
      </c>
      <c r="R130" s="3">
        <v>4</v>
      </c>
      <c r="BD130" s="3">
        <v>8</v>
      </c>
      <c r="BY130" s="3">
        <v>9</v>
      </c>
      <c r="CR130" s="3">
        <v>24</v>
      </c>
      <c r="DL130" s="3">
        <v>4</v>
      </c>
      <c r="DN130" s="3">
        <v>10</v>
      </c>
      <c r="EI130" s="3">
        <v>34</v>
      </c>
      <c r="FC130" s="3"/>
      <c r="FD130" s="3">
        <v>6</v>
      </c>
      <c r="FO130" s="3">
        <v>10</v>
      </c>
      <c r="FQ130" s="3">
        <v>128</v>
      </c>
      <c r="GE130" s="3">
        <f t="shared" si="0"/>
        <v>10</v>
      </c>
      <c r="GF130" s="3">
        <f t="shared" si="1"/>
        <v>10</v>
      </c>
      <c r="GG130" s="3">
        <f t="shared" si="2"/>
        <v>8</v>
      </c>
      <c r="GH130" s="3">
        <f t="shared" si="3"/>
        <v>0.67296002288493173</v>
      </c>
      <c r="GI130" s="3">
        <f t="shared" si="4"/>
        <v>237</v>
      </c>
      <c r="GJ130" s="3">
        <f t="shared" si="5"/>
        <v>575</v>
      </c>
      <c r="GK130" s="3">
        <f t="shared" si="6"/>
        <v>338</v>
      </c>
    </row>
    <row r="131" spans="1:193" ht="13" x14ac:dyDescent="0.15">
      <c r="A131" s="13">
        <v>43230</v>
      </c>
      <c r="B131" s="3" t="s">
        <v>201</v>
      </c>
      <c r="C131" s="3">
        <v>21.25544</v>
      </c>
      <c r="D131" s="3">
        <v>-157.810303</v>
      </c>
      <c r="E131" s="3" t="s">
        <v>299</v>
      </c>
      <c r="F131" s="14">
        <v>0.3611111111111111</v>
      </c>
      <c r="G131" s="14">
        <v>0.40277777777777779</v>
      </c>
      <c r="H131" s="3">
        <v>5</v>
      </c>
      <c r="I131" s="3">
        <v>16</v>
      </c>
      <c r="J131" s="3" t="s">
        <v>217</v>
      </c>
      <c r="K131" s="3">
        <v>8</v>
      </c>
      <c r="L131" s="3">
        <v>25</v>
      </c>
      <c r="M131" s="3" t="s">
        <v>427</v>
      </c>
      <c r="O131" s="3">
        <v>25</v>
      </c>
      <c r="R131" s="3">
        <v>1</v>
      </c>
      <c r="AZ131" s="3"/>
      <c r="BA131" s="3">
        <v>6</v>
      </c>
      <c r="BM131" s="3">
        <v>5</v>
      </c>
      <c r="BP131" s="3">
        <v>8</v>
      </c>
      <c r="BY131" s="3">
        <v>13</v>
      </c>
      <c r="DE131" s="3"/>
      <c r="DF131" s="3">
        <v>6</v>
      </c>
      <c r="DL131" s="3">
        <v>8</v>
      </c>
      <c r="DO131" s="3">
        <v>3</v>
      </c>
      <c r="DS131" s="3"/>
      <c r="DT131" s="3"/>
      <c r="DU131" s="3">
        <v>2</v>
      </c>
      <c r="ED131" s="3"/>
      <c r="EE131" s="3">
        <v>7</v>
      </c>
      <c r="EI131" s="3">
        <v>208</v>
      </c>
      <c r="EX131" s="3"/>
      <c r="EY131" s="3">
        <v>1</v>
      </c>
      <c r="FA131" s="3">
        <v>51</v>
      </c>
      <c r="FP131" s="3">
        <v>38</v>
      </c>
      <c r="FQ131" s="3">
        <v>51</v>
      </c>
      <c r="GE131" s="3">
        <f t="shared" si="0"/>
        <v>15</v>
      </c>
      <c r="GF131" s="3">
        <f t="shared" si="1"/>
        <v>13</v>
      </c>
      <c r="GG131" s="3">
        <f t="shared" si="2"/>
        <v>11</v>
      </c>
      <c r="GH131" s="3">
        <f t="shared" si="3"/>
        <v>0.69913764031411096</v>
      </c>
      <c r="GI131" s="3">
        <f t="shared" si="4"/>
        <v>408</v>
      </c>
      <c r="GJ131" s="3">
        <f t="shared" si="5"/>
        <v>625</v>
      </c>
      <c r="GK131" s="3">
        <f t="shared" si="6"/>
        <v>217</v>
      </c>
    </row>
    <row r="132" spans="1:193" ht="13" x14ac:dyDescent="0.15">
      <c r="A132" s="13">
        <v>43231</v>
      </c>
      <c r="B132" s="3" t="s">
        <v>201</v>
      </c>
      <c r="C132" s="3">
        <v>21.25544</v>
      </c>
      <c r="D132" s="3">
        <v>-157.810303</v>
      </c>
      <c r="E132" s="3" t="s">
        <v>299</v>
      </c>
      <c r="F132" s="14">
        <v>0.375</v>
      </c>
      <c r="G132" s="14">
        <v>0.40972222222222221</v>
      </c>
      <c r="H132" s="3">
        <v>5</v>
      </c>
      <c r="I132" s="3">
        <v>16</v>
      </c>
      <c r="J132" s="3" t="s">
        <v>198</v>
      </c>
      <c r="K132" s="3">
        <v>7</v>
      </c>
      <c r="L132" s="3">
        <v>26</v>
      </c>
      <c r="M132" s="3" t="s">
        <v>430</v>
      </c>
      <c r="O132" s="3">
        <v>26</v>
      </c>
      <c r="Q132" s="3">
        <v>3</v>
      </c>
      <c r="Z132" s="3"/>
      <c r="AA132" s="3">
        <v>6</v>
      </c>
      <c r="AH132" s="3">
        <v>6</v>
      </c>
      <c r="AI132" s="3"/>
      <c r="AJ132" s="3">
        <v>1</v>
      </c>
      <c r="AT132" s="3">
        <v>1</v>
      </c>
      <c r="BH132" s="3"/>
      <c r="BI132" s="3"/>
      <c r="BJ132" s="3">
        <v>1</v>
      </c>
      <c r="BL132" s="3">
        <v>29</v>
      </c>
      <c r="BP132" s="3">
        <v>12</v>
      </c>
      <c r="BU132" s="3">
        <v>1</v>
      </c>
      <c r="BY132" s="3">
        <v>3</v>
      </c>
      <c r="DD132" s="3">
        <v>2</v>
      </c>
      <c r="DJ132" s="3">
        <v>2</v>
      </c>
      <c r="DL132" s="3">
        <v>11</v>
      </c>
      <c r="DN132" s="3">
        <v>3</v>
      </c>
      <c r="DQ132" s="3"/>
      <c r="DR132" s="3">
        <v>1</v>
      </c>
      <c r="EB132" s="3">
        <v>2</v>
      </c>
      <c r="ED132" s="3"/>
      <c r="EE132" s="3">
        <v>3</v>
      </c>
      <c r="EI132" s="3">
        <v>143</v>
      </c>
      <c r="EX132" s="3"/>
      <c r="EY132" s="3">
        <v>2</v>
      </c>
      <c r="FA132" s="3">
        <v>51</v>
      </c>
      <c r="FP132" s="3">
        <v>42</v>
      </c>
      <c r="FQ132" s="3">
        <v>121</v>
      </c>
      <c r="FT132" s="3"/>
      <c r="FU132" s="3">
        <v>3</v>
      </c>
      <c r="FY132" s="3">
        <v>8</v>
      </c>
      <c r="GE132" s="3">
        <f t="shared" si="0"/>
        <v>24</v>
      </c>
      <c r="GF132" s="3">
        <f t="shared" si="1"/>
        <v>19</v>
      </c>
      <c r="GG132" s="3">
        <f t="shared" si="2"/>
        <v>10</v>
      </c>
      <c r="GH132" s="3">
        <f t="shared" si="3"/>
        <v>0.80658566547660182</v>
      </c>
      <c r="GI132" s="3">
        <f t="shared" si="4"/>
        <v>457</v>
      </c>
      <c r="GJ132" s="3">
        <f t="shared" si="5"/>
        <v>650</v>
      </c>
      <c r="GK132" s="3">
        <f t="shared" si="6"/>
        <v>193</v>
      </c>
    </row>
    <row r="133" spans="1:193" ht="13" x14ac:dyDescent="0.15">
      <c r="A133" s="13">
        <v>43234</v>
      </c>
      <c r="B133" s="3" t="s">
        <v>216</v>
      </c>
      <c r="C133" s="3">
        <v>21.3002</v>
      </c>
      <c r="D133" s="3">
        <v>-157.882599</v>
      </c>
      <c r="E133" s="3" t="s">
        <v>272</v>
      </c>
      <c r="F133" s="14">
        <v>0.38263888888888886</v>
      </c>
      <c r="G133" s="14">
        <v>0.41944444444444445</v>
      </c>
      <c r="H133" s="3">
        <v>6</v>
      </c>
      <c r="I133" s="3">
        <v>26</v>
      </c>
      <c r="J133" s="3" t="s">
        <v>198</v>
      </c>
      <c r="K133" s="3">
        <v>5</v>
      </c>
      <c r="L133" s="3">
        <v>27</v>
      </c>
      <c r="M133" s="3" t="s">
        <v>431</v>
      </c>
      <c r="N133" s="3" t="s">
        <v>432</v>
      </c>
      <c r="O133" s="3">
        <v>25</v>
      </c>
      <c r="BD133" s="3">
        <v>1</v>
      </c>
      <c r="BG133" s="3">
        <v>1</v>
      </c>
      <c r="BH133" s="3"/>
      <c r="BI133" s="3">
        <v>1</v>
      </c>
      <c r="BK133" s="3">
        <v>1</v>
      </c>
      <c r="BL133" s="3">
        <v>10</v>
      </c>
      <c r="BP133" s="3">
        <v>8</v>
      </c>
      <c r="BU133" s="3">
        <v>2</v>
      </c>
      <c r="CD133" s="3">
        <v>1</v>
      </c>
      <c r="EB133" s="3">
        <v>3</v>
      </c>
      <c r="EI133" s="3">
        <v>2</v>
      </c>
      <c r="EW133" s="3">
        <v>1</v>
      </c>
      <c r="FQ133" s="3">
        <v>508</v>
      </c>
      <c r="GE133" s="3">
        <f t="shared" si="0"/>
        <v>12</v>
      </c>
      <c r="GF133" s="3">
        <f t="shared" si="1"/>
        <v>6</v>
      </c>
      <c r="GG133" s="3">
        <f t="shared" si="2"/>
        <v>3</v>
      </c>
      <c r="GH133" s="3">
        <f t="shared" si="3"/>
        <v>0.11128276927533431</v>
      </c>
      <c r="GI133" s="3">
        <f t="shared" si="4"/>
        <v>539</v>
      </c>
      <c r="GJ133" s="3">
        <f t="shared" si="5"/>
        <v>625</v>
      </c>
      <c r="GK133" s="3">
        <f t="shared" si="6"/>
        <v>86</v>
      </c>
    </row>
    <row r="134" spans="1:193" ht="13" x14ac:dyDescent="0.15">
      <c r="A134" s="13">
        <v>43236</v>
      </c>
      <c r="B134" s="3" t="s">
        <v>266</v>
      </c>
      <c r="C134" s="3">
        <v>22.060683999999998</v>
      </c>
      <c r="D134" s="3">
        <v>-159.318512</v>
      </c>
      <c r="E134" s="3" t="s">
        <v>347</v>
      </c>
      <c r="F134" s="14">
        <v>0.40625</v>
      </c>
      <c r="G134" s="14">
        <v>0.45555555555555555</v>
      </c>
      <c r="H134" s="3">
        <v>10</v>
      </c>
      <c r="I134" s="3">
        <v>7</v>
      </c>
      <c r="J134" s="3" t="s">
        <v>198</v>
      </c>
      <c r="K134" s="3">
        <v>10</v>
      </c>
      <c r="L134" s="3">
        <v>69</v>
      </c>
      <c r="M134" s="3" t="s">
        <v>433</v>
      </c>
      <c r="O134" s="3">
        <v>69</v>
      </c>
      <c r="T134" s="3"/>
      <c r="U134" s="3"/>
      <c r="V134" s="3"/>
      <c r="W134" s="3">
        <v>1</v>
      </c>
      <c r="Z134" s="3"/>
      <c r="AA134" s="3">
        <v>3</v>
      </c>
      <c r="AB134" s="3">
        <v>1</v>
      </c>
      <c r="AC134" s="3">
        <v>11</v>
      </c>
      <c r="AH134" s="3">
        <v>1</v>
      </c>
      <c r="AK134" s="3"/>
      <c r="AL134" s="3">
        <v>52</v>
      </c>
      <c r="AM134" s="3">
        <v>1</v>
      </c>
      <c r="AS134" s="3">
        <v>2</v>
      </c>
      <c r="AZ134" s="3"/>
      <c r="BA134" s="3">
        <v>3</v>
      </c>
      <c r="BD134" s="3">
        <v>5</v>
      </c>
      <c r="BJ134" s="3">
        <v>15</v>
      </c>
      <c r="BM134" s="3">
        <v>21</v>
      </c>
      <c r="BS134" s="3">
        <v>7</v>
      </c>
      <c r="BU134" s="3">
        <v>43</v>
      </c>
      <c r="BV134" s="3">
        <v>4</v>
      </c>
      <c r="BY134" s="3">
        <v>4</v>
      </c>
      <c r="CC134" s="3">
        <v>7</v>
      </c>
      <c r="CE134" s="3">
        <v>3</v>
      </c>
      <c r="CI134" s="3"/>
      <c r="CJ134" s="3">
        <v>2</v>
      </c>
      <c r="CR134" s="3">
        <v>5</v>
      </c>
      <c r="DC134" s="3">
        <v>1</v>
      </c>
      <c r="DE134" s="3"/>
      <c r="DF134" s="3">
        <v>2</v>
      </c>
      <c r="DL134" s="3">
        <v>16</v>
      </c>
      <c r="DQ134" s="3"/>
      <c r="DR134" s="3">
        <v>71</v>
      </c>
      <c r="DS134" s="3"/>
      <c r="DT134" s="3"/>
      <c r="DU134" s="3">
        <v>37</v>
      </c>
      <c r="DZ134" s="3">
        <v>3</v>
      </c>
      <c r="EI134" s="3">
        <v>193</v>
      </c>
      <c r="ES134" s="3"/>
      <c r="ET134" s="3"/>
      <c r="EU134" s="3">
        <v>1</v>
      </c>
      <c r="FA134" s="3">
        <v>6</v>
      </c>
      <c r="FE134" s="3">
        <v>19</v>
      </c>
      <c r="FP134" s="3">
        <v>26</v>
      </c>
      <c r="FQ134" s="3">
        <v>649</v>
      </c>
      <c r="FX134" s="3">
        <v>5</v>
      </c>
      <c r="GB134" s="3"/>
      <c r="GC134" s="3">
        <v>1</v>
      </c>
      <c r="GD134" s="3">
        <v>4</v>
      </c>
      <c r="GE134" s="3">
        <f t="shared" si="0"/>
        <v>35</v>
      </c>
      <c r="GF134" s="3">
        <f t="shared" si="1"/>
        <v>28</v>
      </c>
      <c r="GG134" s="3">
        <f t="shared" si="2"/>
        <v>18</v>
      </c>
      <c r="GH134" s="3">
        <f t="shared" si="3"/>
        <v>0.68615446178471395</v>
      </c>
      <c r="GI134" s="3">
        <f t="shared" si="4"/>
        <v>1225</v>
      </c>
      <c r="GJ134" s="3">
        <f t="shared" si="5"/>
        <v>1725</v>
      </c>
      <c r="GK134" s="3">
        <f t="shared" si="6"/>
        <v>500</v>
      </c>
    </row>
    <row r="135" spans="1:193" ht="13" x14ac:dyDescent="0.15">
      <c r="A135" s="13">
        <v>43238</v>
      </c>
      <c r="B135" s="3" t="s">
        <v>201</v>
      </c>
      <c r="C135" s="3">
        <v>21.25544</v>
      </c>
      <c r="D135" s="3">
        <v>-157.810303</v>
      </c>
      <c r="E135" s="3" t="s">
        <v>325</v>
      </c>
      <c r="F135" s="14">
        <v>0.42708333333333331</v>
      </c>
      <c r="G135" s="14">
        <v>0.46736111111111112</v>
      </c>
      <c r="H135" s="3">
        <v>5</v>
      </c>
      <c r="I135" s="3">
        <v>10</v>
      </c>
      <c r="J135" s="3" t="s">
        <v>318</v>
      </c>
      <c r="K135" s="3">
        <v>5</v>
      </c>
      <c r="L135" s="3">
        <v>25</v>
      </c>
      <c r="O135" s="3">
        <v>25</v>
      </c>
      <c r="Q135" s="3">
        <v>5</v>
      </c>
      <c r="AH135" s="3">
        <v>18</v>
      </c>
      <c r="AK135" s="3">
        <v>1</v>
      </c>
      <c r="AN135" s="3"/>
      <c r="AO135" s="3">
        <v>1</v>
      </c>
      <c r="AY135" s="3">
        <v>1</v>
      </c>
      <c r="BB135" s="3">
        <v>1</v>
      </c>
      <c r="BK135" s="3">
        <v>1</v>
      </c>
      <c r="BL135" s="3">
        <v>8</v>
      </c>
      <c r="BP135" s="3">
        <v>14</v>
      </c>
      <c r="BV135" s="3">
        <v>3</v>
      </c>
      <c r="BW135" s="3">
        <v>1</v>
      </c>
      <c r="CH135" s="3">
        <v>1</v>
      </c>
      <c r="CI135" s="3"/>
      <c r="CJ135" s="3">
        <v>1</v>
      </c>
      <c r="CR135" s="3">
        <v>1</v>
      </c>
      <c r="DC135" s="3">
        <v>8</v>
      </c>
      <c r="DE135" s="3"/>
      <c r="DF135" s="3">
        <v>2</v>
      </c>
      <c r="DQ135" s="3"/>
      <c r="DR135" s="3">
        <v>7</v>
      </c>
      <c r="DS135" s="3"/>
      <c r="DT135" s="3"/>
      <c r="DU135" s="3">
        <v>5</v>
      </c>
      <c r="DY135" s="3">
        <v>1</v>
      </c>
      <c r="EB135" s="3">
        <v>1</v>
      </c>
      <c r="EI135" s="3">
        <v>156</v>
      </c>
      <c r="EW135" s="3">
        <v>2</v>
      </c>
      <c r="FA135" s="3">
        <v>1</v>
      </c>
      <c r="FL135" s="3">
        <v>5</v>
      </c>
      <c r="FQ135" s="3">
        <v>320</v>
      </c>
      <c r="GE135" s="3">
        <f t="shared" si="0"/>
        <v>25</v>
      </c>
      <c r="GF135" s="3">
        <f t="shared" si="1"/>
        <v>13</v>
      </c>
      <c r="GG135" s="3">
        <f t="shared" si="2"/>
        <v>10</v>
      </c>
      <c r="GH135" s="3">
        <f t="shared" si="3"/>
        <v>0.60154396535492372</v>
      </c>
      <c r="GI135" s="3">
        <f t="shared" si="4"/>
        <v>565</v>
      </c>
      <c r="GJ135" s="3">
        <f t="shared" si="5"/>
        <v>625</v>
      </c>
      <c r="GK135" s="3">
        <f t="shared" si="6"/>
        <v>60</v>
      </c>
    </row>
    <row r="136" spans="1:193" ht="13" x14ac:dyDescent="0.15">
      <c r="A136" s="13">
        <v>43238</v>
      </c>
      <c r="B136" s="3" t="s">
        <v>259</v>
      </c>
      <c r="C136" s="3">
        <v>19.737894000000001</v>
      </c>
      <c r="D136" s="3">
        <v>-155.03405799999999</v>
      </c>
      <c r="E136" s="3" t="s">
        <v>358</v>
      </c>
      <c r="F136" s="14">
        <v>0.3888888888888889</v>
      </c>
      <c r="G136" s="14">
        <v>0.41666666666666669</v>
      </c>
      <c r="H136" s="3">
        <v>7</v>
      </c>
      <c r="I136" s="3">
        <v>20</v>
      </c>
      <c r="J136" s="3" t="s">
        <v>198</v>
      </c>
      <c r="K136" s="3">
        <v>12</v>
      </c>
      <c r="L136" s="3">
        <v>52</v>
      </c>
      <c r="M136" s="3" t="s">
        <v>434</v>
      </c>
      <c r="N136" s="3" t="s">
        <v>435</v>
      </c>
      <c r="O136" s="3">
        <v>46</v>
      </c>
      <c r="R136" s="3">
        <v>6</v>
      </c>
      <c r="AE136" s="3">
        <v>15</v>
      </c>
      <c r="AF136" s="3">
        <v>49</v>
      </c>
      <c r="AK136" s="3">
        <v>5</v>
      </c>
      <c r="AN136" s="3"/>
      <c r="AO136" s="3">
        <v>1</v>
      </c>
      <c r="AZ136" s="3"/>
      <c r="BA136" s="3">
        <v>11</v>
      </c>
      <c r="BJ136" s="3">
        <v>6</v>
      </c>
      <c r="BK136" s="3">
        <v>4</v>
      </c>
      <c r="BL136" s="3">
        <v>80</v>
      </c>
      <c r="CB136" s="3">
        <v>31</v>
      </c>
      <c r="CC136" s="3">
        <v>1</v>
      </c>
      <c r="CT136" s="3">
        <v>6</v>
      </c>
      <c r="DG136" s="3">
        <v>8</v>
      </c>
      <c r="EC136" s="3">
        <v>52</v>
      </c>
      <c r="EF136" s="3"/>
      <c r="EG136" s="3"/>
      <c r="EH136" s="3">
        <v>1</v>
      </c>
      <c r="EW136" s="3">
        <v>25</v>
      </c>
      <c r="FB136" s="3">
        <v>2</v>
      </c>
      <c r="FL136" s="3">
        <v>31</v>
      </c>
      <c r="FO136" s="3">
        <v>3</v>
      </c>
      <c r="FQ136" s="3">
        <v>485</v>
      </c>
      <c r="FR136" s="3">
        <v>32</v>
      </c>
      <c r="FT136" s="3"/>
      <c r="FU136" s="3">
        <v>25</v>
      </c>
      <c r="FX136" s="3">
        <v>67</v>
      </c>
      <c r="GB136" s="3"/>
      <c r="GC136" s="3">
        <v>4</v>
      </c>
      <c r="GD136" s="3">
        <v>1</v>
      </c>
      <c r="GE136" s="3">
        <f t="shared" si="0"/>
        <v>25</v>
      </c>
      <c r="GF136" s="3">
        <f t="shared" si="1"/>
        <v>21</v>
      </c>
      <c r="GG136" s="3">
        <f t="shared" si="2"/>
        <v>17</v>
      </c>
      <c r="GH136" s="3">
        <f t="shared" si="3"/>
        <v>0.71768664563617246</v>
      </c>
      <c r="GI136" s="3">
        <f t="shared" si="4"/>
        <v>951</v>
      </c>
      <c r="GJ136" s="3">
        <f t="shared" si="5"/>
        <v>1150</v>
      </c>
      <c r="GK136" s="3">
        <f t="shared" si="6"/>
        <v>199</v>
      </c>
    </row>
    <row r="137" spans="1:193" ht="13" x14ac:dyDescent="0.15">
      <c r="A137" s="13">
        <v>43311</v>
      </c>
      <c r="B137" s="3" t="s">
        <v>246</v>
      </c>
      <c r="C137" s="3">
        <v>21.2882</v>
      </c>
      <c r="D137" s="3">
        <v>-157.66799900000001</v>
      </c>
      <c r="E137" s="3" t="s">
        <v>353</v>
      </c>
      <c r="F137" s="14">
        <v>0.39027777777777778</v>
      </c>
      <c r="G137" s="14">
        <v>0.44791666666666669</v>
      </c>
      <c r="H137" s="3">
        <v>6</v>
      </c>
      <c r="I137" s="3">
        <v>17</v>
      </c>
      <c r="J137" s="3" t="s">
        <v>198</v>
      </c>
      <c r="K137" s="3">
        <v>6</v>
      </c>
      <c r="L137" s="3">
        <v>26</v>
      </c>
      <c r="M137" s="3" t="s">
        <v>436</v>
      </c>
      <c r="N137" s="3" t="s">
        <v>437</v>
      </c>
      <c r="O137" s="3">
        <v>21</v>
      </c>
      <c r="Q137" s="3">
        <v>2</v>
      </c>
      <c r="R137" s="3">
        <v>2</v>
      </c>
      <c r="AB137" s="3">
        <v>1</v>
      </c>
      <c r="BG137" s="3">
        <v>1</v>
      </c>
      <c r="BJ137" s="3">
        <v>2</v>
      </c>
      <c r="BK137" s="3">
        <v>1</v>
      </c>
      <c r="BL137" s="3">
        <v>12</v>
      </c>
      <c r="BM137" s="3">
        <v>3</v>
      </c>
      <c r="BZ137" s="3">
        <v>3</v>
      </c>
      <c r="CB137" s="3">
        <v>2</v>
      </c>
      <c r="DE137" s="3"/>
      <c r="DF137" s="3">
        <v>1</v>
      </c>
      <c r="DL137" s="3">
        <v>2</v>
      </c>
      <c r="DN137" s="3">
        <v>2</v>
      </c>
      <c r="DY137" s="3">
        <v>2</v>
      </c>
      <c r="EI137" s="3">
        <v>1</v>
      </c>
      <c r="EX137" s="3"/>
      <c r="EY137" s="3">
        <v>4</v>
      </c>
      <c r="FA137" s="3">
        <v>1</v>
      </c>
      <c r="FL137" s="3">
        <v>6</v>
      </c>
      <c r="FM137" s="3"/>
      <c r="FN137" s="3">
        <v>1</v>
      </c>
      <c r="FP137" s="3">
        <v>11</v>
      </c>
      <c r="FQ137" s="3">
        <v>99</v>
      </c>
      <c r="FT137" s="3"/>
      <c r="FU137" s="3">
        <v>1</v>
      </c>
      <c r="GD137" s="3">
        <v>7</v>
      </c>
      <c r="GE137" s="3">
        <f t="shared" si="0"/>
        <v>23</v>
      </c>
      <c r="GF137" s="3">
        <f t="shared" si="1"/>
        <v>15</v>
      </c>
      <c r="GG137" s="3">
        <f t="shared" si="2"/>
        <v>5</v>
      </c>
      <c r="GH137" s="3">
        <f t="shared" si="3"/>
        <v>0.63732775413029363</v>
      </c>
      <c r="GI137" s="3">
        <f t="shared" si="4"/>
        <v>167</v>
      </c>
      <c r="GJ137" s="3">
        <f t="shared" si="5"/>
        <v>525</v>
      </c>
      <c r="GK137" s="3">
        <f t="shared" si="6"/>
        <v>358</v>
      </c>
    </row>
    <row r="138" spans="1:193" ht="13" x14ac:dyDescent="0.15">
      <c r="A138" s="13">
        <v>43485</v>
      </c>
      <c r="B138" s="3" t="s">
        <v>201</v>
      </c>
      <c r="C138" s="3">
        <v>21.25544</v>
      </c>
      <c r="D138" s="3">
        <v>-157.81030000000001</v>
      </c>
      <c r="E138" s="3" t="s">
        <v>418</v>
      </c>
      <c r="F138" s="14">
        <v>0.40625</v>
      </c>
      <c r="G138" s="14">
        <v>0.44791666666666669</v>
      </c>
      <c r="H138" s="3">
        <v>6</v>
      </c>
      <c r="I138" s="3">
        <v>10</v>
      </c>
      <c r="J138" s="3" t="s">
        <v>318</v>
      </c>
      <c r="K138" s="3">
        <v>10</v>
      </c>
      <c r="L138" s="3">
        <v>52</v>
      </c>
      <c r="M138" s="3" t="s">
        <v>438</v>
      </c>
      <c r="O138" s="3">
        <v>52</v>
      </c>
      <c r="Q138" s="3">
        <v>3</v>
      </c>
      <c r="S138" s="3">
        <v>3</v>
      </c>
      <c r="AE138" s="3">
        <v>1</v>
      </c>
      <c r="AG138" s="3"/>
      <c r="AH138" s="3">
        <v>6</v>
      </c>
      <c r="BE138" s="3"/>
      <c r="BF138" s="3"/>
      <c r="BG138" s="3"/>
      <c r="BH138" s="3"/>
      <c r="BI138" s="3"/>
      <c r="BJ138" s="3"/>
      <c r="BK138" s="3"/>
      <c r="BL138" s="3">
        <v>17</v>
      </c>
      <c r="BP138" s="3">
        <v>15</v>
      </c>
      <c r="BQ138" s="3"/>
      <c r="BR138" s="3"/>
      <c r="BS138" s="3"/>
      <c r="BT138" s="3"/>
      <c r="BU138" s="3">
        <v>1</v>
      </c>
      <c r="BV138" s="3"/>
      <c r="BX138" s="3"/>
      <c r="BY138" s="3">
        <v>3</v>
      </c>
      <c r="BZ138" s="3"/>
      <c r="CA138" s="3">
        <v>4</v>
      </c>
      <c r="CH138" s="3"/>
      <c r="CI138" s="3"/>
      <c r="CJ138" s="3"/>
      <c r="CK138" s="3"/>
      <c r="CL138" s="3"/>
      <c r="CM138" s="3"/>
      <c r="CN138" s="3"/>
      <c r="CO138" s="3"/>
      <c r="CP138" s="3"/>
      <c r="CQ138" s="3"/>
      <c r="CR138" s="3">
        <v>4</v>
      </c>
      <c r="DA138" s="3"/>
      <c r="DB138" s="3">
        <v>1</v>
      </c>
      <c r="DC138" s="3"/>
      <c r="DD138" s="3"/>
      <c r="DE138" s="3"/>
      <c r="DF138" s="3">
        <v>6</v>
      </c>
      <c r="DH138" s="3"/>
      <c r="DI138" s="3"/>
      <c r="DJ138" s="3"/>
      <c r="DK138" s="3"/>
      <c r="DL138" s="3">
        <v>30</v>
      </c>
      <c r="DM138" s="3">
        <v>3</v>
      </c>
      <c r="DN138" s="3"/>
      <c r="DO138" s="3">
        <v>2</v>
      </c>
      <c r="DP138" s="3"/>
      <c r="DQ138" s="3"/>
      <c r="DR138" s="3">
        <v>53</v>
      </c>
      <c r="DS138" s="3"/>
      <c r="DT138" s="3"/>
      <c r="DU138" s="3">
        <v>1</v>
      </c>
      <c r="DV138" s="3"/>
      <c r="DW138" s="3"/>
      <c r="DX138" s="3"/>
      <c r="DY138" s="3"/>
      <c r="DZ138" s="3">
        <v>1</v>
      </c>
      <c r="EA138" s="3"/>
      <c r="EB138" s="3"/>
      <c r="EC138" s="3"/>
      <c r="ED138" s="3"/>
      <c r="EE138" s="3"/>
      <c r="EF138" s="3"/>
      <c r="EG138" s="3"/>
      <c r="EH138" s="3"/>
      <c r="EI138" s="3">
        <v>201</v>
      </c>
      <c r="EJ138" s="3"/>
      <c r="EK138" s="3"/>
      <c r="EL138" s="3"/>
      <c r="EM138" s="3"/>
      <c r="EN138" s="3"/>
      <c r="EO138" s="3"/>
      <c r="EP138" s="3"/>
      <c r="EQ138" s="3"/>
      <c r="ER138" s="3"/>
      <c r="ES138" s="3"/>
      <c r="ET138" s="3"/>
      <c r="EU138" s="3"/>
      <c r="EV138" s="3"/>
      <c r="EW138" s="3"/>
      <c r="EX138" s="3"/>
      <c r="EY138" s="3"/>
      <c r="EZ138" s="3"/>
      <c r="FA138" s="3">
        <v>192</v>
      </c>
      <c r="FB138" s="3">
        <v>3</v>
      </c>
      <c r="FF138" s="3"/>
      <c r="FG138" s="3">
        <v>1</v>
      </c>
      <c r="FH138" s="3">
        <v>4</v>
      </c>
      <c r="FI138" s="3"/>
      <c r="FJ138" s="3"/>
      <c r="FK138" s="3"/>
      <c r="FL138" s="3">
        <v>3</v>
      </c>
      <c r="FM138" s="3"/>
      <c r="FN138" s="3"/>
      <c r="FO138" s="3"/>
      <c r="FP138" s="3">
        <v>145</v>
      </c>
      <c r="FQ138" s="3">
        <v>273</v>
      </c>
      <c r="GA138" s="3"/>
      <c r="GB138" s="3"/>
      <c r="GC138" s="3">
        <v>1</v>
      </c>
      <c r="GE138" s="3">
        <f t="shared" si="0"/>
        <v>27</v>
      </c>
      <c r="GF138" s="3">
        <f t="shared" si="1"/>
        <v>20</v>
      </c>
      <c r="GG138" s="3">
        <f t="shared" si="2"/>
        <v>10</v>
      </c>
      <c r="GH138" s="3">
        <f t="shared" si="3"/>
        <v>0.81516477339463389</v>
      </c>
      <c r="GI138" s="3">
        <f t="shared" si="4"/>
        <v>977</v>
      </c>
      <c r="GJ138" s="3">
        <f t="shared" si="5"/>
        <v>1300</v>
      </c>
      <c r="GK138" s="3">
        <f t="shared" si="6"/>
        <v>323</v>
      </c>
    </row>
    <row r="139" spans="1:193" ht="13" x14ac:dyDescent="0.15">
      <c r="A139" s="13">
        <v>43517</v>
      </c>
      <c r="B139" s="3" t="s">
        <v>440</v>
      </c>
      <c r="C139" s="3">
        <v>21.311893000000001</v>
      </c>
      <c r="D139" s="3">
        <v>-157.89514199999999</v>
      </c>
      <c r="E139" s="3" t="s">
        <v>418</v>
      </c>
      <c r="F139" s="14">
        <v>0.45833333333333331</v>
      </c>
      <c r="G139" s="14">
        <v>0.49027777777777776</v>
      </c>
      <c r="H139" s="3">
        <v>5</v>
      </c>
      <c r="I139" s="3">
        <v>10</v>
      </c>
      <c r="J139" s="3" t="s">
        <v>318</v>
      </c>
      <c r="K139" s="3">
        <v>5</v>
      </c>
      <c r="L139" s="3">
        <v>25</v>
      </c>
      <c r="O139" s="3">
        <v>25</v>
      </c>
      <c r="AG139" s="3"/>
      <c r="AH139" s="3">
        <v>1</v>
      </c>
      <c r="AS139" s="3"/>
      <c r="AT139" s="3"/>
      <c r="AU139" s="3"/>
      <c r="AV139" s="3"/>
      <c r="AW139" s="3"/>
      <c r="AX139" s="3"/>
      <c r="AY139" s="3">
        <v>1</v>
      </c>
      <c r="AZ139" s="3"/>
      <c r="BA139" s="3"/>
      <c r="BB139" s="3"/>
      <c r="BC139" s="3"/>
      <c r="BD139" s="3">
        <v>1</v>
      </c>
      <c r="BE139" s="3"/>
      <c r="BF139" s="3"/>
      <c r="BG139" s="3"/>
      <c r="BH139" s="3"/>
      <c r="BI139" s="3"/>
      <c r="BJ139" s="3"/>
      <c r="BK139" s="3">
        <v>1</v>
      </c>
      <c r="BL139" s="3">
        <v>15</v>
      </c>
      <c r="BQ139" s="3"/>
      <c r="BR139" s="3"/>
      <c r="BS139" s="3"/>
      <c r="BT139" s="3"/>
      <c r="BU139" s="3">
        <v>13</v>
      </c>
      <c r="BV139" s="3"/>
      <c r="BX139" s="3"/>
      <c r="BY139" s="3">
        <v>3</v>
      </c>
      <c r="CU139" s="3"/>
      <c r="CV139" s="3"/>
      <c r="CW139" s="3"/>
      <c r="CX139" s="3"/>
      <c r="CY139" s="3"/>
      <c r="CZ139" s="3">
        <v>2</v>
      </c>
      <c r="DP139" s="3"/>
      <c r="DQ139" s="3"/>
      <c r="DR139" s="3">
        <v>22</v>
      </c>
      <c r="EJ139" s="3"/>
      <c r="EK139" s="3"/>
      <c r="EL139" s="3"/>
      <c r="EM139" s="3"/>
      <c r="EN139" s="3"/>
      <c r="EO139" s="3"/>
      <c r="EP139" s="3"/>
      <c r="EQ139" s="3"/>
      <c r="ER139" s="3"/>
      <c r="ES139" s="3"/>
      <c r="ET139" s="3"/>
      <c r="EU139" s="3"/>
      <c r="EV139" s="3"/>
      <c r="EW139" s="3"/>
      <c r="EX139" s="3"/>
      <c r="EY139" s="3"/>
      <c r="EZ139" s="3"/>
      <c r="FA139" s="3">
        <v>24</v>
      </c>
      <c r="FC139" s="3"/>
      <c r="FD139" s="3">
        <v>3</v>
      </c>
      <c r="FQ139" s="3">
        <v>223</v>
      </c>
      <c r="FW139" s="3">
        <v>1</v>
      </c>
      <c r="GD139" s="3">
        <v>1</v>
      </c>
      <c r="GE139" s="3">
        <f t="shared" si="0"/>
        <v>14</v>
      </c>
      <c r="GF139" s="3">
        <f t="shared" si="1"/>
        <v>8</v>
      </c>
      <c r="GG139" s="3">
        <f t="shared" si="2"/>
        <v>5</v>
      </c>
      <c r="GH139" s="3">
        <f t="shared" si="3"/>
        <v>0.472046468208692</v>
      </c>
      <c r="GI139" s="3">
        <f t="shared" si="4"/>
        <v>311</v>
      </c>
      <c r="GJ139" s="3">
        <f t="shared" si="5"/>
        <v>625</v>
      </c>
      <c r="GK139" s="3">
        <f t="shared" si="6"/>
        <v>314</v>
      </c>
    </row>
    <row r="140" spans="1:193" ht="13" x14ac:dyDescent="0.15">
      <c r="A140" s="13">
        <v>43519</v>
      </c>
      <c r="B140" s="3" t="s">
        <v>266</v>
      </c>
      <c r="C140" s="23">
        <v>22.060683999999998</v>
      </c>
      <c r="D140" s="23">
        <v>-159.318512</v>
      </c>
      <c r="E140" s="3" t="s">
        <v>297</v>
      </c>
      <c r="F140" s="14">
        <v>0.36875000000000002</v>
      </c>
      <c r="G140" s="14">
        <v>0.40625</v>
      </c>
      <c r="H140" s="3">
        <v>4</v>
      </c>
      <c r="I140" s="3">
        <v>20</v>
      </c>
      <c r="J140" s="3" t="s">
        <v>198</v>
      </c>
      <c r="K140" s="3">
        <v>5</v>
      </c>
      <c r="L140" s="3">
        <v>19</v>
      </c>
      <c r="M140" s="3" t="s">
        <v>441</v>
      </c>
      <c r="O140" s="3">
        <v>19</v>
      </c>
      <c r="Q140" s="3">
        <v>1</v>
      </c>
      <c r="Z140" s="3"/>
      <c r="AA140" s="3">
        <v>13</v>
      </c>
      <c r="AC140" s="3">
        <v>1</v>
      </c>
      <c r="AF140" s="3"/>
      <c r="AV140" s="3"/>
      <c r="AW140" s="3">
        <v>1</v>
      </c>
      <c r="AZ140" s="3"/>
      <c r="BA140" s="3">
        <v>1</v>
      </c>
      <c r="BE140" s="3"/>
      <c r="BF140" s="3"/>
      <c r="BG140" s="3"/>
      <c r="BH140" s="3"/>
      <c r="BI140" s="3"/>
      <c r="BJ140" s="3"/>
      <c r="BL140" s="3">
        <v>1</v>
      </c>
      <c r="BM140" s="3">
        <v>43</v>
      </c>
      <c r="BP140" s="3"/>
      <c r="BQ140" s="3"/>
      <c r="BU140" s="3">
        <v>9</v>
      </c>
      <c r="CB140" s="3"/>
      <c r="CC140" s="3"/>
      <c r="CD140" s="3"/>
      <c r="CE140" s="3"/>
      <c r="CH140" s="3"/>
      <c r="CI140" s="3"/>
      <c r="CJ140" s="3"/>
      <c r="CK140" s="3"/>
      <c r="CL140" s="3"/>
      <c r="CM140" s="3"/>
      <c r="CN140" s="3"/>
      <c r="DL140" s="3">
        <v>37</v>
      </c>
      <c r="DM140" s="3">
        <v>1</v>
      </c>
      <c r="DQ140" s="3"/>
      <c r="DR140" s="3">
        <v>28</v>
      </c>
      <c r="DV140" s="3"/>
      <c r="DW140" s="3"/>
      <c r="EA140" s="3"/>
      <c r="EB140" s="3"/>
      <c r="EC140" s="3"/>
      <c r="EI140" s="3">
        <v>89</v>
      </c>
      <c r="EJ140" s="3"/>
      <c r="EK140" s="3"/>
      <c r="EL140" s="3"/>
      <c r="EM140" s="3"/>
      <c r="EN140" s="3"/>
      <c r="EO140" s="3"/>
      <c r="EP140" s="3"/>
      <c r="EQ140" s="3"/>
      <c r="FA140" s="3">
        <v>5</v>
      </c>
      <c r="FH140" s="3">
        <v>22</v>
      </c>
      <c r="FI140" s="3"/>
      <c r="FJ140" s="3"/>
      <c r="FK140" s="3"/>
      <c r="FL140" s="3"/>
      <c r="FP140" s="3">
        <v>31</v>
      </c>
      <c r="FQ140" s="3">
        <v>63</v>
      </c>
      <c r="FY140" s="3">
        <v>21</v>
      </c>
      <c r="GE140" s="3">
        <f t="shared" si="0"/>
        <v>17</v>
      </c>
      <c r="GF140" s="3">
        <f t="shared" si="1"/>
        <v>11</v>
      </c>
      <c r="GG140" s="3">
        <f t="shared" si="2"/>
        <v>11</v>
      </c>
      <c r="GH140" s="3">
        <f t="shared" si="3"/>
        <v>0.86828665445719988</v>
      </c>
      <c r="GI140" s="3">
        <f t="shared" si="4"/>
        <v>367</v>
      </c>
      <c r="GJ140" s="3">
        <f t="shared" si="5"/>
        <v>475</v>
      </c>
      <c r="GK140" s="3">
        <f t="shared" si="6"/>
        <v>108</v>
      </c>
    </row>
    <row r="141" spans="1:193" ht="13" x14ac:dyDescent="0.15">
      <c r="A141" s="13">
        <v>43519</v>
      </c>
      <c r="B141" s="3" t="s">
        <v>266</v>
      </c>
      <c r="C141" s="23">
        <v>22.060683999999998</v>
      </c>
      <c r="D141" s="23">
        <v>-159.318512</v>
      </c>
      <c r="E141" s="3" t="s">
        <v>347</v>
      </c>
      <c r="F141" s="14">
        <v>0.53472222222222221</v>
      </c>
      <c r="G141" s="14">
        <v>0.60416666666666663</v>
      </c>
      <c r="H141" s="3">
        <v>3</v>
      </c>
      <c r="I141" s="3">
        <v>20</v>
      </c>
      <c r="J141" s="3" t="s">
        <v>198</v>
      </c>
      <c r="K141" s="3">
        <v>20</v>
      </c>
      <c r="L141" s="3">
        <v>10</v>
      </c>
      <c r="M141" s="3" t="s">
        <v>442</v>
      </c>
      <c r="N141" s="3" t="s">
        <v>443</v>
      </c>
      <c r="O141" s="3">
        <v>10</v>
      </c>
      <c r="AV141" s="3"/>
      <c r="AW141" s="3">
        <v>1</v>
      </c>
      <c r="BJ141" s="3">
        <v>2</v>
      </c>
      <c r="BL141" s="3">
        <v>1</v>
      </c>
      <c r="BU141" s="3">
        <v>1</v>
      </c>
      <c r="DL141" s="3">
        <v>10</v>
      </c>
      <c r="DQ141" s="3"/>
      <c r="DR141" s="3">
        <v>59</v>
      </c>
      <c r="EI141" s="3">
        <v>11</v>
      </c>
      <c r="FH141" s="3">
        <v>5</v>
      </c>
      <c r="FP141" s="3">
        <v>1</v>
      </c>
      <c r="FQ141" s="3">
        <v>28</v>
      </c>
      <c r="GE141" s="3">
        <f t="shared" si="0"/>
        <v>10</v>
      </c>
      <c r="GF141" s="3">
        <f t="shared" si="1"/>
        <v>6</v>
      </c>
      <c r="GG141" s="3">
        <f t="shared" si="2"/>
        <v>5</v>
      </c>
      <c r="GH141" s="3">
        <f t="shared" si="3"/>
        <v>0.68665432274604754</v>
      </c>
      <c r="GI141" s="3">
        <f t="shared" si="4"/>
        <v>119</v>
      </c>
      <c r="GJ141" s="3">
        <f t="shared" si="5"/>
        <v>250</v>
      </c>
      <c r="GK141" s="3">
        <f t="shared" si="6"/>
        <v>131</v>
      </c>
    </row>
    <row r="142" spans="1:193" ht="13" x14ac:dyDescent="0.15">
      <c r="A142" s="13">
        <v>43520</v>
      </c>
      <c r="B142" s="3" t="s">
        <v>293</v>
      </c>
      <c r="C142" s="3">
        <v>19.738602</v>
      </c>
      <c r="D142" s="3">
        <v>-155.03887900000001</v>
      </c>
      <c r="E142" s="3" t="s">
        <v>418</v>
      </c>
      <c r="F142" s="14">
        <v>0.55208333333333337</v>
      </c>
      <c r="G142" s="14">
        <v>0.59375</v>
      </c>
      <c r="H142" s="3">
        <v>3</v>
      </c>
      <c r="I142" s="3">
        <v>13</v>
      </c>
      <c r="J142" s="3" t="s">
        <v>198</v>
      </c>
      <c r="K142" s="3">
        <v>11</v>
      </c>
      <c r="L142" s="3">
        <v>25</v>
      </c>
      <c r="M142" s="3" t="s">
        <v>444</v>
      </c>
      <c r="N142" s="3"/>
      <c r="O142" s="3">
        <v>25</v>
      </c>
      <c r="AF142" s="3">
        <v>3</v>
      </c>
      <c r="BE142" s="3"/>
      <c r="BF142" s="3"/>
      <c r="BG142" s="3"/>
      <c r="BH142" s="3"/>
      <c r="BI142" s="3"/>
      <c r="BJ142" s="3">
        <v>2</v>
      </c>
      <c r="BL142" s="3">
        <v>25</v>
      </c>
      <c r="BP142" s="3">
        <v>1</v>
      </c>
      <c r="BQ142" s="3">
        <v>6</v>
      </c>
      <c r="CB142" s="3">
        <v>5</v>
      </c>
      <c r="CC142" s="3"/>
      <c r="CD142" s="3"/>
      <c r="CE142" s="3">
        <v>1</v>
      </c>
      <c r="CH142" s="3"/>
      <c r="CI142" s="3"/>
      <c r="CJ142" s="3"/>
      <c r="CK142" s="3"/>
      <c r="CL142" s="3"/>
      <c r="CM142" s="3"/>
      <c r="CN142" s="3">
        <v>12</v>
      </c>
      <c r="DV142" s="3"/>
      <c r="DW142" s="3">
        <v>19</v>
      </c>
      <c r="EA142" s="3"/>
      <c r="EB142" s="3"/>
      <c r="EC142" s="3">
        <v>1</v>
      </c>
      <c r="EJ142" s="3"/>
      <c r="EK142" s="3"/>
      <c r="EL142" s="3"/>
      <c r="EM142" s="3"/>
      <c r="EN142" s="3"/>
      <c r="EO142" s="3">
        <v>4</v>
      </c>
      <c r="EP142" s="3"/>
      <c r="EQ142" s="3">
        <v>1</v>
      </c>
      <c r="FI142" s="3"/>
      <c r="FJ142" s="3"/>
      <c r="FK142" s="3"/>
      <c r="FL142" s="3">
        <v>3</v>
      </c>
      <c r="FQ142" s="3">
        <v>389</v>
      </c>
      <c r="GE142" s="3">
        <f t="shared" si="0"/>
        <v>14</v>
      </c>
      <c r="GF142" s="3">
        <f t="shared" si="1"/>
        <v>10</v>
      </c>
      <c r="GG142" s="3">
        <f t="shared" si="2"/>
        <v>6</v>
      </c>
      <c r="GH142" s="3">
        <f t="shared" si="3"/>
        <v>0.31590737342113784</v>
      </c>
      <c r="GI142" s="3">
        <f t="shared" si="4"/>
        <v>472</v>
      </c>
      <c r="GJ142" s="3">
        <f t="shared" si="5"/>
        <v>625</v>
      </c>
      <c r="GK142" s="3">
        <f t="shared" si="6"/>
        <v>153</v>
      </c>
    </row>
    <row r="143" spans="1:193" ht="13" x14ac:dyDescent="0.15">
      <c r="A143" s="13">
        <v>43525</v>
      </c>
      <c r="B143" s="3" t="s">
        <v>244</v>
      </c>
      <c r="C143" s="3">
        <v>21.310611999999999</v>
      </c>
      <c r="D143" s="3">
        <v>-158.00441000000001</v>
      </c>
      <c r="E143" s="3" t="s">
        <v>278</v>
      </c>
      <c r="F143" s="14">
        <v>0.38541666666666669</v>
      </c>
      <c r="G143" s="14">
        <v>0.47222222222222221</v>
      </c>
      <c r="H143" s="3">
        <v>8</v>
      </c>
      <c r="I143" s="3">
        <v>10</v>
      </c>
      <c r="J143" s="3" t="s">
        <v>318</v>
      </c>
      <c r="K143" s="3">
        <v>6</v>
      </c>
      <c r="L143" s="3">
        <v>32</v>
      </c>
      <c r="M143" s="3" t="s">
        <v>445</v>
      </c>
      <c r="N143" s="3" t="s">
        <v>1014</v>
      </c>
      <c r="O143" s="3">
        <v>28</v>
      </c>
      <c r="Q143" s="3">
        <v>9</v>
      </c>
      <c r="T143" s="3"/>
      <c r="U143" s="3"/>
      <c r="V143" s="3"/>
      <c r="W143" s="3"/>
      <c r="X143" s="3"/>
      <c r="Y143" s="3"/>
      <c r="Z143" s="3"/>
      <c r="AA143" s="3">
        <v>2</v>
      </c>
      <c r="AD143" s="3">
        <v>12</v>
      </c>
      <c r="AI143" s="3"/>
      <c r="AJ143" s="3"/>
      <c r="AK143" s="3"/>
      <c r="AL143" s="3">
        <v>3</v>
      </c>
      <c r="AS143" s="3">
        <v>7</v>
      </c>
      <c r="AZ143" s="3"/>
      <c r="BA143" s="3">
        <v>18</v>
      </c>
      <c r="BB143" s="3"/>
      <c r="BC143" s="3">
        <v>27</v>
      </c>
      <c r="BD143" s="3">
        <v>13</v>
      </c>
      <c r="BE143" s="3"/>
      <c r="BF143" s="3"/>
      <c r="BG143" s="3"/>
      <c r="BH143" s="3"/>
      <c r="BI143" s="3"/>
      <c r="BJ143" s="3">
        <v>25</v>
      </c>
      <c r="BL143" s="3">
        <v>14</v>
      </c>
      <c r="BR143" s="3"/>
      <c r="BS143" s="3"/>
      <c r="BT143" s="3"/>
      <c r="BU143" s="3">
        <v>10</v>
      </c>
      <c r="BW143" s="3">
        <v>5</v>
      </c>
      <c r="CH143" s="3"/>
      <c r="CI143" s="3"/>
      <c r="CJ143" s="3"/>
      <c r="CK143" s="3"/>
      <c r="CL143" s="3">
        <v>18</v>
      </c>
      <c r="DA143" s="3"/>
      <c r="DB143" s="3">
        <v>7</v>
      </c>
      <c r="DC143" s="3"/>
      <c r="DD143" s="3">
        <v>9</v>
      </c>
      <c r="DE143" s="3"/>
      <c r="DF143" s="3">
        <v>3</v>
      </c>
      <c r="DH143" s="3"/>
      <c r="DI143" s="3"/>
      <c r="DJ143" s="3"/>
      <c r="DK143" s="3"/>
      <c r="DL143" s="3">
        <v>5</v>
      </c>
      <c r="EA143" s="3"/>
      <c r="EB143" s="3">
        <v>2</v>
      </c>
      <c r="EC143" s="3">
        <v>15</v>
      </c>
      <c r="ED143" s="3"/>
      <c r="EE143" s="3"/>
      <c r="EF143" s="3"/>
      <c r="EG143" s="3"/>
      <c r="EH143" s="3"/>
      <c r="EI143" s="3">
        <v>48</v>
      </c>
      <c r="EJ143" s="3">
        <v>1</v>
      </c>
      <c r="EK143" s="3"/>
      <c r="EL143" s="3"/>
      <c r="EM143" s="3"/>
      <c r="EN143" s="3">
        <v>1</v>
      </c>
      <c r="ER143" s="3"/>
      <c r="ES143" s="3"/>
      <c r="ET143" s="3"/>
      <c r="EU143" s="3"/>
      <c r="EV143" s="3">
        <v>1</v>
      </c>
      <c r="EW143" s="3">
        <v>3</v>
      </c>
      <c r="FI143" s="3"/>
      <c r="FJ143" s="3"/>
      <c r="FK143" s="3">
        <v>2</v>
      </c>
      <c r="FM143" s="3"/>
      <c r="FN143" s="3"/>
      <c r="FO143" s="3">
        <v>29</v>
      </c>
      <c r="FQ143" s="3">
        <v>162</v>
      </c>
      <c r="GE143" s="3">
        <f t="shared" si="0"/>
        <v>27</v>
      </c>
      <c r="GF143" s="3">
        <f t="shared" si="1"/>
        <v>24</v>
      </c>
      <c r="GG143" s="3">
        <f t="shared" si="2"/>
        <v>18</v>
      </c>
      <c r="GH143" s="3">
        <f t="shared" si="3"/>
        <v>0.8417048534121705</v>
      </c>
      <c r="GI143" s="3">
        <f t="shared" si="4"/>
        <v>451</v>
      </c>
      <c r="GJ143" s="3">
        <f t="shared" si="5"/>
        <v>700</v>
      </c>
      <c r="GK143" s="3">
        <f t="shared" si="6"/>
        <v>249</v>
      </c>
    </row>
    <row r="144" spans="1:193" ht="13" x14ac:dyDescent="0.15">
      <c r="A144" s="13">
        <v>43528</v>
      </c>
      <c r="B144" s="3" t="s">
        <v>400</v>
      </c>
      <c r="C144" s="3">
        <v>21.900562000000001</v>
      </c>
      <c r="D144" s="3">
        <v>-159.60981799999999</v>
      </c>
      <c r="E144" s="3" t="s">
        <v>401</v>
      </c>
      <c r="F144" s="14">
        <v>0.39583333333333331</v>
      </c>
      <c r="G144" s="14">
        <v>0.44097222222222221</v>
      </c>
      <c r="H144" s="3">
        <v>6</v>
      </c>
      <c r="I144" s="3">
        <v>14</v>
      </c>
      <c r="J144" s="3" t="s">
        <v>198</v>
      </c>
      <c r="K144" s="3">
        <v>14</v>
      </c>
      <c r="L144" s="3">
        <v>43</v>
      </c>
      <c r="M144" s="3" t="s">
        <v>447</v>
      </c>
      <c r="N144" s="3" t="s">
        <v>1015</v>
      </c>
      <c r="O144" s="3">
        <v>30</v>
      </c>
      <c r="AZ144" s="3"/>
      <c r="BA144" s="3">
        <v>12</v>
      </c>
      <c r="BE144" s="3"/>
      <c r="BF144" s="3"/>
      <c r="BG144" s="3">
        <v>4</v>
      </c>
      <c r="BV144" s="3">
        <v>53</v>
      </c>
      <c r="DH144" s="3"/>
      <c r="DI144" s="3">
        <v>46</v>
      </c>
      <c r="DJ144" s="3"/>
      <c r="DK144" s="3">
        <v>99</v>
      </c>
      <c r="DS144" s="3"/>
      <c r="DT144" s="3"/>
      <c r="DU144" s="3">
        <v>3</v>
      </c>
      <c r="EC144" s="3">
        <v>3</v>
      </c>
      <c r="ED144" s="3"/>
      <c r="EE144" s="3"/>
      <c r="EF144" s="3"/>
      <c r="EG144" s="3"/>
      <c r="EH144" s="3"/>
      <c r="EI144" s="3">
        <v>60</v>
      </c>
      <c r="EX144" s="3"/>
      <c r="EY144" s="3"/>
      <c r="EZ144" s="3"/>
      <c r="FA144" s="3">
        <v>44</v>
      </c>
      <c r="FP144" s="3">
        <v>27</v>
      </c>
      <c r="FQ144" s="3">
        <v>18</v>
      </c>
      <c r="GE144" s="3">
        <f t="shared" si="0"/>
        <v>11</v>
      </c>
      <c r="GF144" s="3">
        <f t="shared" si="1"/>
        <v>11</v>
      </c>
      <c r="GG144" s="3">
        <f t="shared" si="2"/>
        <v>8</v>
      </c>
      <c r="GH144" s="3">
        <f t="shared" si="3"/>
        <v>0.84443855308118299</v>
      </c>
      <c r="GI144" s="3">
        <f t="shared" si="4"/>
        <v>369</v>
      </c>
      <c r="GJ144" s="3">
        <f t="shared" si="5"/>
        <v>750</v>
      </c>
      <c r="GK144" s="3">
        <f t="shared" si="6"/>
        <v>381</v>
      </c>
    </row>
    <row r="145" spans="1:200" ht="13" x14ac:dyDescent="0.15">
      <c r="A145" s="13">
        <v>43531</v>
      </c>
      <c r="B145" s="3" t="s">
        <v>266</v>
      </c>
      <c r="C145" s="3">
        <v>22.060683999999998</v>
      </c>
      <c r="D145" s="3">
        <v>-159.318512</v>
      </c>
      <c r="E145" s="3" t="s">
        <v>418</v>
      </c>
      <c r="F145" s="14">
        <v>0.4375</v>
      </c>
      <c r="G145" s="14">
        <v>0.50208333333333333</v>
      </c>
      <c r="H145" s="3">
        <v>7</v>
      </c>
      <c r="I145" s="3">
        <v>18</v>
      </c>
      <c r="J145" s="3" t="s">
        <v>198</v>
      </c>
      <c r="K145" s="3">
        <v>10</v>
      </c>
      <c r="L145" s="3">
        <v>56</v>
      </c>
      <c r="M145" s="3" t="s">
        <v>450</v>
      </c>
      <c r="O145" s="3">
        <v>56</v>
      </c>
      <c r="T145" s="3"/>
      <c r="U145" s="3"/>
      <c r="V145" s="3"/>
      <c r="W145" s="3">
        <v>6</v>
      </c>
      <c r="AG145" s="3"/>
      <c r="AH145" s="3">
        <v>2</v>
      </c>
      <c r="AZ145" s="3"/>
      <c r="BA145" s="3">
        <v>17</v>
      </c>
      <c r="BL145" s="3">
        <v>6</v>
      </c>
      <c r="BM145" s="3">
        <v>116</v>
      </c>
      <c r="BR145" s="3"/>
      <c r="BS145" s="3"/>
      <c r="BT145" s="3"/>
      <c r="BU145" s="3">
        <v>47</v>
      </c>
      <c r="CC145" s="3"/>
      <c r="CD145" s="3">
        <v>6</v>
      </c>
      <c r="DJ145" s="3"/>
      <c r="DK145" s="3">
        <v>6</v>
      </c>
      <c r="DL145" s="3">
        <v>13</v>
      </c>
      <c r="DP145" s="3"/>
      <c r="DQ145" s="3"/>
      <c r="DR145" s="3">
        <v>130</v>
      </c>
      <c r="DS145" s="3"/>
      <c r="DT145" s="3"/>
      <c r="DU145" s="3">
        <v>12</v>
      </c>
      <c r="ED145" s="3"/>
      <c r="EE145" s="3"/>
      <c r="EF145" s="3"/>
      <c r="EG145" s="3"/>
      <c r="EH145" s="3"/>
      <c r="EI145" s="3">
        <v>55</v>
      </c>
      <c r="EX145" s="3"/>
      <c r="EY145" s="3"/>
      <c r="EZ145" s="3"/>
      <c r="FA145" s="3">
        <v>25</v>
      </c>
      <c r="FB145" s="3">
        <v>1</v>
      </c>
      <c r="FL145" s="3">
        <v>1</v>
      </c>
      <c r="FP145" s="3">
        <v>12</v>
      </c>
      <c r="FQ145" s="3">
        <v>443</v>
      </c>
      <c r="GE145" s="3">
        <f t="shared" si="0"/>
        <v>17</v>
      </c>
      <c r="GF145" s="3">
        <f t="shared" si="1"/>
        <v>15</v>
      </c>
      <c r="GG145" s="3">
        <f t="shared" si="2"/>
        <v>14</v>
      </c>
      <c r="GH145" s="3">
        <f t="shared" si="3"/>
        <v>0.7114087294197684</v>
      </c>
      <c r="GI145" s="3">
        <f t="shared" si="4"/>
        <v>898</v>
      </c>
      <c r="GJ145" s="3">
        <f t="shared" si="5"/>
        <v>1400</v>
      </c>
      <c r="GK145" s="3">
        <f t="shared" si="6"/>
        <v>502</v>
      </c>
    </row>
    <row r="146" spans="1:200" ht="13" x14ac:dyDescent="0.15">
      <c r="A146" s="13">
        <v>43531</v>
      </c>
      <c r="B146" s="3" t="s">
        <v>233</v>
      </c>
      <c r="C146" s="3">
        <v>21.066799</v>
      </c>
      <c r="D146" s="3">
        <v>-156.804993</v>
      </c>
      <c r="E146" s="3" t="s">
        <v>286</v>
      </c>
      <c r="F146" s="14">
        <v>0.43541666666666667</v>
      </c>
      <c r="G146" s="14">
        <v>0.47430555555555554</v>
      </c>
      <c r="H146" s="3">
        <v>4</v>
      </c>
      <c r="I146" s="3">
        <v>24</v>
      </c>
      <c r="J146" s="3" t="s">
        <v>227</v>
      </c>
      <c r="K146" s="3">
        <v>9</v>
      </c>
      <c r="L146" s="3">
        <v>25</v>
      </c>
      <c r="M146" s="3" t="s">
        <v>451</v>
      </c>
      <c r="N146" s="3" t="s">
        <v>452</v>
      </c>
      <c r="O146" s="3">
        <v>23</v>
      </c>
      <c r="Q146" s="3">
        <v>5</v>
      </c>
      <c r="AI146" s="3"/>
      <c r="AJ146" s="3"/>
      <c r="AK146" s="3"/>
      <c r="AL146" s="3">
        <v>49</v>
      </c>
      <c r="BL146" s="3">
        <v>188</v>
      </c>
      <c r="CF146" s="3"/>
      <c r="CG146" s="3">
        <v>8</v>
      </c>
      <c r="CM146" s="3"/>
      <c r="CN146" s="3">
        <v>7</v>
      </c>
      <c r="DL146" s="3">
        <v>37</v>
      </c>
      <c r="ED146" s="3"/>
      <c r="EE146" s="3"/>
      <c r="EF146" s="3"/>
      <c r="EG146" s="3"/>
      <c r="EH146" s="3"/>
      <c r="EI146" s="3">
        <v>7</v>
      </c>
      <c r="EJ146" s="3">
        <v>1</v>
      </c>
      <c r="EP146" s="3">
        <v>22</v>
      </c>
      <c r="FP146" s="3">
        <v>16</v>
      </c>
      <c r="FQ146" s="3">
        <v>3</v>
      </c>
      <c r="GE146" s="3">
        <f t="shared" si="0"/>
        <v>11</v>
      </c>
      <c r="GF146" s="3">
        <f t="shared" si="1"/>
        <v>10</v>
      </c>
      <c r="GG146" s="3">
        <f t="shared" si="2"/>
        <v>9</v>
      </c>
      <c r="GH146" s="3">
        <f t="shared" si="3"/>
        <v>0.66150069050176463</v>
      </c>
      <c r="GI146" s="3">
        <f t="shared" si="4"/>
        <v>343</v>
      </c>
      <c r="GJ146" s="3">
        <f t="shared" si="5"/>
        <v>575</v>
      </c>
      <c r="GK146" s="3">
        <f t="shared" si="6"/>
        <v>232</v>
      </c>
    </row>
    <row r="147" spans="1:200" ht="16" x14ac:dyDescent="0.2">
      <c r="A147" s="33">
        <v>43533</v>
      </c>
      <c r="B147" s="22" t="s">
        <v>244</v>
      </c>
      <c r="C147" s="3">
        <v>21.310611999999999</v>
      </c>
      <c r="D147" s="3">
        <v>-158.00441000000001</v>
      </c>
      <c r="E147" s="22" t="s">
        <v>418</v>
      </c>
      <c r="F147" s="34">
        <v>0.45277777777777778</v>
      </c>
      <c r="G147" s="34">
        <v>0.48194444444444445</v>
      </c>
      <c r="H147" s="22">
        <v>5</v>
      </c>
      <c r="I147" s="22">
        <v>20</v>
      </c>
      <c r="J147" s="22" t="s">
        <v>217</v>
      </c>
      <c r="K147" s="22">
        <v>5</v>
      </c>
      <c r="L147" s="22">
        <v>24</v>
      </c>
      <c r="M147" s="22" t="s">
        <v>403</v>
      </c>
      <c r="N147" s="22"/>
      <c r="O147" s="22">
        <v>24</v>
      </c>
      <c r="P147" s="22"/>
      <c r="Q147" s="22">
        <v>3</v>
      </c>
      <c r="R147" s="22"/>
      <c r="S147" s="22"/>
      <c r="T147" s="22"/>
      <c r="U147" s="22"/>
      <c r="V147" s="22"/>
      <c r="W147" s="22"/>
      <c r="X147" s="22"/>
      <c r="Y147" s="22"/>
      <c r="Z147" s="22"/>
      <c r="AA147" s="22">
        <v>5</v>
      </c>
      <c r="AB147" s="22"/>
      <c r="AC147" s="22"/>
      <c r="AD147" s="22">
        <v>7</v>
      </c>
      <c r="AE147" s="22"/>
      <c r="AF147" s="22"/>
      <c r="AG147" s="22"/>
      <c r="AH147" s="22">
        <v>1</v>
      </c>
      <c r="AI147" s="22"/>
      <c r="AJ147" s="22"/>
      <c r="AK147" s="22"/>
      <c r="AL147" s="22">
        <v>6</v>
      </c>
      <c r="AM147" s="22"/>
      <c r="AN147" s="22"/>
      <c r="AO147" s="22"/>
      <c r="AP147" s="22"/>
      <c r="AQ147" s="22"/>
      <c r="AR147" s="22"/>
      <c r="AS147" s="22"/>
      <c r="AT147" s="22"/>
      <c r="AU147" s="22"/>
      <c r="AV147" s="22"/>
      <c r="AW147" s="22"/>
      <c r="AX147" s="22"/>
      <c r="AY147" s="22"/>
      <c r="AZ147" s="22"/>
      <c r="BA147" s="22">
        <v>1</v>
      </c>
      <c r="BB147" s="22"/>
      <c r="BC147" s="22"/>
      <c r="BD147" s="22">
        <v>53</v>
      </c>
      <c r="BE147" s="22"/>
      <c r="BF147" s="22"/>
      <c r="BG147" s="22"/>
      <c r="BH147" s="22"/>
      <c r="BI147" s="22"/>
      <c r="BJ147" s="22"/>
      <c r="BK147" s="22"/>
      <c r="BL147" s="22">
        <v>84</v>
      </c>
      <c r="BM147" s="22"/>
      <c r="BN147" s="22"/>
      <c r="BO147" s="22"/>
      <c r="BP147" s="22">
        <v>2</v>
      </c>
      <c r="BQ147" s="22"/>
      <c r="BR147" s="22"/>
      <c r="BS147" s="22"/>
      <c r="BT147" s="22"/>
      <c r="BU147" s="22">
        <v>17</v>
      </c>
      <c r="BV147" s="22"/>
      <c r="BW147" s="22"/>
      <c r="BX147" s="22"/>
      <c r="BY147" s="22">
        <v>2</v>
      </c>
      <c r="BZ147" s="22"/>
      <c r="CA147" s="22"/>
      <c r="CB147" s="22"/>
      <c r="CC147" s="22"/>
      <c r="CD147" s="22"/>
      <c r="CE147" s="22"/>
      <c r="CF147" s="22"/>
      <c r="CG147" s="22"/>
      <c r="CH147" s="22"/>
      <c r="CI147" s="22"/>
      <c r="CJ147" s="22"/>
      <c r="CK147" s="22"/>
      <c r="CL147" s="22"/>
      <c r="CM147" s="22"/>
      <c r="CN147" s="22">
        <v>18</v>
      </c>
      <c r="CO147" s="22"/>
      <c r="CP147" s="22"/>
      <c r="CQ147" s="22"/>
      <c r="CR147" s="22"/>
      <c r="CS147" s="22"/>
      <c r="CT147" s="22"/>
      <c r="CU147" s="22"/>
      <c r="CV147" s="22"/>
      <c r="CW147" s="22"/>
      <c r="CX147" s="22"/>
      <c r="CY147" s="22"/>
      <c r="CZ147" s="22"/>
      <c r="DA147" s="22"/>
      <c r="DB147" s="22"/>
      <c r="DC147" s="22"/>
      <c r="DD147" s="22"/>
      <c r="DE147" s="22"/>
      <c r="DF147" s="22">
        <v>5</v>
      </c>
      <c r="DG147" s="22"/>
      <c r="DH147" s="22"/>
      <c r="DI147" s="22"/>
      <c r="DJ147" s="22"/>
      <c r="DK147" s="22"/>
      <c r="DL147" s="22"/>
      <c r="DM147" s="22"/>
      <c r="DN147" s="22">
        <v>12</v>
      </c>
      <c r="DO147" s="22"/>
      <c r="DP147" s="22"/>
      <c r="DQ147" s="22"/>
      <c r="DR147" s="22"/>
      <c r="DS147" s="22"/>
      <c r="DT147" s="22"/>
      <c r="DU147" s="22">
        <v>37</v>
      </c>
      <c r="DV147" s="22"/>
      <c r="DW147" s="22"/>
      <c r="DX147" s="22"/>
      <c r="DY147" s="22"/>
      <c r="DZ147" s="22"/>
      <c r="EA147" s="22"/>
      <c r="EB147" s="22">
        <v>7</v>
      </c>
      <c r="EC147" s="22"/>
      <c r="ED147" s="22"/>
      <c r="EE147" s="22"/>
      <c r="EF147" s="22"/>
      <c r="EG147" s="22"/>
      <c r="EH147" s="22"/>
      <c r="EI147" s="22">
        <v>64</v>
      </c>
      <c r="EJ147" s="22"/>
      <c r="EK147" s="22"/>
      <c r="EL147" s="22"/>
      <c r="EM147" s="22"/>
      <c r="EN147" s="22">
        <v>1</v>
      </c>
      <c r="EO147" s="22"/>
      <c r="EP147" s="22"/>
      <c r="EQ147" s="22"/>
      <c r="ER147" s="22"/>
      <c r="ES147" s="22"/>
      <c r="ET147" s="22"/>
      <c r="EU147" s="22"/>
      <c r="EV147" s="22"/>
      <c r="EW147" s="22"/>
      <c r="FF147" s="22"/>
      <c r="FG147" s="22"/>
      <c r="FH147" s="22"/>
      <c r="FI147" s="22"/>
      <c r="FJ147" s="22"/>
      <c r="FK147" s="22"/>
      <c r="FL147" s="22">
        <v>5</v>
      </c>
      <c r="FM147" s="22"/>
      <c r="FN147" s="22"/>
      <c r="FO147" s="22">
        <v>4</v>
      </c>
      <c r="FP147" s="22"/>
      <c r="FQ147" s="22">
        <v>169</v>
      </c>
      <c r="FR147" s="22"/>
      <c r="FS147" s="22"/>
      <c r="FT147" s="22"/>
      <c r="FU147" s="22"/>
      <c r="FW147" s="22"/>
      <c r="FX147" s="22"/>
      <c r="FY147" s="22"/>
      <c r="FZ147" s="22"/>
      <c r="GA147" s="22"/>
      <c r="GB147" s="22"/>
      <c r="GC147" s="22"/>
      <c r="GD147" s="22"/>
      <c r="GE147" s="3">
        <f t="shared" si="0"/>
        <v>21</v>
      </c>
      <c r="GF147" s="3">
        <f t="shared" si="1"/>
        <v>18</v>
      </c>
      <c r="GG147" s="3">
        <f t="shared" si="2"/>
        <v>14</v>
      </c>
      <c r="GH147" s="3">
        <f t="shared" si="3"/>
        <v>0.82420219717551269</v>
      </c>
      <c r="GI147" s="3">
        <f t="shared" si="4"/>
        <v>503</v>
      </c>
      <c r="GJ147" s="3">
        <f t="shared" si="5"/>
        <v>600</v>
      </c>
      <c r="GK147" s="3">
        <f t="shared" si="6"/>
        <v>97</v>
      </c>
      <c r="GL147" s="22"/>
      <c r="GM147" s="22"/>
      <c r="GN147" s="22"/>
      <c r="GO147" s="22"/>
      <c r="GP147" s="22"/>
      <c r="GQ147" s="22"/>
      <c r="GR147" s="22"/>
    </row>
    <row r="148" spans="1:200" ht="16" x14ac:dyDescent="0.2">
      <c r="A148" s="35">
        <v>43536</v>
      </c>
      <c r="B148" s="22" t="s">
        <v>201</v>
      </c>
      <c r="C148" s="3">
        <v>21.25544</v>
      </c>
      <c r="D148" s="22">
        <v>-157.810303</v>
      </c>
      <c r="E148" s="22" t="s">
        <v>418</v>
      </c>
      <c r="F148" s="34">
        <v>0.5625</v>
      </c>
      <c r="G148" s="36">
        <v>0.66666666666666663</v>
      </c>
      <c r="H148" s="22">
        <v>7</v>
      </c>
      <c r="I148" s="22">
        <v>8</v>
      </c>
      <c r="J148" s="22" t="s">
        <v>198</v>
      </c>
      <c r="K148" s="22">
        <v>25</v>
      </c>
      <c r="L148" s="22">
        <v>35</v>
      </c>
      <c r="M148" s="22"/>
      <c r="N148" s="22"/>
      <c r="O148" s="22">
        <v>35</v>
      </c>
      <c r="P148" s="22"/>
      <c r="Q148" s="22">
        <v>1</v>
      </c>
      <c r="R148" s="22"/>
      <c r="S148" s="22"/>
      <c r="T148" s="22"/>
      <c r="U148" s="22"/>
      <c r="V148" s="22"/>
      <c r="W148" s="22">
        <v>1</v>
      </c>
      <c r="X148" s="22"/>
      <c r="Y148" s="22"/>
      <c r="Z148" s="22"/>
      <c r="AA148" s="22">
        <v>5</v>
      </c>
      <c r="AB148" s="22"/>
      <c r="AC148" s="22">
        <v>1</v>
      </c>
      <c r="AD148" s="22">
        <v>5</v>
      </c>
      <c r="AE148" s="22"/>
      <c r="AF148" s="22"/>
      <c r="AG148" s="22"/>
      <c r="AH148" s="22">
        <v>6</v>
      </c>
      <c r="AI148" s="22"/>
      <c r="AJ148" s="22"/>
      <c r="AK148" s="22"/>
      <c r="AL148" s="22">
        <v>2</v>
      </c>
      <c r="AM148" s="22">
        <v>1</v>
      </c>
      <c r="AN148" s="22"/>
      <c r="AO148" s="22"/>
      <c r="AP148" s="22"/>
      <c r="AQ148" s="22"/>
      <c r="AR148" s="22"/>
      <c r="AS148" s="22"/>
      <c r="AT148" s="22"/>
      <c r="AU148" s="22"/>
      <c r="AV148" s="22"/>
      <c r="AW148" s="22"/>
      <c r="AX148" s="22"/>
      <c r="AY148" s="22"/>
      <c r="AZ148" s="22"/>
      <c r="BA148" s="22">
        <v>4</v>
      </c>
      <c r="BB148" s="22">
        <v>1</v>
      </c>
      <c r="BC148" s="22"/>
      <c r="BD148" s="22"/>
      <c r="BE148" s="22"/>
      <c r="BF148" s="22"/>
      <c r="BG148" s="22"/>
      <c r="BH148" s="22"/>
      <c r="BI148" s="22"/>
      <c r="BJ148" s="22">
        <v>32</v>
      </c>
      <c r="BK148" s="22"/>
      <c r="BL148" s="22">
        <v>5</v>
      </c>
      <c r="BM148" s="22"/>
      <c r="BN148" s="22"/>
      <c r="BO148" s="22"/>
      <c r="BP148" s="22">
        <v>24</v>
      </c>
      <c r="BQ148" s="22"/>
      <c r="BR148" s="22"/>
      <c r="BS148" s="22"/>
      <c r="BT148" s="22"/>
      <c r="BU148" s="22">
        <v>10</v>
      </c>
      <c r="BV148" s="22">
        <v>1</v>
      </c>
      <c r="BW148" s="22"/>
      <c r="BX148" s="22">
        <v>2</v>
      </c>
      <c r="BY148" s="22">
        <v>9</v>
      </c>
      <c r="BZ148" s="22"/>
      <c r="CA148" s="22"/>
      <c r="CB148" s="22"/>
      <c r="CC148" s="22"/>
      <c r="CD148" s="22"/>
      <c r="CE148" s="22"/>
      <c r="CF148" s="22"/>
      <c r="CG148" s="22">
        <v>6</v>
      </c>
      <c r="CH148" s="22"/>
      <c r="CI148" s="22"/>
      <c r="CJ148" s="22">
        <v>2</v>
      </c>
      <c r="CK148" s="22"/>
      <c r="CL148" s="22"/>
      <c r="CM148" s="22"/>
      <c r="CN148" s="22">
        <v>3</v>
      </c>
      <c r="CO148" s="22"/>
      <c r="CP148" s="22"/>
      <c r="CQ148" s="22"/>
      <c r="CR148" s="22"/>
      <c r="CS148" s="22"/>
      <c r="CT148" s="22"/>
      <c r="CU148" s="22"/>
      <c r="CV148" s="22"/>
      <c r="CW148" s="22"/>
      <c r="CX148" s="22"/>
      <c r="CY148" s="22"/>
      <c r="CZ148" s="22">
        <v>1</v>
      </c>
      <c r="DA148" s="22"/>
      <c r="DB148" s="22"/>
      <c r="DC148" s="22"/>
      <c r="DD148" s="22"/>
      <c r="DE148" s="22"/>
      <c r="DF148" s="22">
        <v>27</v>
      </c>
      <c r="DG148" s="22"/>
      <c r="DH148" s="22"/>
      <c r="DI148" s="22"/>
      <c r="DJ148" s="22"/>
      <c r="DK148" s="22">
        <v>1</v>
      </c>
      <c r="DL148" s="22">
        <v>46</v>
      </c>
      <c r="DM148" s="22">
        <v>2</v>
      </c>
      <c r="DN148" s="22"/>
      <c r="DO148" s="22">
        <v>2</v>
      </c>
      <c r="DP148" s="22">
        <v>2</v>
      </c>
      <c r="DQ148" s="22"/>
      <c r="DR148" s="22">
        <v>2</v>
      </c>
      <c r="DS148" s="22"/>
      <c r="DT148" s="22"/>
      <c r="DU148" s="22">
        <v>1</v>
      </c>
      <c r="DV148" s="22"/>
      <c r="DW148" s="22"/>
      <c r="DX148" s="22"/>
      <c r="DY148" s="22"/>
      <c r="DZ148" s="22"/>
      <c r="EA148" s="22"/>
      <c r="EB148" s="22"/>
      <c r="EC148" s="22"/>
      <c r="ED148" s="22"/>
      <c r="EE148" s="22"/>
      <c r="EF148" s="22"/>
      <c r="EG148" s="22"/>
      <c r="EH148" s="22"/>
      <c r="EI148" s="22">
        <v>33</v>
      </c>
      <c r="EJ148" s="22"/>
      <c r="EK148" s="22"/>
      <c r="EL148" s="22"/>
      <c r="EM148" s="22"/>
      <c r="EN148" s="22"/>
      <c r="EO148" s="22"/>
      <c r="EP148" s="22"/>
      <c r="EQ148" s="22"/>
      <c r="ER148" s="22"/>
      <c r="ES148" s="22"/>
      <c r="ET148" s="22"/>
      <c r="EU148" s="22"/>
      <c r="EV148" s="22"/>
      <c r="EW148" s="22"/>
      <c r="EX148" s="22"/>
      <c r="EY148" s="22">
        <v>2</v>
      </c>
      <c r="EZ148" s="22">
        <v>26</v>
      </c>
      <c r="FA148" s="22">
        <v>31</v>
      </c>
      <c r="FB148" s="22">
        <v>1</v>
      </c>
      <c r="FC148" s="22"/>
      <c r="FD148" s="22">
        <v>2</v>
      </c>
      <c r="FE148" s="22">
        <v>6</v>
      </c>
      <c r="FF148" s="22"/>
      <c r="FG148" s="22"/>
      <c r="FH148" s="22"/>
      <c r="FI148" s="22"/>
      <c r="FJ148" s="22"/>
      <c r="FK148" s="22"/>
      <c r="FL148" s="22"/>
      <c r="FM148" s="22"/>
      <c r="FN148" s="22"/>
      <c r="FO148" s="22"/>
      <c r="FP148" s="22">
        <v>55</v>
      </c>
      <c r="FQ148" s="22">
        <v>266</v>
      </c>
      <c r="FR148" s="22"/>
      <c r="FS148" s="22">
        <v>23</v>
      </c>
      <c r="FT148" s="22"/>
      <c r="FU148" s="22">
        <v>2</v>
      </c>
      <c r="FW148" s="22"/>
      <c r="FX148" s="22"/>
      <c r="FY148" s="22"/>
      <c r="FZ148" s="22"/>
      <c r="GA148" s="22"/>
      <c r="GB148" s="22"/>
      <c r="GC148" s="22"/>
      <c r="GD148" s="22"/>
      <c r="GE148" s="3">
        <f t="shared" si="0"/>
        <v>40</v>
      </c>
      <c r="GF148" s="3">
        <f t="shared" si="1"/>
        <v>30</v>
      </c>
      <c r="GG148" s="3">
        <f t="shared" si="2"/>
        <v>18</v>
      </c>
      <c r="GH148" s="3">
        <f t="shared" si="3"/>
        <v>0.80853429834233315</v>
      </c>
      <c r="GI148" s="3">
        <f t="shared" si="4"/>
        <v>652</v>
      </c>
      <c r="GJ148" s="3">
        <f t="shared" si="5"/>
        <v>875</v>
      </c>
      <c r="GK148" s="3">
        <f t="shared" si="6"/>
        <v>223</v>
      </c>
      <c r="GL148" s="22"/>
      <c r="GM148" s="22"/>
      <c r="GN148" s="22"/>
      <c r="GO148" s="22"/>
      <c r="GP148" s="22"/>
      <c r="GQ148" s="22"/>
      <c r="GR148" s="30"/>
    </row>
    <row r="149" spans="1:200" ht="16" x14ac:dyDescent="0.2">
      <c r="A149" s="13">
        <v>43556</v>
      </c>
      <c r="B149" s="22" t="s">
        <v>456</v>
      </c>
      <c r="C149" s="3">
        <v>21.316488</v>
      </c>
      <c r="D149" s="3">
        <v>-157.66426100000001</v>
      </c>
      <c r="E149" s="22" t="s">
        <v>418</v>
      </c>
      <c r="F149" s="36">
        <v>0.36458333333333331</v>
      </c>
      <c r="G149" s="36">
        <v>0.45833333333333331</v>
      </c>
      <c r="H149" s="22">
        <v>7</v>
      </c>
      <c r="I149" s="22">
        <v>15</v>
      </c>
      <c r="J149" s="22" t="s">
        <v>318</v>
      </c>
      <c r="K149" s="22">
        <v>5</v>
      </c>
      <c r="L149" s="22">
        <v>28</v>
      </c>
      <c r="M149" s="22" t="s">
        <v>457</v>
      </c>
      <c r="N149" s="22" t="s">
        <v>458</v>
      </c>
      <c r="O149" s="22">
        <v>24</v>
      </c>
      <c r="P149" s="22"/>
      <c r="Q149" s="22"/>
      <c r="R149" s="22"/>
      <c r="S149" s="22"/>
      <c r="T149" s="22"/>
      <c r="U149" s="22"/>
      <c r="V149" s="22"/>
      <c r="W149" s="22"/>
      <c r="X149" s="22"/>
      <c r="Y149" s="22"/>
      <c r="Z149" s="22"/>
      <c r="AA149" s="22">
        <v>2</v>
      </c>
      <c r="AB149" s="22"/>
      <c r="AC149" s="22"/>
      <c r="AD149" s="22"/>
      <c r="AE149" s="22"/>
      <c r="AF149" s="22"/>
      <c r="AG149" s="22"/>
      <c r="AH149" s="22"/>
      <c r="AI149" s="22"/>
      <c r="AJ149" s="22"/>
      <c r="AK149" s="22"/>
      <c r="AL149" s="22">
        <v>4</v>
      </c>
      <c r="AM149" s="22">
        <v>1</v>
      </c>
      <c r="AN149" s="22"/>
      <c r="AO149" s="22"/>
      <c r="AP149" s="22"/>
      <c r="AQ149" s="22"/>
      <c r="AR149" s="22"/>
      <c r="AS149" s="22"/>
      <c r="AT149" s="22"/>
      <c r="AU149" s="22"/>
      <c r="AV149" s="22"/>
      <c r="AW149" s="22"/>
      <c r="AX149" s="22">
        <v>1</v>
      </c>
      <c r="AY149" s="22"/>
      <c r="AZ149" s="22"/>
      <c r="BA149" s="22"/>
      <c r="BB149" s="22"/>
      <c r="BC149" s="22"/>
      <c r="BD149" s="22"/>
      <c r="BE149" s="22">
        <v>2</v>
      </c>
      <c r="BF149" s="22"/>
      <c r="BG149" s="22"/>
      <c r="BH149" s="22"/>
      <c r="BI149" s="22"/>
      <c r="BJ149" s="22"/>
      <c r="BK149" s="22"/>
      <c r="BL149" s="22">
        <v>38</v>
      </c>
      <c r="BM149" s="22"/>
      <c r="BN149" s="22"/>
      <c r="BO149" s="22"/>
      <c r="BP149" s="22"/>
      <c r="BQ149" s="22"/>
      <c r="BR149" s="22"/>
      <c r="BS149" s="22"/>
      <c r="BT149" s="22"/>
      <c r="BU149" s="22"/>
      <c r="BV149" s="22"/>
      <c r="BW149" s="22"/>
      <c r="BX149" s="22">
        <v>1</v>
      </c>
      <c r="BY149" s="22"/>
      <c r="BZ149" s="22"/>
      <c r="CA149" s="22"/>
      <c r="CB149" s="22">
        <v>1</v>
      </c>
      <c r="CC149" s="22">
        <v>2</v>
      </c>
      <c r="CD149" s="22"/>
      <c r="CE149" s="22">
        <v>1</v>
      </c>
      <c r="CF149" s="22"/>
      <c r="CG149" s="22"/>
      <c r="CH149" s="22"/>
      <c r="CI149" s="22"/>
      <c r="CJ149" s="22"/>
      <c r="CK149" s="22"/>
      <c r="CL149" s="22"/>
      <c r="CM149" s="22"/>
      <c r="CN149" s="22"/>
      <c r="CO149" s="22"/>
      <c r="CP149" s="22"/>
      <c r="CQ149" s="22"/>
      <c r="CR149" s="22"/>
      <c r="CS149" s="22"/>
      <c r="CT149" s="22"/>
      <c r="CU149" s="22">
        <v>1</v>
      </c>
      <c r="CV149" s="22"/>
      <c r="CW149" s="22"/>
      <c r="CX149" s="22"/>
      <c r="CY149" s="22"/>
      <c r="CZ149" s="22"/>
      <c r="DA149" s="22"/>
      <c r="DB149" s="22"/>
      <c r="DC149" s="22"/>
      <c r="DD149" s="22"/>
      <c r="DE149" s="22"/>
      <c r="DF149" s="22">
        <v>1</v>
      </c>
      <c r="DG149" s="22">
        <v>1</v>
      </c>
      <c r="DH149" s="22"/>
      <c r="DI149" s="22"/>
      <c r="DJ149" s="22"/>
      <c r="DK149" s="22"/>
      <c r="DL149" s="22"/>
      <c r="DM149" s="22"/>
      <c r="DN149" s="22"/>
      <c r="DO149" s="22"/>
      <c r="DP149" s="22"/>
      <c r="DQ149" s="22"/>
      <c r="DR149" s="22"/>
      <c r="DS149" s="22"/>
      <c r="DT149" s="22"/>
      <c r="DU149" s="22"/>
      <c r="DV149" s="22"/>
      <c r="DW149" s="22"/>
      <c r="DX149" s="22"/>
      <c r="DY149" s="22"/>
      <c r="DZ149" s="22"/>
      <c r="EA149" s="22">
        <v>1</v>
      </c>
      <c r="EB149" s="22"/>
      <c r="EC149" s="22"/>
      <c r="ED149" s="22"/>
      <c r="EE149" s="22"/>
      <c r="EF149" s="22"/>
      <c r="EG149" s="22"/>
      <c r="EH149" s="22"/>
      <c r="EI149" s="22">
        <v>36</v>
      </c>
      <c r="EJ149" s="22"/>
      <c r="EK149" s="22"/>
      <c r="EL149" s="22"/>
      <c r="EM149" s="22"/>
      <c r="EN149" s="22"/>
      <c r="EO149" s="22"/>
      <c r="EP149" s="22"/>
      <c r="EQ149" s="22"/>
      <c r="ER149" s="22"/>
      <c r="ES149" s="22"/>
      <c r="ET149" s="22"/>
      <c r="EU149" s="22">
        <v>1</v>
      </c>
      <c r="EV149" s="22"/>
      <c r="EW149" s="22"/>
      <c r="EX149" s="22"/>
      <c r="EY149" s="22"/>
      <c r="EZ149" s="22"/>
      <c r="FA149" s="22"/>
      <c r="FB149" s="22"/>
      <c r="FC149" s="22"/>
      <c r="FD149" s="22"/>
      <c r="FE149" s="22"/>
      <c r="FF149" s="22"/>
      <c r="FG149" s="22"/>
      <c r="FH149" s="22"/>
      <c r="FI149" s="22"/>
      <c r="FJ149" s="22"/>
      <c r="FK149" s="22"/>
      <c r="FL149" s="22"/>
      <c r="FM149" s="22"/>
      <c r="FN149" s="22"/>
      <c r="FO149" s="22"/>
      <c r="FP149" s="22"/>
      <c r="FQ149" s="22">
        <v>99</v>
      </c>
      <c r="FR149" s="22"/>
      <c r="FS149" s="22"/>
      <c r="FT149" s="22"/>
      <c r="FU149" s="22"/>
      <c r="FW149" s="22"/>
      <c r="FX149" s="22"/>
      <c r="FY149" s="22"/>
      <c r="FZ149" s="22"/>
      <c r="GA149" s="22"/>
      <c r="GB149" s="22"/>
      <c r="GC149" s="22"/>
      <c r="GD149" s="22"/>
      <c r="GE149" s="3">
        <f t="shared" si="0"/>
        <v>17</v>
      </c>
      <c r="GF149" s="3">
        <f t="shared" si="1"/>
        <v>7</v>
      </c>
      <c r="GG149" s="3">
        <f t="shared" si="2"/>
        <v>3</v>
      </c>
      <c r="GH149" s="3">
        <f t="shared" si="3"/>
        <v>0.66574913644214162</v>
      </c>
      <c r="GI149" s="3">
        <f t="shared" si="4"/>
        <v>193</v>
      </c>
      <c r="GJ149" s="3">
        <f t="shared" si="5"/>
        <v>600</v>
      </c>
      <c r="GK149" s="3">
        <f t="shared" si="6"/>
        <v>407</v>
      </c>
      <c r="GL149" s="22"/>
      <c r="GM149" s="22"/>
      <c r="GN149" s="22"/>
      <c r="GO149" s="22"/>
      <c r="GP149" s="22"/>
      <c r="GQ149" s="22"/>
      <c r="GR149" s="22"/>
    </row>
    <row r="150" spans="1:200" ht="13" x14ac:dyDescent="0.15">
      <c r="A150" s="13">
        <v>43557</v>
      </c>
      <c r="B150" s="3" t="s">
        <v>456</v>
      </c>
      <c r="C150" s="3">
        <v>21.316488</v>
      </c>
      <c r="D150" s="3">
        <v>-157.66426100000001</v>
      </c>
      <c r="E150" s="3" t="s">
        <v>418</v>
      </c>
      <c r="F150" s="14">
        <v>0.36458333333333331</v>
      </c>
      <c r="G150" s="14">
        <v>0.46875</v>
      </c>
      <c r="H150" s="3">
        <v>7</v>
      </c>
      <c r="I150" s="3">
        <v>10</v>
      </c>
      <c r="J150" s="3" t="s">
        <v>318</v>
      </c>
      <c r="K150" s="3">
        <v>5</v>
      </c>
      <c r="L150" s="3">
        <v>31</v>
      </c>
      <c r="M150" s="3" t="s">
        <v>462</v>
      </c>
      <c r="N150" s="3" t="s">
        <v>463</v>
      </c>
      <c r="O150" s="3">
        <v>27</v>
      </c>
      <c r="T150" s="3"/>
      <c r="U150" s="3"/>
      <c r="V150" s="3"/>
      <c r="W150" s="3">
        <v>10</v>
      </c>
      <c r="X150" s="3"/>
      <c r="Y150" s="3"/>
      <c r="Z150" s="3"/>
      <c r="AA150" s="3">
        <v>11</v>
      </c>
      <c r="BE150" s="3">
        <v>2</v>
      </c>
      <c r="BK150" s="3">
        <v>1</v>
      </c>
      <c r="BL150" s="3">
        <v>7</v>
      </c>
      <c r="BP150" s="3">
        <v>3</v>
      </c>
      <c r="BR150" s="3"/>
      <c r="BS150" s="3"/>
      <c r="BT150" s="3">
        <v>3</v>
      </c>
      <c r="BX150" s="3">
        <v>1</v>
      </c>
      <c r="CM150" s="3"/>
      <c r="CN150" s="3">
        <v>6</v>
      </c>
      <c r="DE150" s="3"/>
      <c r="DF150" s="3">
        <v>1</v>
      </c>
      <c r="DH150" s="3"/>
      <c r="DI150" s="3">
        <v>1</v>
      </c>
      <c r="DN150" s="3">
        <v>3</v>
      </c>
      <c r="DQ150" s="3"/>
      <c r="DR150" s="3">
        <v>7</v>
      </c>
      <c r="EA150" s="3">
        <v>2</v>
      </c>
      <c r="ED150" s="3"/>
      <c r="EE150" s="3"/>
      <c r="EF150" s="3"/>
      <c r="EG150" s="3"/>
      <c r="EH150" s="3"/>
      <c r="EI150" s="3">
        <v>37</v>
      </c>
      <c r="EJ150" s="3">
        <v>3</v>
      </c>
      <c r="EZ150" s="3">
        <v>2</v>
      </c>
      <c r="FE150" s="3">
        <v>36</v>
      </c>
      <c r="FQ150" s="3">
        <v>254</v>
      </c>
      <c r="GA150" s="3"/>
      <c r="GB150" s="3"/>
      <c r="GC150" s="3">
        <v>3</v>
      </c>
      <c r="GE150" s="3">
        <f t="shared" si="0"/>
        <v>20</v>
      </c>
      <c r="GF150" s="3">
        <f t="shared" si="1"/>
        <v>16</v>
      </c>
      <c r="GG150" s="3">
        <f t="shared" si="2"/>
        <v>8</v>
      </c>
      <c r="GH150" s="3">
        <f t="shared" si="3"/>
        <v>0.56376901905800492</v>
      </c>
      <c r="GI150" s="3">
        <f t="shared" si="4"/>
        <v>393</v>
      </c>
      <c r="GJ150" s="3">
        <f t="shared" si="5"/>
        <v>675</v>
      </c>
      <c r="GK150" s="3">
        <f t="shared" si="6"/>
        <v>282</v>
      </c>
    </row>
    <row r="151" spans="1:200" ht="13" x14ac:dyDescent="0.15">
      <c r="A151" s="13">
        <v>43558</v>
      </c>
      <c r="B151" s="3" t="s">
        <v>456</v>
      </c>
      <c r="C151" s="3">
        <v>21.316488</v>
      </c>
      <c r="D151" s="3">
        <v>-157.66426100000001</v>
      </c>
      <c r="E151" s="3" t="s">
        <v>418</v>
      </c>
      <c r="F151" s="14">
        <v>0.375</v>
      </c>
      <c r="G151" s="14">
        <v>0.45833333333333331</v>
      </c>
      <c r="H151" s="3">
        <v>5</v>
      </c>
      <c r="I151" s="3">
        <v>10</v>
      </c>
      <c r="J151" s="3" t="s">
        <v>318</v>
      </c>
      <c r="K151" s="3">
        <v>5</v>
      </c>
      <c r="L151" s="3">
        <v>22</v>
      </c>
      <c r="M151" s="3" t="s">
        <v>464</v>
      </c>
      <c r="O151" s="3">
        <v>22</v>
      </c>
      <c r="S151" s="3">
        <v>2</v>
      </c>
      <c r="AI151" s="3"/>
      <c r="AJ151" s="3"/>
      <c r="AK151" s="3"/>
      <c r="AL151" s="3">
        <v>23</v>
      </c>
      <c r="AY151" s="3">
        <v>13</v>
      </c>
      <c r="AZ151" s="3"/>
      <c r="BA151" s="3">
        <v>10</v>
      </c>
      <c r="BE151" s="3">
        <v>6</v>
      </c>
      <c r="BL151" s="3">
        <v>42</v>
      </c>
      <c r="CB151" s="3">
        <v>1</v>
      </c>
      <c r="CM151" s="3"/>
      <c r="CN151" s="3">
        <v>6</v>
      </c>
      <c r="CU151" s="3">
        <v>7</v>
      </c>
      <c r="DH151" s="3">
        <v>1</v>
      </c>
      <c r="ED151" s="3"/>
      <c r="EE151" s="3"/>
      <c r="EF151" s="3"/>
      <c r="EG151" s="3"/>
      <c r="EH151" s="3"/>
      <c r="EI151" s="3">
        <v>39</v>
      </c>
      <c r="EJ151" s="3">
        <v>8</v>
      </c>
      <c r="FE151" s="3">
        <v>6</v>
      </c>
      <c r="FQ151" s="3">
        <v>110</v>
      </c>
      <c r="FX151" s="3">
        <v>3</v>
      </c>
      <c r="GD151" s="3">
        <v>8</v>
      </c>
      <c r="GE151" s="3">
        <f t="shared" si="0"/>
        <v>16</v>
      </c>
      <c r="GF151" s="3">
        <f t="shared" si="1"/>
        <v>14</v>
      </c>
      <c r="GG151" s="3">
        <f t="shared" si="2"/>
        <v>12</v>
      </c>
      <c r="GH151" s="3">
        <f t="shared" si="3"/>
        <v>0.79987645169261179</v>
      </c>
      <c r="GI151" s="3">
        <f t="shared" si="4"/>
        <v>285</v>
      </c>
      <c r="GJ151" s="3">
        <f t="shared" si="5"/>
        <v>550</v>
      </c>
      <c r="GK151" s="3">
        <f t="shared" si="6"/>
        <v>265</v>
      </c>
    </row>
    <row r="152" spans="1:200" ht="13" x14ac:dyDescent="0.15">
      <c r="A152" s="13">
        <v>43559</v>
      </c>
      <c r="B152" s="3" t="s">
        <v>456</v>
      </c>
      <c r="C152" s="3">
        <v>21.316488</v>
      </c>
      <c r="D152" s="3">
        <v>-157.66426100000001</v>
      </c>
      <c r="E152" s="3" t="s">
        <v>418</v>
      </c>
      <c r="F152" s="14">
        <v>0.375</v>
      </c>
      <c r="G152" s="14">
        <v>0.47916666666666669</v>
      </c>
      <c r="H152" s="3">
        <v>5</v>
      </c>
      <c r="I152" s="3">
        <v>10</v>
      </c>
      <c r="J152" s="3" t="s">
        <v>318</v>
      </c>
      <c r="K152" s="3">
        <v>5</v>
      </c>
      <c r="L152" s="3">
        <v>25</v>
      </c>
      <c r="O152" s="3">
        <v>25</v>
      </c>
      <c r="BC152" s="3">
        <v>6</v>
      </c>
      <c r="BH152" s="3"/>
      <c r="BI152" s="3"/>
      <c r="BJ152" s="3">
        <v>1</v>
      </c>
      <c r="BL152" s="3">
        <v>68</v>
      </c>
      <c r="BR152" s="3"/>
      <c r="BS152" s="3">
        <v>1</v>
      </c>
      <c r="BX152" s="3">
        <v>10</v>
      </c>
      <c r="BY152" s="3">
        <v>23</v>
      </c>
      <c r="CB152" s="3">
        <v>1</v>
      </c>
      <c r="CE152" s="3">
        <v>2</v>
      </c>
      <c r="CM152" s="3"/>
      <c r="CN152" s="3">
        <v>8</v>
      </c>
      <c r="DN152" s="3">
        <v>1</v>
      </c>
      <c r="DQ152" s="3"/>
      <c r="DR152" s="3">
        <v>4</v>
      </c>
      <c r="EB152" s="3">
        <v>1</v>
      </c>
      <c r="ED152" s="3"/>
      <c r="EE152" s="3"/>
      <c r="EF152" s="3"/>
      <c r="EG152" s="3"/>
      <c r="EH152" s="3"/>
      <c r="EI152" s="3">
        <v>45</v>
      </c>
      <c r="EJ152" s="3">
        <v>11</v>
      </c>
      <c r="EV152" s="3">
        <v>2</v>
      </c>
      <c r="FF152" s="3"/>
      <c r="FG152" s="3">
        <v>2</v>
      </c>
      <c r="FQ152" s="3">
        <v>151</v>
      </c>
      <c r="GE152" s="3">
        <f t="shared" si="0"/>
        <v>17</v>
      </c>
      <c r="GF152" s="3">
        <f t="shared" si="1"/>
        <v>12</v>
      </c>
      <c r="GG152" s="3">
        <f t="shared" si="2"/>
        <v>8</v>
      </c>
      <c r="GH152" s="3">
        <f t="shared" si="3"/>
        <v>0.73509255334181156</v>
      </c>
      <c r="GI152" s="3">
        <f t="shared" si="4"/>
        <v>337</v>
      </c>
      <c r="GJ152" s="3">
        <f t="shared" si="5"/>
        <v>625</v>
      </c>
      <c r="GK152" s="3">
        <f t="shared" si="6"/>
        <v>288</v>
      </c>
    </row>
    <row r="153" spans="1:200" ht="13" x14ac:dyDescent="0.15">
      <c r="A153" s="13">
        <v>43563</v>
      </c>
      <c r="B153" s="3" t="s">
        <v>400</v>
      </c>
      <c r="C153" s="3">
        <v>21.900562000000001</v>
      </c>
      <c r="D153" s="3">
        <v>-159.60981799999999</v>
      </c>
      <c r="E153" s="3" t="s">
        <v>465</v>
      </c>
      <c r="F153" s="14">
        <v>0.4548611111111111</v>
      </c>
      <c r="G153" s="14">
        <v>0.48958333333333331</v>
      </c>
      <c r="H153" s="3">
        <v>6</v>
      </c>
      <c r="I153" s="3">
        <v>10</v>
      </c>
      <c r="J153" s="3" t="s">
        <v>198</v>
      </c>
      <c r="K153" s="3">
        <v>5</v>
      </c>
      <c r="L153" s="3">
        <v>29</v>
      </c>
      <c r="M153" s="3" t="s">
        <v>466</v>
      </c>
      <c r="O153" s="3">
        <v>29</v>
      </c>
      <c r="Q153" s="3">
        <v>14</v>
      </c>
      <c r="AZ153" s="3"/>
      <c r="BA153" s="3">
        <v>2</v>
      </c>
      <c r="BK153" s="3">
        <v>2</v>
      </c>
      <c r="BV153" s="3">
        <v>19</v>
      </c>
      <c r="CD153" s="3">
        <v>6</v>
      </c>
      <c r="DL153" s="3">
        <v>174</v>
      </c>
      <c r="DQ153" s="3"/>
      <c r="DR153" s="3">
        <v>12</v>
      </c>
      <c r="DS153" s="3"/>
      <c r="DT153" s="3"/>
      <c r="DU153" s="3">
        <v>8</v>
      </c>
      <c r="DX153" s="3"/>
      <c r="DY153" s="3">
        <v>2</v>
      </c>
      <c r="EA153" s="3">
        <v>1</v>
      </c>
      <c r="EC153" s="3">
        <v>1</v>
      </c>
      <c r="ED153" s="3"/>
      <c r="EE153" s="3"/>
      <c r="EF153" s="3"/>
      <c r="EG153" s="3"/>
      <c r="EH153" s="3"/>
      <c r="EI153" s="3">
        <v>55</v>
      </c>
      <c r="EK153" s="3"/>
      <c r="EL153" s="3"/>
      <c r="EM153" s="3">
        <v>1</v>
      </c>
      <c r="FA153" s="3">
        <v>31</v>
      </c>
      <c r="FB153" s="3">
        <v>1</v>
      </c>
      <c r="FP153" s="3">
        <v>2</v>
      </c>
      <c r="FQ153" s="3">
        <v>15</v>
      </c>
      <c r="FX153" s="3">
        <v>2</v>
      </c>
      <c r="FY153" s="3"/>
      <c r="FZ153" s="3">
        <v>3</v>
      </c>
      <c r="GA153" s="3">
        <v>1</v>
      </c>
      <c r="GE153" s="3">
        <f t="shared" si="0"/>
        <v>20</v>
      </c>
      <c r="GF153" s="3">
        <f t="shared" si="1"/>
        <v>15</v>
      </c>
      <c r="GG153" s="3">
        <f t="shared" si="2"/>
        <v>9</v>
      </c>
      <c r="GH153" s="3">
        <f t="shared" si="3"/>
        <v>0.71696127946127941</v>
      </c>
      <c r="GI153" s="3">
        <f t="shared" si="4"/>
        <v>352</v>
      </c>
      <c r="GJ153" s="3">
        <f t="shared" si="5"/>
        <v>725</v>
      </c>
      <c r="GK153" s="3">
        <f t="shared" si="6"/>
        <v>373</v>
      </c>
    </row>
    <row r="154" spans="1:200" ht="13" x14ac:dyDescent="0.15">
      <c r="A154" s="13">
        <v>43564</v>
      </c>
      <c r="B154" s="3" t="s">
        <v>456</v>
      </c>
      <c r="C154" s="3">
        <v>21.316488</v>
      </c>
      <c r="D154" s="3">
        <v>-157.66426100000001</v>
      </c>
      <c r="E154" s="3" t="s">
        <v>469</v>
      </c>
      <c r="F154" s="14">
        <v>0.36319444444444443</v>
      </c>
      <c r="G154" s="14">
        <v>0.39583333333333331</v>
      </c>
      <c r="H154" s="3">
        <v>4</v>
      </c>
      <c r="I154" s="3">
        <v>40</v>
      </c>
      <c r="J154" s="3" t="s">
        <v>470</v>
      </c>
      <c r="K154" s="3">
        <v>5</v>
      </c>
      <c r="L154" s="3">
        <v>10</v>
      </c>
      <c r="M154" s="3" t="s">
        <v>471</v>
      </c>
      <c r="O154" s="3">
        <v>10</v>
      </c>
      <c r="CB154" s="3">
        <v>2</v>
      </c>
      <c r="CF154" s="3"/>
      <c r="CG154" s="3">
        <v>3</v>
      </c>
      <c r="DE154" s="3"/>
      <c r="DF154" s="3">
        <v>2</v>
      </c>
      <c r="ED154" s="3"/>
      <c r="EE154" s="3"/>
      <c r="EF154" s="3"/>
      <c r="EG154" s="3"/>
      <c r="EH154" s="3"/>
      <c r="EI154" s="3">
        <v>15</v>
      </c>
      <c r="FQ154" s="3">
        <v>13</v>
      </c>
      <c r="GE154" s="3">
        <f t="shared" si="0"/>
        <v>5</v>
      </c>
      <c r="GF154" s="3">
        <f t="shared" si="1"/>
        <v>5</v>
      </c>
      <c r="GG154" s="3">
        <f t="shared" si="2"/>
        <v>2</v>
      </c>
      <c r="GH154" s="3">
        <f t="shared" si="3"/>
        <v>0.68403361344537816</v>
      </c>
      <c r="GI154" s="3">
        <f t="shared" si="4"/>
        <v>35</v>
      </c>
      <c r="GJ154" s="3">
        <f t="shared" si="5"/>
        <v>250</v>
      </c>
      <c r="GK154" s="3">
        <f t="shared" si="6"/>
        <v>215</v>
      </c>
    </row>
    <row r="155" spans="1:200" ht="13" x14ac:dyDescent="0.15">
      <c r="A155" s="13">
        <v>43564</v>
      </c>
      <c r="B155" s="3" t="s">
        <v>244</v>
      </c>
      <c r="C155" s="3">
        <v>21.310611999999999</v>
      </c>
      <c r="D155" s="3">
        <v>-158.00441000000001</v>
      </c>
      <c r="E155" s="3" t="s">
        <v>326</v>
      </c>
      <c r="F155" s="14">
        <v>0.39583333333333331</v>
      </c>
      <c r="G155" s="14">
        <v>0.4375</v>
      </c>
      <c r="H155" s="3">
        <v>7</v>
      </c>
      <c r="I155" s="3">
        <v>20</v>
      </c>
      <c r="J155" s="3" t="s">
        <v>198</v>
      </c>
      <c r="K155" s="3">
        <v>5</v>
      </c>
      <c r="L155" s="3">
        <v>28</v>
      </c>
      <c r="M155" s="3" t="s">
        <v>472</v>
      </c>
      <c r="O155" s="3">
        <v>28</v>
      </c>
      <c r="Q155" s="3">
        <v>1</v>
      </c>
      <c r="X155" s="3"/>
      <c r="Y155" s="3"/>
      <c r="Z155" s="3"/>
      <c r="AA155" s="3">
        <v>1</v>
      </c>
      <c r="AD155" s="3">
        <v>29</v>
      </c>
      <c r="BB155" s="3">
        <v>16</v>
      </c>
      <c r="BD155" s="3">
        <v>49</v>
      </c>
      <c r="BL155" s="3">
        <v>16</v>
      </c>
      <c r="BR155" s="3">
        <v>1</v>
      </c>
      <c r="BU155" s="3">
        <v>11</v>
      </c>
      <c r="BY155" s="3">
        <v>29</v>
      </c>
      <c r="CM155" s="3">
        <v>1</v>
      </c>
      <c r="DE155" s="3"/>
      <c r="DF155" s="3">
        <v>4</v>
      </c>
      <c r="DM155" s="3">
        <v>5</v>
      </c>
      <c r="DN155" s="3">
        <v>10</v>
      </c>
      <c r="DO155" s="3">
        <v>5</v>
      </c>
      <c r="ED155" s="3"/>
      <c r="EE155" s="3"/>
      <c r="EF155" s="3"/>
      <c r="EG155" s="3"/>
      <c r="EH155" s="3"/>
      <c r="EI155" s="3">
        <v>99</v>
      </c>
      <c r="FA155" s="3">
        <v>20</v>
      </c>
      <c r="FQ155" s="3">
        <v>23</v>
      </c>
      <c r="GE155" s="3">
        <f t="shared" si="0"/>
        <v>17</v>
      </c>
      <c r="GF155" s="3">
        <f t="shared" si="1"/>
        <v>13</v>
      </c>
      <c r="GG155" s="3">
        <f t="shared" si="2"/>
        <v>12</v>
      </c>
      <c r="GH155" s="3">
        <f t="shared" si="3"/>
        <v>0.8501567398119122</v>
      </c>
      <c r="GI155" s="3">
        <f t="shared" si="4"/>
        <v>320</v>
      </c>
      <c r="GJ155" s="3">
        <f t="shared" si="5"/>
        <v>700</v>
      </c>
      <c r="GK155" s="3">
        <f t="shared" si="6"/>
        <v>380</v>
      </c>
    </row>
    <row r="156" spans="1:200" ht="13" x14ac:dyDescent="0.15">
      <c r="A156" s="13">
        <v>43566</v>
      </c>
      <c r="B156" s="3" t="s">
        <v>473</v>
      </c>
      <c r="C156" s="3">
        <v>21.3962</v>
      </c>
      <c r="D156" s="3">
        <v>-157.72030599999999</v>
      </c>
      <c r="E156" s="3" t="s">
        <v>418</v>
      </c>
      <c r="F156" s="14">
        <v>0.41666666666666669</v>
      </c>
      <c r="G156" s="14">
        <v>0.47916666666666669</v>
      </c>
      <c r="H156" s="3">
        <v>6</v>
      </c>
      <c r="I156" s="3">
        <v>11</v>
      </c>
      <c r="J156" s="3" t="s">
        <v>318</v>
      </c>
      <c r="K156" s="3">
        <v>10</v>
      </c>
      <c r="L156" s="3">
        <v>40</v>
      </c>
      <c r="M156" s="3" t="s">
        <v>474</v>
      </c>
      <c r="N156" s="3" t="s">
        <v>475</v>
      </c>
      <c r="O156" s="3">
        <v>29</v>
      </c>
      <c r="AB156" s="3"/>
      <c r="AC156" s="3">
        <v>39</v>
      </c>
      <c r="BL156" s="3">
        <v>137</v>
      </c>
      <c r="DG156" s="3">
        <v>23</v>
      </c>
      <c r="DO156" s="3">
        <v>16</v>
      </c>
      <c r="DQ156" s="3"/>
      <c r="DR156" s="3">
        <v>2</v>
      </c>
      <c r="EK156" s="3"/>
      <c r="EL156" s="3"/>
      <c r="EM156" s="3">
        <v>5</v>
      </c>
      <c r="FB156" s="3">
        <v>3</v>
      </c>
      <c r="FQ156" s="3">
        <v>39</v>
      </c>
      <c r="GE156" s="3">
        <f t="shared" si="0"/>
        <v>8</v>
      </c>
      <c r="GF156" s="3">
        <f t="shared" si="1"/>
        <v>8</v>
      </c>
      <c r="GG156" s="3">
        <f t="shared" si="2"/>
        <v>6</v>
      </c>
      <c r="GH156" s="3">
        <f t="shared" si="3"/>
        <v>0.67781426431616554</v>
      </c>
      <c r="GI156" s="3">
        <f t="shared" si="4"/>
        <v>264</v>
      </c>
      <c r="GJ156" s="3">
        <f t="shared" si="5"/>
        <v>725</v>
      </c>
      <c r="GK156" s="3">
        <f t="shared" si="6"/>
        <v>461</v>
      </c>
    </row>
    <row r="157" spans="1:200" ht="13" x14ac:dyDescent="0.15">
      <c r="A157" s="13">
        <v>43571</v>
      </c>
      <c r="B157" s="3" t="s">
        <v>244</v>
      </c>
      <c r="C157" s="3">
        <v>21.310611999999999</v>
      </c>
      <c r="D157" s="3">
        <v>-158.00441000000001</v>
      </c>
      <c r="E157" s="3" t="s">
        <v>326</v>
      </c>
      <c r="F157" s="14">
        <v>0.3888888888888889</v>
      </c>
      <c r="G157" s="14">
        <v>0.41319444444444442</v>
      </c>
      <c r="H157" s="3">
        <v>5</v>
      </c>
      <c r="I157" s="3">
        <v>20</v>
      </c>
      <c r="J157" s="3" t="s">
        <v>198</v>
      </c>
      <c r="K157" s="3">
        <v>5</v>
      </c>
      <c r="L157" s="3">
        <v>20</v>
      </c>
      <c r="M157" s="3" t="s">
        <v>476</v>
      </c>
      <c r="O157" s="3">
        <v>20</v>
      </c>
      <c r="Q157" s="3">
        <v>6</v>
      </c>
      <c r="AD157" s="3">
        <v>1</v>
      </c>
      <c r="AM157" s="3">
        <v>1</v>
      </c>
      <c r="AZ157" s="3"/>
      <c r="BA157" s="3">
        <v>1</v>
      </c>
      <c r="BB157" s="3">
        <v>17</v>
      </c>
      <c r="BD157" s="3">
        <v>22</v>
      </c>
      <c r="BU157" s="3">
        <v>9</v>
      </c>
      <c r="BY157" s="3">
        <v>22</v>
      </c>
      <c r="CH157" s="3"/>
      <c r="CI157" s="3"/>
      <c r="CJ157" s="3">
        <v>1</v>
      </c>
      <c r="CN157" s="3">
        <v>2</v>
      </c>
      <c r="DL157" s="3">
        <v>19</v>
      </c>
      <c r="DN157" s="3">
        <v>2</v>
      </c>
      <c r="DS157" s="3"/>
      <c r="DT157" s="3"/>
      <c r="DU157" s="3">
        <v>4</v>
      </c>
      <c r="EB157" s="3">
        <v>9</v>
      </c>
      <c r="ED157" s="3"/>
      <c r="EE157" s="3"/>
      <c r="EF157" s="3"/>
      <c r="EG157" s="3"/>
      <c r="EH157" s="3"/>
      <c r="EI157" s="3">
        <v>111</v>
      </c>
      <c r="EW157" s="3">
        <v>3</v>
      </c>
      <c r="FP157" s="3">
        <v>3</v>
      </c>
      <c r="FQ157" s="3">
        <v>65</v>
      </c>
      <c r="GE157" s="3">
        <f t="shared" si="0"/>
        <v>18</v>
      </c>
      <c r="GF157" s="3">
        <f t="shared" si="1"/>
        <v>14</v>
      </c>
      <c r="GG157" s="3">
        <f t="shared" si="2"/>
        <v>9</v>
      </c>
      <c r="GH157" s="3">
        <f t="shared" si="3"/>
        <v>0.79538110410593632</v>
      </c>
      <c r="GI157" s="3">
        <f t="shared" si="4"/>
        <v>298</v>
      </c>
      <c r="GJ157" s="3">
        <f t="shared" si="5"/>
        <v>500</v>
      </c>
      <c r="GK157" s="3">
        <f t="shared" si="6"/>
        <v>202</v>
      </c>
    </row>
    <row r="158" spans="1:200" ht="13" x14ac:dyDescent="0.15">
      <c r="A158" s="13">
        <v>43571</v>
      </c>
      <c r="B158" s="3" t="s">
        <v>201</v>
      </c>
      <c r="C158" s="3">
        <v>21.25544</v>
      </c>
      <c r="D158" s="3">
        <v>-157.810303</v>
      </c>
      <c r="E158" s="3" t="s">
        <v>477</v>
      </c>
      <c r="F158" s="14">
        <v>0.3576388888888889</v>
      </c>
      <c r="G158" s="14">
        <v>0.41666666666666669</v>
      </c>
      <c r="H158" s="3">
        <v>6</v>
      </c>
      <c r="I158" s="3">
        <v>12.5</v>
      </c>
      <c r="J158" s="3" t="s">
        <v>318</v>
      </c>
      <c r="K158" s="3">
        <v>5</v>
      </c>
      <c r="L158" s="3">
        <v>28</v>
      </c>
      <c r="M158" s="3" t="s">
        <v>478</v>
      </c>
      <c r="O158" s="3">
        <v>28</v>
      </c>
      <c r="AZ158" s="3"/>
      <c r="BA158" s="3">
        <v>5</v>
      </c>
      <c r="BL158" s="3">
        <v>28</v>
      </c>
      <c r="BU158" s="3">
        <v>3</v>
      </c>
      <c r="BV158" s="3">
        <v>9</v>
      </c>
      <c r="BX158" s="3">
        <v>11</v>
      </c>
      <c r="DA158" s="3"/>
      <c r="DB158" s="3">
        <v>1</v>
      </c>
      <c r="DJ158" s="3"/>
      <c r="DK158" s="3">
        <v>55</v>
      </c>
      <c r="DL158" s="3">
        <v>2</v>
      </c>
      <c r="DQ158" s="3"/>
      <c r="DR158" s="3">
        <v>27</v>
      </c>
      <c r="DS158" s="3"/>
      <c r="DT158" s="3"/>
      <c r="DU158" s="3">
        <v>22</v>
      </c>
      <c r="ED158" s="3"/>
      <c r="EE158" s="3"/>
      <c r="EF158" s="3"/>
      <c r="EG158" s="3"/>
      <c r="EH158" s="3"/>
      <c r="EI158" s="3">
        <v>95</v>
      </c>
      <c r="EX158" s="3"/>
      <c r="EY158" s="3">
        <v>18</v>
      </c>
      <c r="EZ158" s="3">
        <v>1</v>
      </c>
      <c r="FA158" s="3">
        <v>3</v>
      </c>
      <c r="FP158" s="3">
        <v>98</v>
      </c>
      <c r="FQ158" s="3">
        <v>85</v>
      </c>
      <c r="GE158" s="3">
        <f t="shared" si="0"/>
        <v>16</v>
      </c>
      <c r="GF158" s="3">
        <f t="shared" si="1"/>
        <v>14</v>
      </c>
      <c r="GG158" s="3">
        <f t="shared" si="2"/>
        <v>11</v>
      </c>
      <c r="GH158" s="3">
        <f t="shared" si="3"/>
        <v>0.85513262835077086</v>
      </c>
      <c r="GI158" s="3">
        <f t="shared" si="4"/>
        <v>463</v>
      </c>
      <c r="GJ158" s="3">
        <f t="shared" si="5"/>
        <v>700</v>
      </c>
      <c r="GK158" s="3">
        <f t="shared" si="6"/>
        <v>237</v>
      </c>
    </row>
    <row r="159" spans="1:200" ht="13" x14ac:dyDescent="0.15">
      <c r="A159" s="13">
        <v>43572</v>
      </c>
      <c r="B159" s="3" t="s">
        <v>201</v>
      </c>
      <c r="C159" s="3">
        <v>21.25544</v>
      </c>
      <c r="D159" s="3">
        <v>-157.810303</v>
      </c>
      <c r="E159" s="3" t="s">
        <v>477</v>
      </c>
      <c r="F159" s="14">
        <v>0.3611111111111111</v>
      </c>
      <c r="G159" s="14">
        <v>0.41666666666666669</v>
      </c>
      <c r="H159" s="3">
        <v>5</v>
      </c>
      <c r="I159" s="3">
        <v>11</v>
      </c>
      <c r="J159" s="3" t="s">
        <v>318</v>
      </c>
      <c r="K159" s="3">
        <v>10</v>
      </c>
      <c r="L159" s="3">
        <v>46</v>
      </c>
      <c r="M159" s="3" t="s">
        <v>481</v>
      </c>
      <c r="O159" s="3">
        <v>46</v>
      </c>
      <c r="S159" s="3">
        <v>1</v>
      </c>
      <c r="X159" s="3"/>
      <c r="Y159" s="3"/>
      <c r="Z159" s="3"/>
      <c r="AA159" s="3">
        <v>5</v>
      </c>
      <c r="AP159" s="3"/>
      <c r="AQ159" s="3">
        <v>1</v>
      </c>
      <c r="BB159" s="3">
        <v>1</v>
      </c>
      <c r="BL159" s="3">
        <v>92</v>
      </c>
      <c r="BT159" s="3">
        <v>14</v>
      </c>
      <c r="BU159" s="3">
        <v>4</v>
      </c>
      <c r="BV159" s="3">
        <v>9</v>
      </c>
      <c r="BW159" s="3">
        <v>6</v>
      </c>
      <c r="BY159" s="3">
        <v>44</v>
      </c>
      <c r="DA159" s="3"/>
      <c r="DB159" s="3">
        <v>1</v>
      </c>
      <c r="DC159" s="3"/>
      <c r="DD159" s="3">
        <v>8</v>
      </c>
      <c r="DI159" s="3">
        <v>5</v>
      </c>
      <c r="DJ159" s="3"/>
      <c r="DK159" s="3">
        <v>4</v>
      </c>
      <c r="DQ159" s="3"/>
      <c r="DR159" s="3">
        <v>68</v>
      </c>
      <c r="DS159" s="3"/>
      <c r="DT159" s="3"/>
      <c r="DU159" s="3">
        <v>3</v>
      </c>
      <c r="ED159" s="3"/>
      <c r="EE159" s="3"/>
      <c r="EF159" s="3"/>
      <c r="EG159" s="3"/>
      <c r="EH159" s="3"/>
      <c r="EI159" s="3">
        <v>471</v>
      </c>
      <c r="EX159" s="3"/>
      <c r="EY159" s="3">
        <v>16</v>
      </c>
      <c r="EZ159" s="3">
        <v>5</v>
      </c>
      <c r="FE159" s="3">
        <v>7</v>
      </c>
      <c r="FP159" s="3">
        <v>59</v>
      </c>
      <c r="FQ159" s="3">
        <v>119</v>
      </c>
      <c r="FT159" s="3"/>
      <c r="FU159" s="3">
        <v>20</v>
      </c>
      <c r="GE159" s="3">
        <f t="shared" si="0"/>
        <v>23</v>
      </c>
      <c r="GF159" s="3">
        <f t="shared" si="1"/>
        <v>19</v>
      </c>
      <c r="GG159" s="3">
        <f t="shared" si="2"/>
        <v>16</v>
      </c>
      <c r="GH159" s="3">
        <f t="shared" si="3"/>
        <v>0.72501689324119223</v>
      </c>
      <c r="GI159" s="3">
        <f t="shared" si="4"/>
        <v>963</v>
      </c>
      <c r="GJ159" s="3">
        <f t="shared" si="5"/>
        <v>1150</v>
      </c>
      <c r="GK159" s="3">
        <f t="shared" si="6"/>
        <v>187</v>
      </c>
    </row>
    <row r="160" spans="1:200" ht="13" x14ac:dyDescent="0.15">
      <c r="A160" s="13">
        <v>43572</v>
      </c>
      <c r="B160" s="3" t="s">
        <v>259</v>
      </c>
      <c r="C160" s="3">
        <v>19.737894000000001</v>
      </c>
      <c r="D160" s="3">
        <v>-155.03405799999999</v>
      </c>
      <c r="E160" s="3" t="s">
        <v>482</v>
      </c>
      <c r="F160" s="14">
        <v>0.36805555555555558</v>
      </c>
      <c r="G160" s="14">
        <v>0.44791666666666669</v>
      </c>
      <c r="H160" s="3">
        <v>7</v>
      </c>
      <c r="I160" s="3">
        <v>20</v>
      </c>
      <c r="J160" s="3" t="s">
        <v>217</v>
      </c>
      <c r="K160" s="3">
        <v>5</v>
      </c>
      <c r="L160" s="3">
        <v>29</v>
      </c>
      <c r="M160" s="3" t="s">
        <v>483</v>
      </c>
      <c r="N160" s="3" t="s">
        <v>484</v>
      </c>
      <c r="O160" s="3">
        <v>22</v>
      </c>
      <c r="AF160" s="3">
        <v>4</v>
      </c>
      <c r="AI160" s="3"/>
      <c r="AJ160" s="3"/>
      <c r="AK160" s="3"/>
      <c r="AL160" s="3">
        <v>94</v>
      </c>
      <c r="AN160" s="3"/>
      <c r="AO160" s="3">
        <v>1</v>
      </c>
      <c r="AZ160" s="3"/>
      <c r="BA160" s="3">
        <v>12</v>
      </c>
      <c r="BH160" s="3"/>
      <c r="BI160" s="3"/>
      <c r="BJ160" s="3">
        <v>18</v>
      </c>
      <c r="BL160" s="3">
        <v>75</v>
      </c>
      <c r="CN160" s="3">
        <v>11</v>
      </c>
      <c r="DG160" s="3">
        <v>28</v>
      </c>
      <c r="FC160" s="3"/>
      <c r="FD160" s="3">
        <v>15</v>
      </c>
      <c r="FL160" s="3">
        <v>3</v>
      </c>
      <c r="FQ160" s="3">
        <v>90</v>
      </c>
      <c r="FT160" s="3"/>
      <c r="FU160" s="3">
        <v>8</v>
      </c>
      <c r="GE160" s="3">
        <f t="shared" si="0"/>
        <v>12</v>
      </c>
      <c r="GF160" s="3">
        <f t="shared" si="1"/>
        <v>11</v>
      </c>
      <c r="GG160" s="3">
        <f t="shared" si="2"/>
        <v>9</v>
      </c>
      <c r="GH160" s="3">
        <f t="shared" si="3"/>
        <v>0.81411742736652093</v>
      </c>
      <c r="GI160" s="3">
        <f t="shared" si="4"/>
        <v>359</v>
      </c>
      <c r="GJ160" s="3">
        <f t="shared" si="5"/>
        <v>550</v>
      </c>
      <c r="GK160" s="3">
        <f t="shared" si="6"/>
        <v>191</v>
      </c>
    </row>
    <row r="161" spans="1:200" ht="13" x14ac:dyDescent="0.15">
      <c r="A161" s="13">
        <v>43573</v>
      </c>
      <c r="B161" s="3" t="s">
        <v>340</v>
      </c>
      <c r="C161" s="3">
        <v>19.643276</v>
      </c>
      <c r="D161" s="3">
        <v>-156.01019299999999</v>
      </c>
      <c r="E161" s="3" t="s">
        <v>418</v>
      </c>
      <c r="F161" s="14">
        <v>0.41319444444444442</v>
      </c>
      <c r="G161" s="14">
        <v>0.47916666666666669</v>
      </c>
      <c r="H161" s="3">
        <v>4</v>
      </c>
      <c r="I161" s="3">
        <v>18</v>
      </c>
      <c r="J161" s="3" t="s">
        <v>198</v>
      </c>
      <c r="K161" s="3">
        <v>10</v>
      </c>
      <c r="L161" s="3">
        <v>26</v>
      </c>
      <c r="M161" s="3" t="s">
        <v>486</v>
      </c>
      <c r="O161" s="3">
        <v>26</v>
      </c>
      <c r="S161" s="3">
        <v>19</v>
      </c>
      <c r="AB161" s="3"/>
      <c r="AC161" s="3">
        <v>5</v>
      </c>
      <c r="AG161" s="3">
        <v>1</v>
      </c>
      <c r="AT161" s="3"/>
      <c r="AU161" s="3">
        <v>1</v>
      </c>
      <c r="AZ161" s="3"/>
      <c r="BA161" s="3">
        <v>2</v>
      </c>
      <c r="BF161" s="3">
        <v>18</v>
      </c>
      <c r="BG161" s="3">
        <v>11</v>
      </c>
      <c r="BL161" s="3">
        <v>68</v>
      </c>
      <c r="BX161" s="3">
        <v>5</v>
      </c>
      <c r="CB161" s="3">
        <v>6</v>
      </c>
      <c r="CC161" s="3">
        <v>3</v>
      </c>
      <c r="DL161" s="3">
        <v>11</v>
      </c>
      <c r="DO161" s="3">
        <v>3</v>
      </c>
      <c r="DV161" s="3">
        <v>13</v>
      </c>
      <c r="ED161" s="3"/>
      <c r="EE161" s="3"/>
      <c r="EF161" s="3"/>
      <c r="EG161" s="3"/>
      <c r="EH161" s="3"/>
      <c r="EI161" s="3">
        <v>10</v>
      </c>
      <c r="FA161" s="3">
        <v>48</v>
      </c>
      <c r="FQ161" s="3">
        <v>117</v>
      </c>
      <c r="FW161" s="3">
        <v>12</v>
      </c>
      <c r="GE161" s="3">
        <f t="shared" si="0"/>
        <v>18</v>
      </c>
      <c r="GF161" s="3">
        <f t="shared" si="1"/>
        <v>16</v>
      </c>
      <c r="GG161" s="3">
        <f t="shared" si="2"/>
        <v>13</v>
      </c>
      <c r="GH161" s="3">
        <f t="shared" si="3"/>
        <v>0.82524787535410771</v>
      </c>
      <c r="GI161" s="3">
        <f t="shared" si="4"/>
        <v>353</v>
      </c>
      <c r="GJ161" s="3">
        <f t="shared" si="5"/>
        <v>650</v>
      </c>
      <c r="GK161" s="3">
        <f t="shared" si="6"/>
        <v>297</v>
      </c>
    </row>
    <row r="162" spans="1:200" ht="13" x14ac:dyDescent="0.15">
      <c r="A162" s="13">
        <v>43573</v>
      </c>
      <c r="B162" s="3" t="s">
        <v>259</v>
      </c>
      <c r="C162" s="3">
        <v>19.737894000000001</v>
      </c>
      <c r="D162" s="3">
        <v>-155.03405799999999</v>
      </c>
      <c r="E162" s="3" t="s">
        <v>482</v>
      </c>
      <c r="F162" s="14">
        <v>0.375</v>
      </c>
      <c r="G162" s="14">
        <v>0.44791666666666669</v>
      </c>
      <c r="H162" s="3">
        <v>7</v>
      </c>
      <c r="I162" s="3">
        <v>20</v>
      </c>
      <c r="J162" s="3" t="s">
        <v>217</v>
      </c>
      <c r="K162" s="3">
        <v>5</v>
      </c>
      <c r="L162" s="3">
        <v>33</v>
      </c>
      <c r="M162" s="3" t="s">
        <v>487</v>
      </c>
      <c r="N162" s="3" t="s">
        <v>488</v>
      </c>
      <c r="O162" s="3">
        <v>28</v>
      </c>
      <c r="AI162" s="3"/>
      <c r="AJ162" s="3"/>
      <c r="AK162" s="3"/>
      <c r="AL162" s="3">
        <v>49</v>
      </c>
      <c r="BH162" s="3"/>
      <c r="BI162" s="3"/>
      <c r="BJ162" s="3">
        <v>24</v>
      </c>
      <c r="BL162" s="3">
        <v>28</v>
      </c>
      <c r="CC162" s="3">
        <v>1</v>
      </c>
      <c r="DG162" s="3">
        <v>48</v>
      </c>
      <c r="FC162" s="3"/>
      <c r="FD162" s="3">
        <v>2</v>
      </c>
      <c r="FL162" s="3">
        <v>3</v>
      </c>
      <c r="FM162" s="3"/>
      <c r="FN162" s="3">
        <v>1</v>
      </c>
      <c r="FO162" s="3">
        <v>6</v>
      </c>
      <c r="FQ162" s="3">
        <v>274</v>
      </c>
      <c r="FT162" s="3"/>
      <c r="FU162" s="3">
        <v>3</v>
      </c>
      <c r="GE162" s="3">
        <f t="shared" si="0"/>
        <v>11</v>
      </c>
      <c r="GF162" s="3">
        <f t="shared" si="1"/>
        <v>9</v>
      </c>
      <c r="GG162" s="3">
        <f t="shared" si="2"/>
        <v>6</v>
      </c>
      <c r="GH162" s="3">
        <f t="shared" si="3"/>
        <v>0.57998148552646633</v>
      </c>
      <c r="GI162" s="3">
        <f t="shared" si="4"/>
        <v>439</v>
      </c>
      <c r="GJ162" s="3">
        <f t="shared" si="5"/>
        <v>700</v>
      </c>
      <c r="GK162" s="3">
        <f t="shared" si="6"/>
        <v>261</v>
      </c>
    </row>
    <row r="163" spans="1:200" ht="13" x14ac:dyDescent="0.15">
      <c r="A163" s="13">
        <v>43573</v>
      </c>
      <c r="B163" s="3" t="s">
        <v>489</v>
      </c>
      <c r="C163" s="3">
        <v>19.640812</v>
      </c>
      <c r="D163" s="3">
        <v>-156.00692699999999</v>
      </c>
      <c r="E163" s="3" t="s">
        <v>367</v>
      </c>
      <c r="F163" s="14">
        <v>0.375</v>
      </c>
      <c r="G163" s="14">
        <v>0.47916666666666669</v>
      </c>
      <c r="H163" s="3">
        <v>4</v>
      </c>
      <c r="I163" s="3">
        <v>20</v>
      </c>
      <c r="J163" s="3" t="s">
        <v>198</v>
      </c>
      <c r="K163" s="3">
        <v>10</v>
      </c>
      <c r="L163" s="3">
        <v>26</v>
      </c>
      <c r="M163" s="3" t="s">
        <v>486</v>
      </c>
      <c r="O163" s="3">
        <v>26</v>
      </c>
      <c r="S163" s="3">
        <v>24</v>
      </c>
      <c r="AG163" s="3">
        <v>1</v>
      </c>
      <c r="AT163" s="3"/>
      <c r="AU163" s="3">
        <v>1</v>
      </c>
      <c r="AZ163" s="3"/>
      <c r="BA163" s="3">
        <v>2</v>
      </c>
      <c r="BF163" s="3">
        <v>18</v>
      </c>
      <c r="BG163" s="3">
        <v>11</v>
      </c>
      <c r="BL163" s="3">
        <v>68</v>
      </c>
      <c r="BX163" s="3">
        <v>5</v>
      </c>
      <c r="CB163" s="3">
        <v>6</v>
      </c>
      <c r="CC163" s="3">
        <v>3</v>
      </c>
      <c r="DL163" s="3">
        <v>11</v>
      </c>
      <c r="DO163" s="3">
        <v>3</v>
      </c>
      <c r="EI163" s="3">
        <v>10</v>
      </c>
      <c r="FA163" s="3">
        <v>48</v>
      </c>
      <c r="FQ163" s="3">
        <v>117</v>
      </c>
      <c r="FW163" s="3">
        <v>12</v>
      </c>
      <c r="GE163" s="3">
        <f t="shared" si="0"/>
        <v>16</v>
      </c>
      <c r="GF163" s="3">
        <f t="shared" si="1"/>
        <v>14</v>
      </c>
      <c r="GG163" s="3">
        <f t="shared" si="2"/>
        <v>11</v>
      </c>
      <c r="GH163" s="3">
        <f t="shared" si="3"/>
        <v>0.81131355196946031</v>
      </c>
      <c r="GI163" s="3">
        <f t="shared" si="4"/>
        <v>340</v>
      </c>
      <c r="GJ163" s="3">
        <f t="shared" si="5"/>
        <v>650</v>
      </c>
      <c r="GK163" s="3">
        <f t="shared" si="6"/>
        <v>310</v>
      </c>
    </row>
    <row r="164" spans="1:200" ht="13" x14ac:dyDescent="0.15">
      <c r="A164" s="13">
        <v>43573</v>
      </c>
      <c r="B164" s="3" t="s">
        <v>201</v>
      </c>
      <c r="C164" s="3">
        <v>21.25544</v>
      </c>
      <c r="D164" s="3">
        <v>-157.810303</v>
      </c>
      <c r="E164" s="3" t="s">
        <v>477</v>
      </c>
      <c r="F164" s="14">
        <v>0.375</v>
      </c>
      <c r="G164" s="14">
        <v>0.43055555555555558</v>
      </c>
      <c r="H164" s="3">
        <v>5</v>
      </c>
      <c r="I164" s="3">
        <v>10.5</v>
      </c>
      <c r="J164" s="3" t="s">
        <v>318</v>
      </c>
      <c r="K164" s="3">
        <v>10</v>
      </c>
      <c r="L164" s="3">
        <v>46</v>
      </c>
      <c r="M164" s="3" t="s">
        <v>491</v>
      </c>
      <c r="O164" s="3">
        <v>46</v>
      </c>
      <c r="Q164" s="3">
        <v>1</v>
      </c>
      <c r="AI164" s="3"/>
      <c r="AJ164" s="3"/>
      <c r="AK164" s="3"/>
      <c r="AL164" s="3">
        <v>1</v>
      </c>
      <c r="AS164" s="3">
        <v>1</v>
      </c>
      <c r="BL164" s="3">
        <v>63</v>
      </c>
      <c r="BT164" s="3">
        <v>2</v>
      </c>
      <c r="BU164" s="3">
        <v>19</v>
      </c>
      <c r="BV164" s="3">
        <v>4</v>
      </c>
      <c r="DA164" s="3"/>
      <c r="DB164" s="3">
        <v>2</v>
      </c>
      <c r="DE164" s="3"/>
      <c r="DF164" s="3">
        <v>2</v>
      </c>
      <c r="DI164" s="3">
        <v>1</v>
      </c>
      <c r="DJ164" s="3"/>
      <c r="DK164" s="3">
        <v>8</v>
      </c>
      <c r="DL164" s="3">
        <v>24</v>
      </c>
      <c r="DQ164" s="3"/>
      <c r="DR164" s="3">
        <v>91</v>
      </c>
      <c r="DS164" s="3"/>
      <c r="DT164" s="3"/>
      <c r="DU164" s="3">
        <v>12</v>
      </c>
      <c r="EB164" s="3">
        <v>1</v>
      </c>
      <c r="ED164" s="3"/>
      <c r="EE164" s="3"/>
      <c r="EF164" s="3"/>
      <c r="EG164" s="3"/>
      <c r="EH164" s="3"/>
      <c r="EI164" s="3">
        <v>318</v>
      </c>
      <c r="EX164" s="3"/>
      <c r="EY164" s="3">
        <v>18</v>
      </c>
      <c r="EZ164" s="3">
        <v>15</v>
      </c>
      <c r="FA164" s="3">
        <v>51</v>
      </c>
      <c r="FH164" s="3">
        <v>1</v>
      </c>
      <c r="FO164" s="3">
        <v>20</v>
      </c>
      <c r="FP164" s="3">
        <v>132</v>
      </c>
      <c r="FQ164" s="3">
        <v>46</v>
      </c>
      <c r="FT164" s="3"/>
      <c r="FU164" s="3">
        <v>1</v>
      </c>
      <c r="GE164" s="3">
        <f t="shared" si="0"/>
        <v>24</v>
      </c>
      <c r="GF164" s="3">
        <f t="shared" si="1"/>
        <v>17</v>
      </c>
      <c r="GG164" s="3">
        <f t="shared" si="2"/>
        <v>13</v>
      </c>
      <c r="GH164" s="3">
        <f t="shared" si="3"/>
        <v>0.80307230805991459</v>
      </c>
      <c r="GI164" s="3">
        <f t="shared" si="4"/>
        <v>834</v>
      </c>
      <c r="GJ164" s="3">
        <f t="shared" si="5"/>
        <v>1150</v>
      </c>
      <c r="GK164" s="3">
        <f t="shared" si="6"/>
        <v>316</v>
      </c>
    </row>
    <row r="165" spans="1:200" ht="13" x14ac:dyDescent="0.15">
      <c r="A165" s="13">
        <v>43573</v>
      </c>
      <c r="B165" s="3" t="s">
        <v>492</v>
      </c>
      <c r="C165" s="3">
        <v>21.452874999999999</v>
      </c>
      <c r="D165" s="3">
        <v>-158.19996599999999</v>
      </c>
      <c r="E165" s="3" t="s">
        <v>493</v>
      </c>
      <c r="F165" s="14">
        <v>0.35416666666666669</v>
      </c>
      <c r="G165" s="14">
        <v>0.39930555555555558</v>
      </c>
      <c r="H165" s="3">
        <v>6</v>
      </c>
      <c r="I165" s="3">
        <v>11</v>
      </c>
      <c r="J165" s="3" t="s">
        <v>318</v>
      </c>
      <c r="K165" s="3">
        <v>5</v>
      </c>
      <c r="L165" s="3">
        <v>30</v>
      </c>
      <c r="O165" s="3">
        <v>30</v>
      </c>
      <c r="Q165" s="3">
        <v>7</v>
      </c>
      <c r="BL165" s="3">
        <v>19</v>
      </c>
      <c r="BU165" s="3">
        <v>8</v>
      </c>
      <c r="BY165" s="3">
        <v>35</v>
      </c>
      <c r="CD165" s="3">
        <v>25</v>
      </c>
      <c r="CE165" s="3">
        <v>12</v>
      </c>
      <c r="DL165" s="3">
        <v>89</v>
      </c>
      <c r="ED165" s="3"/>
      <c r="EE165" s="3"/>
      <c r="EF165" s="3"/>
      <c r="EG165" s="3"/>
      <c r="EH165" s="3"/>
      <c r="EI165" s="3">
        <v>111</v>
      </c>
      <c r="EX165" s="3"/>
      <c r="EY165" s="3">
        <v>2</v>
      </c>
      <c r="FA165" s="3">
        <v>187</v>
      </c>
      <c r="FH165" s="3">
        <v>11</v>
      </c>
      <c r="FP165" s="3">
        <v>12</v>
      </c>
      <c r="FQ165" s="3">
        <v>157</v>
      </c>
      <c r="GE165" s="3">
        <f t="shared" si="0"/>
        <v>13</v>
      </c>
      <c r="GF165" s="3">
        <f t="shared" si="1"/>
        <v>13</v>
      </c>
      <c r="GG165" s="3">
        <f t="shared" si="2"/>
        <v>12</v>
      </c>
      <c r="GH165" s="3">
        <f t="shared" si="3"/>
        <v>0.81993186064402679</v>
      </c>
      <c r="GI165" s="3">
        <f t="shared" si="4"/>
        <v>675</v>
      </c>
      <c r="GJ165" s="3">
        <f t="shared" si="5"/>
        <v>750</v>
      </c>
      <c r="GK165" s="3">
        <f t="shared" si="6"/>
        <v>75</v>
      </c>
    </row>
    <row r="166" spans="1:200" ht="13" x14ac:dyDescent="0.15">
      <c r="A166" s="13">
        <v>43577</v>
      </c>
      <c r="B166" s="3" t="s">
        <v>301</v>
      </c>
      <c r="C166" s="3">
        <v>22.065598999999999</v>
      </c>
      <c r="D166" s="3">
        <v>-159.31770299999999</v>
      </c>
      <c r="E166" s="3" t="s">
        <v>347</v>
      </c>
      <c r="F166" s="14">
        <v>0.45833333333333331</v>
      </c>
      <c r="G166" s="14">
        <v>0.5</v>
      </c>
      <c r="H166" s="3">
        <v>5</v>
      </c>
      <c r="I166" s="3">
        <v>7</v>
      </c>
      <c r="J166" s="3" t="s">
        <v>198</v>
      </c>
      <c r="K166" s="3">
        <v>8</v>
      </c>
      <c r="L166" s="3">
        <v>40</v>
      </c>
      <c r="O166" s="3">
        <v>40</v>
      </c>
      <c r="AB166" s="3"/>
      <c r="AC166" s="3">
        <v>23</v>
      </c>
      <c r="BL166" s="3">
        <v>13</v>
      </c>
      <c r="BM166" s="3">
        <v>2</v>
      </c>
      <c r="BU166" s="3">
        <v>35</v>
      </c>
      <c r="BV166" s="3">
        <v>37</v>
      </c>
      <c r="BW166" s="3">
        <v>28</v>
      </c>
      <c r="BY166" s="3">
        <v>2</v>
      </c>
      <c r="CC166" s="3">
        <v>2</v>
      </c>
      <c r="DJ166" s="3"/>
      <c r="DK166" s="3">
        <v>13</v>
      </c>
      <c r="DL166" s="3">
        <v>23</v>
      </c>
      <c r="DQ166" s="3"/>
      <c r="DR166" s="3">
        <v>6</v>
      </c>
      <c r="EA166" s="3">
        <v>1</v>
      </c>
      <c r="ED166" s="3"/>
      <c r="EE166" s="3"/>
      <c r="EF166" s="3"/>
      <c r="EG166" s="3"/>
      <c r="EH166" s="3"/>
      <c r="EI166" s="3">
        <v>117</v>
      </c>
      <c r="FA166" s="3">
        <v>12</v>
      </c>
      <c r="FP166" s="3">
        <v>9</v>
      </c>
      <c r="FQ166" s="3">
        <v>478</v>
      </c>
      <c r="GD166" s="3">
        <v>2</v>
      </c>
      <c r="GE166" s="3">
        <f t="shared" si="0"/>
        <v>17</v>
      </c>
      <c r="GF166" s="3">
        <f t="shared" si="1"/>
        <v>16</v>
      </c>
      <c r="GG166" s="3">
        <f t="shared" si="2"/>
        <v>12</v>
      </c>
      <c r="GH166" s="3">
        <f t="shared" si="3"/>
        <v>0.61736070781949237</v>
      </c>
      <c r="GI166" s="3">
        <f t="shared" si="4"/>
        <v>803</v>
      </c>
      <c r="GJ166" s="3">
        <f t="shared" si="5"/>
        <v>1000</v>
      </c>
      <c r="GK166" s="3">
        <f t="shared" si="6"/>
        <v>197</v>
      </c>
    </row>
    <row r="167" spans="1:200" ht="13" x14ac:dyDescent="0.15">
      <c r="A167" s="13">
        <v>43577</v>
      </c>
      <c r="B167" s="3" t="s">
        <v>266</v>
      </c>
      <c r="C167" s="3">
        <v>22.060683999999998</v>
      </c>
      <c r="D167" s="3">
        <v>-159.318512</v>
      </c>
      <c r="E167" s="3" t="s">
        <v>418</v>
      </c>
      <c r="F167" s="14">
        <v>0.46180555555555558</v>
      </c>
      <c r="G167" s="14">
        <v>0.5</v>
      </c>
      <c r="H167" s="3">
        <v>5</v>
      </c>
      <c r="I167" s="3">
        <v>15</v>
      </c>
      <c r="J167" s="3" t="s">
        <v>198</v>
      </c>
      <c r="K167" s="3">
        <v>9</v>
      </c>
      <c r="L167" s="3">
        <v>40</v>
      </c>
      <c r="M167" s="3" t="s">
        <v>494</v>
      </c>
      <c r="N167" s="3" t="s">
        <v>495</v>
      </c>
      <c r="O167" s="3">
        <v>23</v>
      </c>
      <c r="AH167" s="3">
        <v>2</v>
      </c>
      <c r="AT167" s="3"/>
      <c r="AU167" s="3">
        <v>3</v>
      </c>
      <c r="AZ167" s="3"/>
      <c r="BA167" s="3">
        <v>7</v>
      </c>
      <c r="BK167" s="3">
        <v>1</v>
      </c>
      <c r="BL167" s="3">
        <v>4</v>
      </c>
      <c r="BM167" s="3">
        <v>49</v>
      </c>
      <c r="BT167" s="3">
        <v>1</v>
      </c>
      <c r="BU167" s="3">
        <v>55</v>
      </c>
      <c r="BY167" s="3">
        <v>1</v>
      </c>
      <c r="CO167" s="3"/>
      <c r="CP167" s="3"/>
      <c r="CQ167" s="3"/>
      <c r="CR167" s="3">
        <v>1</v>
      </c>
      <c r="CU167" s="3">
        <v>2</v>
      </c>
      <c r="DL167" s="3">
        <v>2</v>
      </c>
      <c r="DQ167" s="3"/>
      <c r="DR167" s="3">
        <v>4</v>
      </c>
      <c r="DS167" s="3"/>
      <c r="DT167" s="3"/>
      <c r="DU167" s="3">
        <v>40</v>
      </c>
      <c r="ED167" s="3"/>
      <c r="EE167" s="3"/>
      <c r="EF167" s="3"/>
      <c r="EG167" s="3"/>
      <c r="EH167" s="3"/>
      <c r="EI167" s="3">
        <v>30</v>
      </c>
      <c r="FA167" s="3">
        <v>1</v>
      </c>
      <c r="FP167" s="3">
        <v>7</v>
      </c>
      <c r="FQ167" s="3">
        <v>41</v>
      </c>
      <c r="FT167" s="3"/>
      <c r="FU167" s="3">
        <v>25</v>
      </c>
      <c r="GE167" s="3">
        <f t="shared" si="0"/>
        <v>19</v>
      </c>
      <c r="GF167" s="3">
        <f t="shared" si="1"/>
        <v>14</v>
      </c>
      <c r="GG167" s="3">
        <f t="shared" si="2"/>
        <v>8</v>
      </c>
      <c r="GH167" s="3">
        <f t="shared" si="3"/>
        <v>0.86677206851119892</v>
      </c>
      <c r="GI167" s="3">
        <f t="shared" si="4"/>
        <v>276</v>
      </c>
      <c r="GJ167" s="3">
        <f t="shared" si="5"/>
        <v>575</v>
      </c>
      <c r="GK167" s="3">
        <f t="shared" si="6"/>
        <v>299</v>
      </c>
    </row>
    <row r="168" spans="1:200" ht="13" x14ac:dyDescent="0.15">
      <c r="A168" s="13">
        <v>43577</v>
      </c>
      <c r="B168" s="3" t="s">
        <v>293</v>
      </c>
      <c r="C168" s="3">
        <v>19.738602</v>
      </c>
      <c r="D168" s="3">
        <v>-155.03887900000001</v>
      </c>
      <c r="E168" s="3" t="s">
        <v>496</v>
      </c>
      <c r="F168" s="14">
        <v>0.41736111111111113</v>
      </c>
      <c r="G168" s="14">
        <v>0.45694444444444443</v>
      </c>
      <c r="H168" s="3">
        <v>6</v>
      </c>
      <c r="I168" s="3">
        <v>11</v>
      </c>
      <c r="J168" s="3" t="s">
        <v>318</v>
      </c>
      <c r="K168" s="3">
        <v>5</v>
      </c>
      <c r="L168" s="3">
        <v>27</v>
      </c>
      <c r="M168" s="3" t="s">
        <v>497</v>
      </c>
      <c r="O168" s="3">
        <v>27</v>
      </c>
      <c r="AB168" s="3"/>
      <c r="AC168" s="3">
        <v>1</v>
      </c>
      <c r="BH168" s="3"/>
      <c r="BI168" s="3"/>
      <c r="BJ168" s="3">
        <v>15</v>
      </c>
      <c r="BL168" s="3">
        <v>1</v>
      </c>
      <c r="CD168" s="3">
        <v>10</v>
      </c>
      <c r="DX168" s="3">
        <v>22</v>
      </c>
      <c r="ED168" s="3"/>
      <c r="EE168" s="3"/>
      <c r="EF168" s="3"/>
      <c r="EG168" s="3"/>
      <c r="EH168" s="3"/>
      <c r="EI168" s="3">
        <v>5</v>
      </c>
      <c r="EJ168" s="3">
        <v>3</v>
      </c>
      <c r="EO168" s="3">
        <v>6</v>
      </c>
      <c r="EP168" s="3">
        <v>21</v>
      </c>
      <c r="EQ168" s="3">
        <v>28</v>
      </c>
      <c r="FC168" s="3"/>
      <c r="FD168" s="3">
        <v>4</v>
      </c>
      <c r="FL168" s="3">
        <v>10</v>
      </c>
      <c r="FM168" s="3"/>
      <c r="FN168" s="3">
        <v>1</v>
      </c>
      <c r="FQ168" s="3">
        <v>331</v>
      </c>
      <c r="GE168" s="3">
        <f t="shared" si="0"/>
        <v>14</v>
      </c>
      <c r="GF168" s="3">
        <f t="shared" si="1"/>
        <v>11</v>
      </c>
      <c r="GG168" s="3">
        <f t="shared" si="2"/>
        <v>9</v>
      </c>
      <c r="GH168" s="3">
        <f t="shared" si="3"/>
        <v>0.46811844858723595</v>
      </c>
      <c r="GI168" s="3">
        <f t="shared" si="4"/>
        <v>458</v>
      </c>
      <c r="GJ168" s="3">
        <f t="shared" si="5"/>
        <v>675</v>
      </c>
      <c r="GK168" s="3">
        <f t="shared" si="6"/>
        <v>217</v>
      </c>
    </row>
    <row r="169" spans="1:200" ht="13" x14ac:dyDescent="0.15">
      <c r="A169" s="13">
        <v>43578</v>
      </c>
      <c r="B169" s="3" t="s">
        <v>201</v>
      </c>
      <c r="C169" s="23">
        <v>21.25544</v>
      </c>
      <c r="D169" s="23">
        <v>-157.810303</v>
      </c>
      <c r="E169" s="3" t="s">
        <v>418</v>
      </c>
      <c r="F169" s="14">
        <v>0.47916666666666669</v>
      </c>
      <c r="G169" s="14">
        <v>0.51041666666666663</v>
      </c>
      <c r="H169" s="3">
        <v>6</v>
      </c>
      <c r="I169" s="3">
        <v>14</v>
      </c>
      <c r="J169" s="3" t="s">
        <v>198</v>
      </c>
      <c r="K169" s="3">
        <v>5</v>
      </c>
      <c r="L169" s="3">
        <v>18</v>
      </c>
      <c r="M169" s="3" t="s">
        <v>498</v>
      </c>
      <c r="N169" s="3"/>
      <c r="O169" s="3">
        <v>18</v>
      </c>
      <c r="Q169" s="3">
        <v>5</v>
      </c>
      <c r="AC169" s="3">
        <v>9</v>
      </c>
      <c r="AM169" s="3"/>
      <c r="AR169" s="3">
        <v>5</v>
      </c>
      <c r="AT169" s="3"/>
      <c r="BL169" s="3"/>
      <c r="BV169" s="3"/>
      <c r="BY169" s="3">
        <v>2</v>
      </c>
      <c r="CB169" s="3"/>
      <c r="CC169" s="3"/>
      <c r="CD169" s="3"/>
      <c r="DL169" s="3">
        <v>9</v>
      </c>
      <c r="DN169" s="3">
        <v>2</v>
      </c>
      <c r="DQ169" s="3"/>
      <c r="DR169" s="3">
        <v>35</v>
      </c>
      <c r="EB169" s="3"/>
      <c r="EC169" s="3"/>
      <c r="ED169" s="3"/>
      <c r="EE169" s="3"/>
      <c r="EF169" s="3"/>
      <c r="EG169" s="3"/>
      <c r="EH169" s="3"/>
      <c r="EI169" s="3">
        <v>139</v>
      </c>
      <c r="ER169" s="3"/>
      <c r="ES169" s="3"/>
      <c r="ET169" s="3"/>
      <c r="EU169" s="3"/>
      <c r="EX169" s="3"/>
      <c r="EY169" s="3">
        <v>13</v>
      </c>
      <c r="EZ169" s="3"/>
      <c r="FA169" s="3">
        <v>52</v>
      </c>
      <c r="FE169" s="3"/>
      <c r="FP169" s="3">
        <v>68</v>
      </c>
      <c r="FQ169" s="3">
        <v>9</v>
      </c>
      <c r="FS169" s="3">
        <v>2</v>
      </c>
      <c r="FX169" s="3"/>
      <c r="GE169" s="3">
        <f t="shared" si="0"/>
        <v>13</v>
      </c>
      <c r="GF169" s="3">
        <f t="shared" si="1"/>
        <v>13</v>
      </c>
      <c r="GG169" s="3">
        <f t="shared" si="2"/>
        <v>10</v>
      </c>
      <c r="GH169" s="3">
        <f t="shared" si="3"/>
        <v>0.77079001227998356</v>
      </c>
      <c r="GI169" s="3">
        <f t="shared" si="4"/>
        <v>350</v>
      </c>
      <c r="GJ169" s="3">
        <f t="shared" si="5"/>
        <v>450</v>
      </c>
      <c r="GK169" s="3">
        <f t="shared" si="6"/>
        <v>100</v>
      </c>
    </row>
    <row r="170" spans="1:200" ht="13" x14ac:dyDescent="0.15">
      <c r="A170" s="13">
        <v>43587</v>
      </c>
      <c r="B170" s="3" t="s">
        <v>499</v>
      </c>
      <c r="C170" s="3">
        <v>20.714272999999999</v>
      </c>
      <c r="D170" s="3">
        <v>-156.44712799999999</v>
      </c>
      <c r="E170" s="3" t="s">
        <v>418</v>
      </c>
      <c r="F170" s="14">
        <v>0.39444444444444443</v>
      </c>
      <c r="G170" s="14">
        <v>0.42708333333333331</v>
      </c>
      <c r="H170" s="3">
        <v>10</v>
      </c>
      <c r="I170" s="3">
        <v>10</v>
      </c>
      <c r="J170" s="3" t="s">
        <v>198</v>
      </c>
      <c r="K170" s="3">
        <v>5</v>
      </c>
      <c r="L170" s="3">
        <v>25</v>
      </c>
      <c r="M170" s="3" t="s">
        <v>500</v>
      </c>
      <c r="N170" s="3" t="s">
        <v>501</v>
      </c>
      <c r="O170" s="3">
        <v>18</v>
      </c>
      <c r="AM170" s="3">
        <v>2</v>
      </c>
      <c r="AT170" s="3">
        <v>1</v>
      </c>
      <c r="BL170" s="3">
        <v>21</v>
      </c>
      <c r="BV170" s="3">
        <v>1</v>
      </c>
      <c r="CB170" s="3">
        <v>10</v>
      </c>
      <c r="CC170" s="3">
        <v>4</v>
      </c>
      <c r="CD170" s="3">
        <v>2</v>
      </c>
      <c r="EB170" s="3">
        <v>2</v>
      </c>
      <c r="EC170" s="3">
        <v>5</v>
      </c>
      <c r="ED170" s="3"/>
      <c r="EE170" s="3"/>
      <c r="EF170" s="3"/>
      <c r="EG170" s="3"/>
      <c r="EH170" s="3"/>
      <c r="EI170" s="3">
        <v>1</v>
      </c>
      <c r="ER170" s="3"/>
      <c r="ES170" s="3"/>
      <c r="ET170" s="3"/>
      <c r="EU170" s="3">
        <v>13</v>
      </c>
      <c r="EZ170" s="3">
        <v>1</v>
      </c>
      <c r="FE170" s="3">
        <v>33</v>
      </c>
      <c r="FP170" s="3">
        <v>1</v>
      </c>
      <c r="FQ170" s="3">
        <v>173</v>
      </c>
      <c r="FX170" s="3">
        <v>5</v>
      </c>
      <c r="GE170" s="3">
        <f t="shared" si="0"/>
        <v>16</v>
      </c>
      <c r="GF170" s="3">
        <f t="shared" si="1"/>
        <v>11</v>
      </c>
      <c r="GG170" s="3">
        <f t="shared" si="2"/>
        <v>7</v>
      </c>
      <c r="GH170" s="3">
        <f t="shared" si="3"/>
        <v>0.58147312541473117</v>
      </c>
      <c r="GI170" s="3">
        <f t="shared" si="4"/>
        <v>275</v>
      </c>
      <c r="GJ170" s="3">
        <f t="shared" si="5"/>
        <v>450</v>
      </c>
      <c r="GK170" s="3">
        <f t="shared" si="6"/>
        <v>175</v>
      </c>
    </row>
    <row r="171" spans="1:200" ht="13" x14ac:dyDescent="0.15">
      <c r="A171" s="13">
        <v>43602</v>
      </c>
      <c r="B171" s="3" t="s">
        <v>489</v>
      </c>
      <c r="C171" s="3">
        <v>19.640812</v>
      </c>
      <c r="D171" s="3">
        <v>-156.00692699999999</v>
      </c>
      <c r="E171" s="3" t="s">
        <v>418</v>
      </c>
      <c r="F171" s="14">
        <v>0.36458333333333331</v>
      </c>
      <c r="G171" s="14">
        <v>0.44791666666666669</v>
      </c>
      <c r="H171" s="3">
        <v>5</v>
      </c>
      <c r="I171" s="3">
        <v>22</v>
      </c>
      <c r="J171" s="3" t="s">
        <v>227</v>
      </c>
      <c r="K171" s="3">
        <v>10</v>
      </c>
      <c r="L171" s="3">
        <v>19</v>
      </c>
      <c r="M171" s="3" t="s">
        <v>502</v>
      </c>
      <c r="O171" s="3">
        <v>19</v>
      </c>
      <c r="AB171" s="3"/>
      <c r="AC171" s="3">
        <v>12</v>
      </c>
      <c r="AG171" s="3">
        <v>2</v>
      </c>
      <c r="AZ171" s="3"/>
      <c r="BA171" s="3">
        <v>1</v>
      </c>
      <c r="BF171" s="3">
        <v>10</v>
      </c>
      <c r="BG171" s="3">
        <v>3</v>
      </c>
      <c r="BK171" s="3">
        <v>1</v>
      </c>
      <c r="BL171" s="3">
        <v>28</v>
      </c>
      <c r="CB171" s="3">
        <v>17</v>
      </c>
      <c r="CC171" s="3">
        <v>5</v>
      </c>
      <c r="DL171" s="3">
        <v>21</v>
      </c>
      <c r="ED171" s="3"/>
      <c r="EE171" s="3"/>
      <c r="EF171" s="3"/>
      <c r="EG171" s="3"/>
      <c r="EH171" s="3"/>
      <c r="EI171" s="3">
        <v>2</v>
      </c>
      <c r="EZ171" s="3">
        <v>27</v>
      </c>
      <c r="FA171" s="3">
        <v>58</v>
      </c>
      <c r="FQ171" s="3">
        <v>134</v>
      </c>
      <c r="FT171" s="3"/>
      <c r="FU171" s="3">
        <v>1</v>
      </c>
      <c r="GE171" s="3">
        <f t="shared" si="0"/>
        <v>15</v>
      </c>
      <c r="GF171" s="3">
        <f t="shared" si="1"/>
        <v>12</v>
      </c>
      <c r="GG171" s="3">
        <f t="shared" si="2"/>
        <v>9</v>
      </c>
      <c r="GH171" s="3">
        <f t="shared" si="3"/>
        <v>0.77235347613242777</v>
      </c>
      <c r="GI171" s="3">
        <f t="shared" si="4"/>
        <v>322</v>
      </c>
      <c r="GJ171" s="3">
        <f t="shared" si="5"/>
        <v>475</v>
      </c>
      <c r="GK171" s="3">
        <f t="shared" si="6"/>
        <v>153</v>
      </c>
    </row>
    <row r="172" spans="1:200" ht="13" x14ac:dyDescent="0.15">
      <c r="A172" s="13">
        <v>43602</v>
      </c>
      <c r="B172" s="3" t="s">
        <v>244</v>
      </c>
      <c r="C172" s="3">
        <v>21.310611999999999</v>
      </c>
      <c r="D172" s="3">
        <v>-158.00441000000001</v>
      </c>
      <c r="E172" s="3" t="s">
        <v>503</v>
      </c>
      <c r="F172" s="14">
        <v>0.35416666666666669</v>
      </c>
      <c r="G172" s="14">
        <v>0.4375</v>
      </c>
      <c r="H172" s="3">
        <v>5</v>
      </c>
      <c r="I172" s="3">
        <v>10</v>
      </c>
      <c r="J172" s="3" t="s">
        <v>217</v>
      </c>
      <c r="K172" s="3">
        <v>5</v>
      </c>
      <c r="L172" s="3">
        <v>25</v>
      </c>
      <c r="O172" s="3">
        <v>25</v>
      </c>
      <c r="Q172" s="3">
        <v>19</v>
      </c>
      <c r="AD172" s="3">
        <v>17</v>
      </c>
      <c r="AH172" s="3">
        <v>1</v>
      </c>
      <c r="BB172" s="3">
        <v>22</v>
      </c>
      <c r="BC172" s="3">
        <v>4</v>
      </c>
      <c r="BD172" s="3">
        <v>2</v>
      </c>
      <c r="BL172" s="3">
        <v>22</v>
      </c>
      <c r="BU172" s="3">
        <v>26</v>
      </c>
      <c r="BY172" s="3">
        <v>4</v>
      </c>
      <c r="EB172" s="3">
        <v>8</v>
      </c>
      <c r="ED172" s="3"/>
      <c r="EE172" s="3"/>
      <c r="EF172" s="3"/>
      <c r="EG172" s="3"/>
      <c r="EH172" s="3"/>
      <c r="EI172" s="3">
        <v>261</v>
      </c>
      <c r="EW172" s="3">
        <v>5</v>
      </c>
      <c r="FE172" s="3">
        <v>2</v>
      </c>
      <c r="FP172" s="3">
        <v>2</v>
      </c>
      <c r="FQ172" s="3">
        <v>97</v>
      </c>
      <c r="FT172" s="3"/>
      <c r="FU172" s="3">
        <v>1</v>
      </c>
      <c r="GE172" s="3">
        <f t="shared" si="0"/>
        <v>16</v>
      </c>
      <c r="GF172" s="3">
        <f t="shared" si="1"/>
        <v>14</v>
      </c>
      <c r="GG172" s="3">
        <f t="shared" si="2"/>
        <v>9</v>
      </c>
      <c r="GH172" s="3">
        <f t="shared" si="3"/>
        <v>0.67238081102920555</v>
      </c>
      <c r="GI172" s="3">
        <f t="shared" si="4"/>
        <v>493</v>
      </c>
      <c r="GJ172" s="3">
        <f t="shared" si="5"/>
        <v>625</v>
      </c>
      <c r="GK172" s="3">
        <f t="shared" si="6"/>
        <v>132</v>
      </c>
    </row>
    <row r="173" spans="1:200" ht="13" x14ac:dyDescent="0.15">
      <c r="A173" s="13">
        <v>43734</v>
      </c>
      <c r="B173" s="3" t="s">
        <v>329</v>
      </c>
      <c r="C173" s="3">
        <v>21.140799999999999</v>
      </c>
      <c r="D173" s="3">
        <v>-157.29011499999999</v>
      </c>
      <c r="E173" s="3" t="s">
        <v>286</v>
      </c>
      <c r="F173" s="14">
        <v>0.375</v>
      </c>
      <c r="G173" s="14">
        <v>0.39166666666666666</v>
      </c>
      <c r="H173" s="3">
        <v>3</v>
      </c>
      <c r="I173" s="3">
        <v>14</v>
      </c>
      <c r="J173" s="3" t="s">
        <v>198</v>
      </c>
      <c r="K173" s="3">
        <v>14</v>
      </c>
      <c r="L173" s="3">
        <v>15</v>
      </c>
      <c r="M173" s="3" t="s">
        <v>504</v>
      </c>
      <c r="N173" s="3" t="s">
        <v>505</v>
      </c>
      <c r="O173" s="3">
        <v>6</v>
      </c>
      <c r="BW173" s="3">
        <v>1</v>
      </c>
      <c r="ED173" s="3"/>
      <c r="EE173" s="3"/>
      <c r="EF173" s="3"/>
      <c r="EG173" s="3"/>
      <c r="EH173" s="3"/>
      <c r="EI173" s="3">
        <v>106</v>
      </c>
      <c r="FB173" s="3">
        <v>1</v>
      </c>
      <c r="FY173" s="3"/>
      <c r="FZ173" s="3">
        <v>4</v>
      </c>
      <c r="GE173" s="3">
        <f t="shared" si="0"/>
        <v>4</v>
      </c>
      <c r="GF173" s="3">
        <f t="shared" si="1"/>
        <v>2</v>
      </c>
      <c r="GG173" s="3">
        <f t="shared" si="2"/>
        <v>1</v>
      </c>
      <c r="GH173" s="3">
        <f t="shared" si="3"/>
        <v>0.10376447876447881</v>
      </c>
      <c r="GI173" s="3">
        <f t="shared" si="4"/>
        <v>112</v>
      </c>
      <c r="GJ173" s="3">
        <f t="shared" si="5"/>
        <v>150</v>
      </c>
      <c r="GK173" s="3">
        <f t="shared" si="6"/>
        <v>38</v>
      </c>
    </row>
    <row r="174" spans="1:200" ht="13" x14ac:dyDescent="0.15">
      <c r="A174" s="13">
        <v>43735</v>
      </c>
      <c r="B174" s="3" t="s">
        <v>329</v>
      </c>
      <c r="C174" s="3">
        <v>21.140799999999999</v>
      </c>
      <c r="D174" s="3">
        <v>-157.29011499999999</v>
      </c>
      <c r="E174" s="3" t="s">
        <v>286</v>
      </c>
      <c r="F174" s="14">
        <v>0.37291666666666667</v>
      </c>
      <c r="G174" s="14">
        <v>0.38958333333333334</v>
      </c>
      <c r="H174" s="3">
        <v>6</v>
      </c>
      <c r="I174" s="3">
        <v>13</v>
      </c>
      <c r="J174" s="3" t="s">
        <v>198</v>
      </c>
      <c r="K174" s="3">
        <v>13</v>
      </c>
      <c r="L174" s="3">
        <v>42</v>
      </c>
      <c r="M174" s="3" t="s">
        <v>506</v>
      </c>
      <c r="N174" s="3" t="s">
        <v>507</v>
      </c>
      <c r="O174" s="3">
        <v>19</v>
      </c>
      <c r="AF174" s="3">
        <v>4</v>
      </c>
      <c r="AR174" s="3">
        <v>15</v>
      </c>
      <c r="BN174" s="3"/>
      <c r="BO174" s="3">
        <v>1</v>
      </c>
      <c r="BZ174" s="3"/>
      <c r="CA174" s="3">
        <v>1</v>
      </c>
      <c r="CO174" s="3"/>
      <c r="CP174" s="3"/>
      <c r="CQ174" s="3"/>
      <c r="CR174" s="3">
        <v>49</v>
      </c>
      <c r="DE174" s="3"/>
      <c r="DF174" s="3">
        <v>8</v>
      </c>
      <c r="ED174" s="3"/>
      <c r="EE174" s="3"/>
      <c r="EF174" s="3"/>
      <c r="EG174" s="3"/>
      <c r="EH174" s="3"/>
      <c r="EI174" s="3">
        <v>60</v>
      </c>
      <c r="FA174" s="3">
        <v>6</v>
      </c>
      <c r="FQ174" s="3">
        <v>53</v>
      </c>
      <c r="GE174" s="3">
        <f t="shared" si="0"/>
        <v>9</v>
      </c>
      <c r="GF174" s="3">
        <f t="shared" si="1"/>
        <v>7</v>
      </c>
      <c r="GG174" s="3">
        <f t="shared" si="2"/>
        <v>6</v>
      </c>
      <c r="GH174" s="3">
        <f t="shared" si="3"/>
        <v>0.76805138298974418</v>
      </c>
      <c r="GI174" s="3">
        <f t="shared" si="4"/>
        <v>197</v>
      </c>
      <c r="GJ174" s="3">
        <f t="shared" si="5"/>
        <v>475</v>
      </c>
      <c r="GK174" s="3">
        <f t="shared" si="6"/>
        <v>278</v>
      </c>
    </row>
    <row r="175" spans="1:200" ht="16" x14ac:dyDescent="0.2">
      <c r="A175" s="33">
        <v>43839</v>
      </c>
      <c r="B175" s="4" t="s">
        <v>366</v>
      </c>
      <c r="C175" s="4">
        <v>19.715052</v>
      </c>
      <c r="D175" s="4">
        <v>-156.04913300000001</v>
      </c>
      <c r="E175" s="4" t="s">
        <v>508</v>
      </c>
      <c r="F175" s="34">
        <v>0.45138888888888901</v>
      </c>
      <c r="G175" s="34">
        <v>0.48611111111111099</v>
      </c>
      <c r="H175" s="22">
        <v>5</v>
      </c>
      <c r="I175" s="22">
        <v>20</v>
      </c>
      <c r="J175" s="22" t="s">
        <v>198</v>
      </c>
      <c r="K175" s="22">
        <v>5</v>
      </c>
      <c r="L175" s="22">
        <v>20</v>
      </c>
      <c r="M175" s="22" t="s">
        <v>509</v>
      </c>
      <c r="N175" s="22"/>
      <c r="O175" s="22">
        <v>20</v>
      </c>
      <c r="P175" s="22" t="s">
        <v>510</v>
      </c>
      <c r="Q175" s="22"/>
      <c r="R175" s="22"/>
      <c r="S175" s="22">
        <v>21</v>
      </c>
      <c r="T175" s="22"/>
      <c r="U175" s="22"/>
      <c r="V175" s="22"/>
      <c r="W175" s="22"/>
      <c r="X175" s="22"/>
      <c r="Y175" s="22"/>
      <c r="Z175" s="22"/>
      <c r="AA175" s="22"/>
      <c r="AB175" s="22"/>
      <c r="AC175" s="22">
        <v>2</v>
      </c>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v>70</v>
      </c>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c r="CJ175" s="22"/>
      <c r="CK175" s="22"/>
      <c r="CL175" s="22"/>
      <c r="CM175" s="22"/>
      <c r="CN175" s="22"/>
      <c r="CO175" s="22"/>
      <c r="CP175" s="22"/>
      <c r="CQ175" s="22"/>
      <c r="CR175" s="22"/>
      <c r="CS175" s="22"/>
      <c r="CT175" s="22"/>
      <c r="CU175" s="22"/>
      <c r="CV175" s="22"/>
      <c r="CW175" s="22"/>
      <c r="CX175" s="22"/>
      <c r="CY175" s="22"/>
      <c r="CZ175" s="22">
        <v>1</v>
      </c>
      <c r="DA175" s="22"/>
      <c r="DB175" s="22"/>
      <c r="DC175" s="22"/>
      <c r="DD175" s="22"/>
      <c r="DE175" s="22"/>
      <c r="DF175" s="22"/>
      <c r="DG175" s="22"/>
      <c r="DH175" s="22"/>
      <c r="DI175" s="22"/>
      <c r="DJ175" s="22"/>
      <c r="DK175" s="22"/>
      <c r="DL175" s="22"/>
      <c r="DM175" s="22"/>
      <c r="DN175" s="22"/>
      <c r="DO175" s="22">
        <v>4</v>
      </c>
      <c r="DP175" s="22"/>
      <c r="DQ175" s="22"/>
      <c r="DR175" s="22"/>
      <c r="DS175" s="22"/>
      <c r="DT175" s="22"/>
      <c r="DU175" s="22"/>
      <c r="DV175" s="22"/>
      <c r="DW175" s="22"/>
      <c r="DX175" s="22"/>
      <c r="DY175" s="22"/>
      <c r="DZ175" s="22"/>
      <c r="EA175" s="22"/>
      <c r="EB175" s="22"/>
      <c r="EC175" s="22"/>
      <c r="ED175" s="22"/>
      <c r="EE175" s="22"/>
      <c r="EF175" s="22"/>
      <c r="EG175" s="22"/>
      <c r="EH175" s="22"/>
      <c r="EI175" s="22"/>
      <c r="EJ175" s="22"/>
      <c r="EK175" s="22"/>
      <c r="EL175" s="22"/>
      <c r="EM175" s="22"/>
      <c r="EN175" s="22"/>
      <c r="EO175" s="22"/>
      <c r="EP175" s="22"/>
      <c r="EQ175" s="22"/>
      <c r="ER175" s="22"/>
      <c r="ES175" s="22"/>
      <c r="ET175" s="22"/>
      <c r="EU175" s="22"/>
      <c r="EV175" s="22"/>
      <c r="EW175" s="22"/>
      <c r="EX175" s="22"/>
      <c r="EY175" s="22"/>
      <c r="EZ175" s="22"/>
      <c r="FA175" s="22"/>
      <c r="FB175" s="22"/>
      <c r="FC175" s="22"/>
      <c r="FD175" s="22"/>
      <c r="FE175" s="22"/>
      <c r="FF175" s="22"/>
      <c r="FG175" s="22"/>
      <c r="FH175" s="22"/>
      <c r="FI175" s="22"/>
      <c r="FJ175" s="22"/>
      <c r="FK175" s="22"/>
      <c r="FL175" s="22"/>
      <c r="FM175" s="22"/>
      <c r="FN175" s="22"/>
      <c r="FO175" s="22"/>
      <c r="FP175" s="22"/>
      <c r="FQ175" s="22">
        <v>31</v>
      </c>
      <c r="FR175" s="22"/>
      <c r="FS175" s="22"/>
      <c r="FT175" s="22"/>
      <c r="FU175" s="22">
        <v>60</v>
      </c>
      <c r="FW175" s="22"/>
      <c r="FX175" s="22"/>
      <c r="FY175" s="22"/>
      <c r="FZ175" s="22"/>
      <c r="GA175" s="22"/>
      <c r="GB175" s="22"/>
      <c r="GC175" s="22"/>
      <c r="GD175" s="22"/>
      <c r="GE175" s="3">
        <f t="shared" si="0"/>
        <v>7</v>
      </c>
      <c r="GF175" s="3">
        <f t="shared" si="1"/>
        <v>6</v>
      </c>
      <c r="GG175" s="3">
        <f t="shared" si="2"/>
        <v>4</v>
      </c>
      <c r="GH175" s="3">
        <f t="shared" si="3"/>
        <v>0.72604975796465165</v>
      </c>
      <c r="GI175" s="3">
        <f t="shared" si="4"/>
        <v>189</v>
      </c>
      <c r="GJ175" s="3">
        <f t="shared" si="5"/>
        <v>500</v>
      </c>
      <c r="GK175" s="3">
        <f t="shared" si="6"/>
        <v>311</v>
      </c>
      <c r="GL175" s="22"/>
      <c r="GM175" s="22"/>
      <c r="GN175" s="22"/>
      <c r="GO175" s="22"/>
      <c r="GP175" s="22"/>
      <c r="GQ175" s="22"/>
      <c r="GR175" s="22"/>
    </row>
    <row r="176" spans="1:200" ht="16" x14ac:dyDescent="0.2">
      <c r="A176" s="33">
        <v>43840</v>
      </c>
      <c r="B176" s="4" t="s">
        <v>511</v>
      </c>
      <c r="C176" s="4">
        <v>19.5791</v>
      </c>
      <c r="D176" s="22">
        <v>-155.967804</v>
      </c>
      <c r="E176" s="4" t="s">
        <v>508</v>
      </c>
      <c r="F176" s="34">
        <v>0.42499999999999999</v>
      </c>
      <c r="G176" s="34">
        <v>0.46180555555555602</v>
      </c>
      <c r="H176" s="22">
        <v>5</v>
      </c>
      <c r="I176" s="22">
        <v>20</v>
      </c>
      <c r="J176" s="22" t="s">
        <v>198</v>
      </c>
      <c r="K176" s="22">
        <v>5</v>
      </c>
      <c r="L176" s="3">
        <v>24</v>
      </c>
      <c r="M176" s="3" t="s">
        <v>512</v>
      </c>
      <c r="O176" s="3">
        <v>24</v>
      </c>
      <c r="BE176" s="3"/>
      <c r="BF176" s="3"/>
      <c r="BG176" s="3"/>
      <c r="BH176" s="3"/>
      <c r="BI176" s="3"/>
      <c r="BJ176" s="3"/>
      <c r="BK176" s="3"/>
      <c r="BL176" s="3">
        <v>224</v>
      </c>
      <c r="FQ176" s="3">
        <v>165</v>
      </c>
      <c r="GE176" s="3">
        <f t="shared" si="0"/>
        <v>2</v>
      </c>
      <c r="GF176" s="3">
        <f t="shared" si="1"/>
        <v>2</v>
      </c>
      <c r="GG176" s="3">
        <f t="shared" si="2"/>
        <v>2</v>
      </c>
      <c r="GH176" s="3">
        <f t="shared" si="3"/>
        <v>0.48975697665173723</v>
      </c>
      <c r="GI176" s="3">
        <f t="shared" si="4"/>
        <v>389</v>
      </c>
      <c r="GJ176" s="3">
        <f t="shared" si="5"/>
        <v>600</v>
      </c>
      <c r="GK176" s="3">
        <f t="shared" si="6"/>
        <v>211</v>
      </c>
      <c r="GM176" s="22"/>
      <c r="GN176" s="22"/>
      <c r="GO176" s="22"/>
      <c r="GP176" s="22"/>
      <c r="GQ176" s="22"/>
      <c r="GR176" s="22"/>
    </row>
    <row r="177" spans="1:200" ht="16" x14ac:dyDescent="0.2">
      <c r="A177" s="35">
        <v>43868</v>
      </c>
      <c r="B177" s="4" t="s">
        <v>511</v>
      </c>
      <c r="C177" s="4">
        <v>19.5791</v>
      </c>
      <c r="D177" s="4">
        <v>-155.967804</v>
      </c>
      <c r="E177" s="3" t="s">
        <v>508</v>
      </c>
      <c r="F177" s="34">
        <v>0.420833333333333</v>
      </c>
      <c r="G177" s="34">
        <v>0.45138888888888901</v>
      </c>
      <c r="H177" s="3">
        <v>5</v>
      </c>
      <c r="I177" s="3">
        <v>20</v>
      </c>
      <c r="J177" s="3" t="s">
        <v>198</v>
      </c>
      <c r="K177" s="3">
        <v>5</v>
      </c>
      <c r="L177" s="3">
        <v>25</v>
      </c>
      <c r="O177" s="3">
        <v>25</v>
      </c>
      <c r="BE177" s="3"/>
      <c r="BF177" s="3"/>
      <c r="BG177" s="3"/>
      <c r="BH177" s="3"/>
      <c r="BI177" s="3"/>
      <c r="BJ177" s="3"/>
      <c r="BK177" s="3"/>
      <c r="BL177" s="3">
        <v>188</v>
      </c>
      <c r="CH177" s="3"/>
      <c r="CI177" s="3"/>
      <c r="CJ177" s="3"/>
      <c r="CK177" s="3"/>
      <c r="CL177" s="3"/>
      <c r="CM177" s="3"/>
      <c r="CN177" s="3"/>
      <c r="CO177" s="3"/>
      <c r="CP177" s="3"/>
      <c r="CQ177" s="3"/>
      <c r="CR177" s="3"/>
      <c r="CS177" s="3"/>
      <c r="CT177" s="3">
        <v>1</v>
      </c>
      <c r="FQ177" s="3">
        <v>278</v>
      </c>
      <c r="GE177" s="3">
        <f t="shared" si="0"/>
        <v>3</v>
      </c>
      <c r="GF177" s="3">
        <f t="shared" si="1"/>
        <v>2</v>
      </c>
      <c r="GG177" s="3">
        <f t="shared" si="2"/>
        <v>2</v>
      </c>
      <c r="GH177" s="3">
        <f t="shared" si="3"/>
        <v>0.48460174063284045</v>
      </c>
      <c r="GI177" s="3">
        <f t="shared" si="4"/>
        <v>467</v>
      </c>
      <c r="GJ177" s="3">
        <f t="shared" si="5"/>
        <v>625</v>
      </c>
      <c r="GK177" s="3">
        <f t="shared" si="6"/>
        <v>158</v>
      </c>
      <c r="GL177" s="22"/>
      <c r="GM177" s="22"/>
      <c r="GN177" s="22"/>
      <c r="GO177" s="22"/>
      <c r="GP177" s="22"/>
      <c r="GQ177" s="22"/>
      <c r="GR177" s="22"/>
    </row>
    <row r="178" spans="1:200" ht="16" x14ac:dyDescent="0.2">
      <c r="A178" s="13">
        <v>43882</v>
      </c>
      <c r="B178" s="3" t="s">
        <v>340</v>
      </c>
      <c r="C178" s="4">
        <v>19.643276</v>
      </c>
      <c r="D178" s="3">
        <v>-156.01019299999999</v>
      </c>
      <c r="E178" s="4" t="s">
        <v>508</v>
      </c>
      <c r="F178" s="34">
        <v>0.41875000000000001</v>
      </c>
      <c r="G178" s="34">
        <v>0.44444444444444398</v>
      </c>
      <c r="H178" s="3">
        <v>5</v>
      </c>
      <c r="I178" s="3">
        <v>20</v>
      </c>
      <c r="J178" s="3" t="s">
        <v>198</v>
      </c>
      <c r="K178" s="3">
        <v>5</v>
      </c>
      <c r="L178" s="3">
        <v>25</v>
      </c>
      <c r="O178" s="3">
        <v>25</v>
      </c>
      <c r="BE178" s="3"/>
      <c r="BF178" s="3"/>
      <c r="BG178" s="3"/>
      <c r="BH178" s="3"/>
      <c r="BI178" s="3"/>
      <c r="BJ178" s="3"/>
      <c r="BK178" s="3"/>
      <c r="BL178" s="3">
        <v>13</v>
      </c>
      <c r="BW178" s="3"/>
      <c r="BZ178" s="3"/>
      <c r="CA178" s="3"/>
      <c r="CB178" s="3">
        <v>3</v>
      </c>
      <c r="DM178" s="3"/>
      <c r="DN178" s="3"/>
      <c r="DO178" s="3"/>
      <c r="DP178" s="3"/>
      <c r="DQ178" s="3"/>
      <c r="DR178" s="3"/>
      <c r="DS178" s="3"/>
      <c r="DT178" s="3"/>
      <c r="DU178" s="3"/>
      <c r="DV178" s="3"/>
      <c r="DW178" s="3"/>
      <c r="DX178" s="3"/>
      <c r="DY178" s="3"/>
      <c r="DZ178" s="3"/>
      <c r="EA178" s="3"/>
      <c r="EB178" s="3"/>
      <c r="EC178" s="3"/>
      <c r="ED178" s="3"/>
      <c r="EE178" s="3"/>
      <c r="EF178" s="3"/>
      <c r="EG178" s="3"/>
      <c r="EH178" s="3"/>
      <c r="EI178" s="3">
        <v>27</v>
      </c>
      <c r="FF178" s="3"/>
      <c r="FG178" s="3"/>
      <c r="FH178" s="3"/>
      <c r="FI178" s="3"/>
      <c r="FJ178" s="3"/>
      <c r="FK178" s="3"/>
      <c r="FL178" s="3">
        <v>9</v>
      </c>
      <c r="FM178" s="3"/>
      <c r="FN178" s="3"/>
      <c r="FO178" s="3"/>
      <c r="FP178" s="3">
        <v>141</v>
      </c>
      <c r="FQ178" s="3">
        <v>390</v>
      </c>
      <c r="FR178" s="3"/>
      <c r="FS178" s="3"/>
      <c r="FT178" s="3"/>
      <c r="FU178" s="3">
        <v>2</v>
      </c>
      <c r="GE178" s="3">
        <f t="shared" si="0"/>
        <v>7</v>
      </c>
      <c r="GF178" s="3">
        <f t="shared" si="1"/>
        <v>7</v>
      </c>
      <c r="GG178" s="3">
        <f t="shared" si="2"/>
        <v>5</v>
      </c>
      <c r="GH178" s="3">
        <f t="shared" si="3"/>
        <v>0.49541037349256523</v>
      </c>
      <c r="GI178" s="3">
        <f t="shared" si="4"/>
        <v>585</v>
      </c>
      <c r="GJ178" s="3">
        <f t="shared" si="5"/>
        <v>625</v>
      </c>
      <c r="GK178" s="3">
        <f t="shared" si="6"/>
        <v>40</v>
      </c>
      <c r="GL178" s="4"/>
      <c r="GM178" s="4"/>
      <c r="GN178" s="4"/>
      <c r="GO178" s="4"/>
      <c r="GP178" s="4"/>
      <c r="GQ178" s="4"/>
      <c r="GR178" s="4"/>
    </row>
    <row r="179" spans="1:200" ht="16" x14ac:dyDescent="0.2">
      <c r="A179" s="35">
        <v>43885</v>
      </c>
      <c r="B179" s="3" t="s">
        <v>233</v>
      </c>
      <c r="C179" s="4">
        <v>21.066799</v>
      </c>
      <c r="D179" s="3">
        <v>-156.804993</v>
      </c>
      <c r="E179" s="3" t="s">
        <v>286</v>
      </c>
      <c r="F179" s="34">
        <v>0.47569444444444398</v>
      </c>
      <c r="G179" s="34">
        <v>0.51041666666666663</v>
      </c>
      <c r="H179" s="3">
        <v>5</v>
      </c>
      <c r="I179" s="3">
        <v>25</v>
      </c>
      <c r="J179" s="3" t="s">
        <v>198</v>
      </c>
      <c r="K179" s="3">
        <v>7</v>
      </c>
      <c r="L179" s="3">
        <v>28</v>
      </c>
      <c r="M179" s="3" t="s">
        <v>516</v>
      </c>
      <c r="N179" s="3"/>
      <c r="O179" s="3">
        <v>28</v>
      </c>
      <c r="P179" s="3" t="s">
        <v>517</v>
      </c>
      <c r="Q179" s="3">
        <v>10</v>
      </c>
      <c r="AE179" s="3"/>
      <c r="AF179" s="3"/>
      <c r="AG179" s="3"/>
      <c r="AH179" s="3"/>
      <c r="AI179" s="3"/>
      <c r="AJ179" s="3"/>
      <c r="AK179" s="3"/>
      <c r="AL179" s="3"/>
      <c r="AM179" s="3">
        <v>2</v>
      </c>
      <c r="BE179" s="3"/>
      <c r="BF179" s="3"/>
      <c r="BG179" s="3"/>
      <c r="BH179" s="3"/>
      <c r="BI179" s="3"/>
      <c r="BJ179" s="3"/>
      <c r="BK179" s="3"/>
      <c r="BL179" s="3">
        <v>63</v>
      </c>
      <c r="BM179" s="3"/>
      <c r="BN179" s="3"/>
      <c r="BO179" s="3"/>
      <c r="BP179" s="3"/>
      <c r="BQ179" s="3"/>
      <c r="BR179" s="3"/>
      <c r="BS179" s="3"/>
      <c r="BT179" s="3"/>
      <c r="BU179" s="3">
        <v>1</v>
      </c>
      <c r="BV179" s="3"/>
      <c r="BX179" s="3"/>
      <c r="BY179" s="3">
        <v>6</v>
      </c>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v>1</v>
      </c>
      <c r="DG179" s="3"/>
      <c r="DH179" s="3"/>
      <c r="DI179" s="3"/>
      <c r="DJ179" s="3"/>
      <c r="DK179" s="3"/>
      <c r="DL179" s="3">
        <v>15</v>
      </c>
      <c r="DM179" s="3"/>
      <c r="DN179" s="3"/>
      <c r="DO179" s="3"/>
      <c r="DP179" s="3"/>
      <c r="DQ179" s="3"/>
      <c r="DR179" s="3"/>
      <c r="DS179" s="3"/>
      <c r="DT179" s="3"/>
      <c r="DU179" s="3"/>
      <c r="DV179" s="3"/>
      <c r="DW179" s="3"/>
      <c r="DX179" s="3"/>
      <c r="DY179" s="3"/>
      <c r="DZ179" s="3"/>
      <c r="EA179" s="3"/>
      <c r="EB179" s="3"/>
      <c r="EC179" s="3"/>
      <c r="ED179" s="3"/>
      <c r="EE179" s="3"/>
      <c r="EF179" s="3"/>
      <c r="EG179" s="3"/>
      <c r="EH179" s="3"/>
      <c r="EI179" s="3">
        <v>18</v>
      </c>
      <c r="EJ179" s="3"/>
      <c r="EK179" s="3"/>
      <c r="EL179" s="3"/>
      <c r="EM179" s="3"/>
      <c r="EN179" s="3"/>
      <c r="EO179" s="3"/>
      <c r="EP179" s="3"/>
      <c r="EQ179" s="3"/>
      <c r="ER179" s="3"/>
      <c r="ES179" s="3"/>
      <c r="ET179" s="3"/>
      <c r="EU179" s="3"/>
      <c r="EV179" s="3"/>
      <c r="EW179" s="3"/>
      <c r="EX179" s="3"/>
      <c r="EY179" s="3"/>
      <c r="EZ179" s="3"/>
      <c r="FA179" s="3"/>
      <c r="FB179" s="3"/>
      <c r="FC179" s="3"/>
      <c r="FD179" s="3"/>
      <c r="FE179" s="3">
        <v>4</v>
      </c>
      <c r="FF179" s="3"/>
      <c r="FG179" s="3"/>
      <c r="FH179" s="3"/>
      <c r="FI179" s="3"/>
      <c r="FJ179" s="3"/>
      <c r="FK179" s="3"/>
      <c r="FL179" s="3"/>
      <c r="FM179" s="3"/>
      <c r="FN179" s="3"/>
      <c r="FO179" s="3"/>
      <c r="FP179" s="3"/>
      <c r="FQ179" s="3">
        <v>178</v>
      </c>
      <c r="FR179" s="3"/>
      <c r="FS179" s="3"/>
      <c r="FT179" s="3"/>
      <c r="FU179" s="3"/>
      <c r="FW179" s="3"/>
      <c r="FX179" s="3"/>
      <c r="FY179" s="3"/>
      <c r="FZ179" s="3"/>
      <c r="GA179" s="3"/>
      <c r="GB179" s="3"/>
      <c r="GC179" s="3"/>
      <c r="GD179" s="3">
        <v>2</v>
      </c>
      <c r="GE179" s="3">
        <f t="shared" si="0"/>
        <v>11</v>
      </c>
      <c r="GF179" s="3">
        <f t="shared" si="1"/>
        <v>9</v>
      </c>
      <c r="GG179" s="3">
        <f t="shared" si="2"/>
        <v>6</v>
      </c>
      <c r="GH179" s="3">
        <f t="shared" si="3"/>
        <v>0.59794871794871796</v>
      </c>
      <c r="GI179" s="3">
        <f t="shared" si="4"/>
        <v>300</v>
      </c>
      <c r="GJ179" s="3">
        <f t="shared" si="5"/>
        <v>700</v>
      </c>
      <c r="GK179" s="3">
        <f t="shared" si="6"/>
        <v>400</v>
      </c>
      <c r="GN179" s="22"/>
      <c r="GO179" s="30"/>
      <c r="GP179" s="30"/>
      <c r="GQ179" s="30"/>
      <c r="GR179" s="30"/>
    </row>
    <row r="180" spans="1:200" ht="16" x14ac:dyDescent="0.2">
      <c r="A180" s="37">
        <v>43893</v>
      </c>
      <c r="B180" s="4" t="s">
        <v>244</v>
      </c>
      <c r="C180" s="30">
        <v>21.310611999999999</v>
      </c>
      <c r="D180" s="30">
        <v>-158.00441000000001</v>
      </c>
      <c r="E180" s="4" t="s">
        <v>326</v>
      </c>
      <c r="F180" s="38">
        <v>0.39583333333333298</v>
      </c>
      <c r="G180" s="38">
        <v>0.45833333333333298</v>
      </c>
      <c r="H180" s="30">
        <v>5</v>
      </c>
      <c r="I180" s="30">
        <v>8</v>
      </c>
      <c r="J180" s="4" t="s">
        <v>318</v>
      </c>
      <c r="K180" s="30">
        <v>4</v>
      </c>
      <c r="L180" s="3">
        <v>9</v>
      </c>
      <c r="M180" s="3" t="s">
        <v>518</v>
      </c>
      <c r="N180" s="3"/>
      <c r="O180" s="3">
        <v>9</v>
      </c>
      <c r="P180" s="3" t="s">
        <v>519</v>
      </c>
      <c r="Q180" s="3">
        <v>23</v>
      </c>
      <c r="R180" s="3"/>
      <c r="S180" s="3"/>
      <c r="T180" s="3"/>
      <c r="U180" s="3"/>
      <c r="V180" s="3"/>
      <c r="W180" s="3"/>
      <c r="X180" s="3"/>
      <c r="Y180" s="3"/>
      <c r="Z180" s="3"/>
      <c r="AA180" s="3"/>
      <c r="AB180" s="3"/>
      <c r="AC180" s="3"/>
      <c r="AD180" s="3">
        <v>23</v>
      </c>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v>1</v>
      </c>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v>34</v>
      </c>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v>1</v>
      </c>
      <c r="GE180" s="3">
        <f t="shared" si="0"/>
        <v>5</v>
      </c>
      <c r="GF180" s="3">
        <f t="shared" si="1"/>
        <v>3</v>
      </c>
      <c r="GG180" s="3">
        <f t="shared" si="2"/>
        <v>3</v>
      </c>
      <c r="GH180" s="3">
        <f t="shared" si="3"/>
        <v>0.67871123155676005</v>
      </c>
      <c r="GI180" s="3">
        <f t="shared" si="4"/>
        <v>82</v>
      </c>
      <c r="GJ180" s="3">
        <f t="shared" si="5"/>
        <v>225</v>
      </c>
      <c r="GK180" s="3">
        <f t="shared" si="6"/>
        <v>143</v>
      </c>
      <c r="GL180" s="22"/>
      <c r="GM180" s="22"/>
      <c r="GN180" s="22"/>
      <c r="GO180" s="22"/>
      <c r="GP180" s="22"/>
      <c r="GQ180" s="22"/>
      <c r="GR180" s="30"/>
    </row>
    <row r="181" spans="1:200" ht="16" x14ac:dyDescent="0.2">
      <c r="A181" s="37">
        <v>43901</v>
      </c>
      <c r="B181" s="4" t="s">
        <v>456</v>
      </c>
      <c r="C181" s="30">
        <v>21.316488</v>
      </c>
      <c r="D181" s="30">
        <v>-157.66426100000001</v>
      </c>
      <c r="E181" s="4" t="s">
        <v>469</v>
      </c>
      <c r="F181" s="38">
        <v>0.375694444444444</v>
      </c>
      <c r="G181" s="38">
        <v>0.41666666666666702</v>
      </c>
      <c r="H181" s="30">
        <v>5</v>
      </c>
      <c r="I181" s="30">
        <v>40</v>
      </c>
      <c r="J181" s="4" t="s">
        <v>470</v>
      </c>
      <c r="K181" s="30">
        <v>5</v>
      </c>
      <c r="L181" s="3">
        <v>25</v>
      </c>
      <c r="M181" s="3"/>
      <c r="N181" s="3"/>
      <c r="O181" s="3">
        <v>25</v>
      </c>
      <c r="P181" s="3" t="s">
        <v>521</v>
      </c>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v>25</v>
      </c>
      <c r="BM181" s="3"/>
      <c r="BN181" s="3"/>
      <c r="BO181" s="3"/>
      <c r="BP181" s="3"/>
      <c r="BQ181" s="3"/>
      <c r="BR181" s="3"/>
      <c r="BS181" s="3"/>
      <c r="BT181" s="3"/>
      <c r="BU181" s="3"/>
      <c r="BV181" s="3"/>
      <c r="BW181" s="3"/>
      <c r="BX181" s="3"/>
      <c r="BY181" s="3"/>
      <c r="BZ181" s="3"/>
      <c r="CA181" s="3"/>
      <c r="CB181" s="3">
        <v>7</v>
      </c>
      <c r="CC181" s="3"/>
      <c r="CD181" s="3"/>
      <c r="CE181" s="3"/>
      <c r="CF181" s="3"/>
      <c r="CG181" s="3">
        <v>1</v>
      </c>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v>6</v>
      </c>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v>252</v>
      </c>
      <c r="FR181" s="3"/>
      <c r="FS181" s="3"/>
      <c r="FT181" s="3"/>
      <c r="FU181" s="3"/>
      <c r="FW181" s="3"/>
      <c r="FX181" s="3"/>
      <c r="FY181" s="3"/>
      <c r="FZ181" s="3"/>
      <c r="GA181" s="3"/>
      <c r="GB181" s="3"/>
      <c r="GC181" s="3"/>
      <c r="GD181" s="3"/>
      <c r="GE181" s="3">
        <f t="shared" si="0"/>
        <v>5</v>
      </c>
      <c r="GF181" s="3">
        <f t="shared" si="1"/>
        <v>4</v>
      </c>
      <c r="GG181" s="3">
        <f t="shared" si="2"/>
        <v>4</v>
      </c>
      <c r="GH181" s="3">
        <f t="shared" si="3"/>
        <v>0.24251688588695341</v>
      </c>
      <c r="GI181" s="3">
        <f t="shared" si="4"/>
        <v>291</v>
      </c>
      <c r="GJ181" s="3">
        <f t="shared" si="5"/>
        <v>625</v>
      </c>
      <c r="GK181" s="3">
        <f t="shared" si="6"/>
        <v>334</v>
      </c>
      <c r="GL181" s="22"/>
      <c r="GM181" s="22"/>
      <c r="GN181" s="30"/>
      <c r="GO181" s="22"/>
      <c r="GP181" s="30"/>
      <c r="GQ181" s="22"/>
      <c r="GR181" s="22"/>
    </row>
    <row r="182" spans="1:200" ht="13" x14ac:dyDescent="0.15">
      <c r="E182" s="3" t="s">
        <v>197</v>
      </c>
      <c r="F182" s="14">
        <v>0</v>
      </c>
      <c r="G182" s="14">
        <v>4.1666666666666664E-2</v>
      </c>
    </row>
    <row r="183" spans="1:200" ht="13" x14ac:dyDescent="0.15">
      <c r="P183" s="3" t="s">
        <v>1012</v>
      </c>
      <c r="Q183" s="3">
        <f t="shared" ref="Q183:GD183" si="7">COUNT(Q3:Q181)</f>
        <v>98</v>
      </c>
      <c r="R183" s="3">
        <f t="shared" si="7"/>
        <v>13</v>
      </c>
      <c r="S183" s="3">
        <f t="shared" si="7"/>
        <v>17</v>
      </c>
      <c r="T183" s="3">
        <f t="shared" si="7"/>
        <v>2</v>
      </c>
      <c r="U183" s="3">
        <f t="shared" si="7"/>
        <v>1</v>
      </c>
      <c r="V183" s="3">
        <f t="shared" si="7"/>
        <v>4</v>
      </c>
      <c r="W183" s="3">
        <f t="shared" si="7"/>
        <v>14</v>
      </c>
      <c r="X183" s="3">
        <f t="shared" si="7"/>
        <v>1</v>
      </c>
      <c r="Y183" s="3">
        <f t="shared" si="7"/>
        <v>6</v>
      </c>
      <c r="Z183" s="3">
        <f t="shared" si="7"/>
        <v>1</v>
      </c>
      <c r="AA183" s="3">
        <f t="shared" si="7"/>
        <v>49</v>
      </c>
      <c r="AB183" s="3">
        <f t="shared" si="7"/>
        <v>28</v>
      </c>
      <c r="AC183" s="3">
        <f t="shared" si="7"/>
        <v>28</v>
      </c>
      <c r="AD183" s="3">
        <f t="shared" si="7"/>
        <v>27</v>
      </c>
      <c r="AE183" s="3">
        <f t="shared" si="7"/>
        <v>20</v>
      </c>
      <c r="AF183" s="3">
        <f t="shared" si="7"/>
        <v>11</v>
      </c>
      <c r="AG183" s="3">
        <f t="shared" si="7"/>
        <v>8</v>
      </c>
      <c r="AH183" s="3">
        <f t="shared" si="7"/>
        <v>43</v>
      </c>
      <c r="AI183" s="3">
        <f t="shared" si="7"/>
        <v>1</v>
      </c>
      <c r="AJ183" s="3">
        <f t="shared" si="7"/>
        <v>8</v>
      </c>
      <c r="AK183" s="3">
        <f t="shared" si="7"/>
        <v>6</v>
      </c>
      <c r="AL183" s="3">
        <f t="shared" si="7"/>
        <v>60</v>
      </c>
      <c r="AM183" s="3">
        <f t="shared" si="7"/>
        <v>18</v>
      </c>
      <c r="AN183" s="3">
        <f t="shared" si="7"/>
        <v>1</v>
      </c>
      <c r="AO183" s="3">
        <f t="shared" si="7"/>
        <v>6</v>
      </c>
      <c r="AP183" s="3">
        <f t="shared" si="7"/>
        <v>2</v>
      </c>
      <c r="AQ183" s="3">
        <f t="shared" si="7"/>
        <v>4</v>
      </c>
      <c r="AR183" s="3">
        <f t="shared" si="7"/>
        <v>4</v>
      </c>
      <c r="AS183" s="3">
        <f t="shared" si="7"/>
        <v>5</v>
      </c>
      <c r="AT183" s="3">
        <f t="shared" si="7"/>
        <v>5</v>
      </c>
      <c r="AU183" s="3">
        <f t="shared" si="7"/>
        <v>5</v>
      </c>
      <c r="AV183" s="3">
        <f t="shared" si="7"/>
        <v>4</v>
      </c>
      <c r="AW183" s="3">
        <f t="shared" si="7"/>
        <v>11</v>
      </c>
      <c r="AX183" s="3">
        <f t="shared" si="7"/>
        <v>2</v>
      </c>
      <c r="AY183" s="3">
        <f t="shared" si="7"/>
        <v>13</v>
      </c>
      <c r="AZ183" s="3">
        <f t="shared" si="7"/>
        <v>1</v>
      </c>
      <c r="BA183" s="3">
        <f t="shared" si="7"/>
        <v>61</v>
      </c>
      <c r="BB183" s="3">
        <f t="shared" si="7"/>
        <v>13</v>
      </c>
      <c r="BC183" s="3">
        <f t="shared" si="7"/>
        <v>12</v>
      </c>
      <c r="BD183" s="3">
        <f t="shared" si="7"/>
        <v>37</v>
      </c>
      <c r="BE183" s="3">
        <f t="shared" si="7"/>
        <v>8</v>
      </c>
      <c r="BF183" s="3">
        <f t="shared" si="7"/>
        <v>7</v>
      </c>
      <c r="BG183" s="3">
        <f t="shared" si="7"/>
        <v>26</v>
      </c>
      <c r="BH183" s="3">
        <f t="shared" si="7"/>
        <v>2</v>
      </c>
      <c r="BI183" s="3">
        <f t="shared" si="7"/>
        <v>3</v>
      </c>
      <c r="BJ183" s="3">
        <f t="shared" si="7"/>
        <v>42</v>
      </c>
      <c r="BK183" s="3">
        <f t="shared" si="7"/>
        <v>11</v>
      </c>
      <c r="BL183" s="3">
        <f t="shared" si="7"/>
        <v>135</v>
      </c>
      <c r="BM183" s="3">
        <f t="shared" si="7"/>
        <v>38</v>
      </c>
      <c r="BN183" s="3">
        <f t="shared" si="7"/>
        <v>1</v>
      </c>
      <c r="BO183" s="3">
        <f t="shared" si="7"/>
        <v>5</v>
      </c>
      <c r="BP183" s="3">
        <f t="shared" si="7"/>
        <v>47</v>
      </c>
      <c r="BQ183" s="3">
        <f t="shared" si="7"/>
        <v>4</v>
      </c>
      <c r="BR183" s="3">
        <f t="shared" si="7"/>
        <v>3</v>
      </c>
      <c r="BS183" s="3">
        <f t="shared" si="7"/>
        <v>5</v>
      </c>
      <c r="BT183" s="3">
        <f t="shared" si="7"/>
        <v>12</v>
      </c>
      <c r="BU183" s="3">
        <f t="shared" si="7"/>
        <v>65</v>
      </c>
      <c r="BV183" s="3">
        <f t="shared" si="7"/>
        <v>39</v>
      </c>
      <c r="BW183" s="3">
        <f t="shared" si="7"/>
        <v>17</v>
      </c>
      <c r="BX183" s="3">
        <f t="shared" si="7"/>
        <v>21</v>
      </c>
      <c r="BY183" s="3">
        <f t="shared" si="7"/>
        <v>80</v>
      </c>
      <c r="BZ183" s="3">
        <f t="shared" si="7"/>
        <v>1</v>
      </c>
      <c r="CA183" s="3">
        <f t="shared" si="7"/>
        <v>13</v>
      </c>
      <c r="CB183" s="3">
        <f t="shared" si="7"/>
        <v>54</v>
      </c>
      <c r="CC183" s="3">
        <f t="shared" si="7"/>
        <v>29</v>
      </c>
      <c r="CD183" s="3">
        <f t="shared" si="7"/>
        <v>8</v>
      </c>
      <c r="CE183" s="3">
        <f t="shared" si="7"/>
        <v>7</v>
      </c>
      <c r="CF183" s="3">
        <f t="shared" si="7"/>
        <v>1</v>
      </c>
      <c r="CG183" s="3">
        <f t="shared" si="7"/>
        <v>17</v>
      </c>
      <c r="CH183" s="3">
        <f t="shared" si="7"/>
        <v>2</v>
      </c>
      <c r="CI183" s="3">
        <f t="shared" si="7"/>
        <v>9</v>
      </c>
      <c r="CJ183" s="3">
        <f t="shared" si="7"/>
        <v>17</v>
      </c>
      <c r="CK183" s="3">
        <f t="shared" si="7"/>
        <v>3</v>
      </c>
      <c r="CL183" s="3">
        <f t="shared" si="7"/>
        <v>1</v>
      </c>
      <c r="CM183" s="3">
        <f t="shared" si="7"/>
        <v>6</v>
      </c>
      <c r="CN183" s="3">
        <f t="shared" si="7"/>
        <v>36</v>
      </c>
      <c r="CO183" s="3">
        <f t="shared" si="7"/>
        <v>1</v>
      </c>
      <c r="CP183" s="3">
        <f t="shared" si="7"/>
        <v>4</v>
      </c>
      <c r="CQ183" s="3">
        <f t="shared" si="7"/>
        <v>4</v>
      </c>
      <c r="CR183" s="3">
        <f t="shared" si="7"/>
        <v>42</v>
      </c>
      <c r="CS183" s="3">
        <f t="shared" si="7"/>
        <v>1</v>
      </c>
      <c r="CT183" s="3">
        <f t="shared" si="7"/>
        <v>8</v>
      </c>
      <c r="CU183" s="3">
        <f t="shared" si="7"/>
        <v>16</v>
      </c>
      <c r="CV183" s="3">
        <f t="shared" si="7"/>
        <v>5</v>
      </c>
      <c r="CW183" s="3">
        <f t="shared" si="7"/>
        <v>1</v>
      </c>
      <c r="CX183" s="3">
        <f t="shared" si="7"/>
        <v>1</v>
      </c>
      <c r="CY183" s="3">
        <f t="shared" si="7"/>
        <v>2</v>
      </c>
      <c r="CZ183" s="3">
        <f t="shared" si="7"/>
        <v>5</v>
      </c>
      <c r="DA183" s="3">
        <f t="shared" si="7"/>
        <v>1</v>
      </c>
      <c r="DB183" s="3">
        <f t="shared" si="7"/>
        <v>8</v>
      </c>
      <c r="DC183" s="3">
        <f t="shared" si="7"/>
        <v>12</v>
      </c>
      <c r="DD183" s="3">
        <f t="shared" si="7"/>
        <v>8</v>
      </c>
      <c r="DE183" s="3">
        <f t="shared" si="7"/>
        <v>9</v>
      </c>
      <c r="DF183" s="3">
        <f t="shared" si="7"/>
        <v>55</v>
      </c>
      <c r="DG183" s="3">
        <f t="shared" si="7"/>
        <v>21</v>
      </c>
      <c r="DH183" s="3">
        <f t="shared" si="7"/>
        <v>5</v>
      </c>
      <c r="DI183" s="3">
        <f t="shared" si="7"/>
        <v>12</v>
      </c>
      <c r="DJ183" s="3">
        <f t="shared" si="7"/>
        <v>2</v>
      </c>
      <c r="DK183" s="3">
        <f t="shared" si="7"/>
        <v>20</v>
      </c>
      <c r="DL183" s="3">
        <f t="shared" si="7"/>
        <v>101</v>
      </c>
      <c r="DM183" s="3">
        <f t="shared" si="7"/>
        <v>10</v>
      </c>
      <c r="DN183" s="3">
        <f t="shared" si="7"/>
        <v>34</v>
      </c>
      <c r="DO183" s="3">
        <f t="shared" si="7"/>
        <v>22</v>
      </c>
      <c r="DP183" s="3">
        <f t="shared" si="7"/>
        <v>11</v>
      </c>
      <c r="DQ183" s="3">
        <f t="shared" si="7"/>
        <v>1</v>
      </c>
      <c r="DR183" s="3">
        <f t="shared" si="7"/>
        <v>62</v>
      </c>
      <c r="DS183" s="3">
        <f t="shared" si="7"/>
        <v>2</v>
      </c>
      <c r="DT183" s="3">
        <f t="shared" si="7"/>
        <v>1</v>
      </c>
      <c r="DU183" s="3">
        <f t="shared" si="7"/>
        <v>54</v>
      </c>
      <c r="DV183" s="3">
        <f t="shared" si="7"/>
        <v>6</v>
      </c>
      <c r="DW183" s="3">
        <f t="shared" si="7"/>
        <v>4</v>
      </c>
      <c r="DX183" s="3">
        <f t="shared" si="7"/>
        <v>1</v>
      </c>
      <c r="DY183" s="3">
        <f t="shared" si="7"/>
        <v>20</v>
      </c>
      <c r="DZ183" s="3">
        <f t="shared" si="7"/>
        <v>4</v>
      </c>
      <c r="EA183" s="3">
        <f t="shared" si="7"/>
        <v>6</v>
      </c>
      <c r="EB183" s="3">
        <f t="shared" si="7"/>
        <v>37</v>
      </c>
      <c r="EC183" s="3">
        <f t="shared" si="7"/>
        <v>31</v>
      </c>
      <c r="ED183" s="3">
        <f t="shared" si="7"/>
        <v>1</v>
      </c>
      <c r="EE183" s="3">
        <f t="shared" si="7"/>
        <v>6</v>
      </c>
      <c r="EF183" s="3">
        <f t="shared" si="7"/>
        <v>2</v>
      </c>
      <c r="EG183" s="3">
        <f t="shared" si="7"/>
        <v>1</v>
      </c>
      <c r="EH183" s="3">
        <f t="shared" si="7"/>
        <v>4</v>
      </c>
      <c r="EI183" s="3">
        <f t="shared" si="7"/>
        <v>148</v>
      </c>
      <c r="EJ183" s="3">
        <f t="shared" si="7"/>
        <v>17</v>
      </c>
      <c r="EK183" s="3">
        <f t="shared" si="7"/>
        <v>2</v>
      </c>
      <c r="EL183" s="3">
        <f t="shared" si="7"/>
        <v>1</v>
      </c>
      <c r="EM183" s="3">
        <f t="shared" si="7"/>
        <v>6</v>
      </c>
      <c r="EN183" s="3">
        <f t="shared" si="7"/>
        <v>5</v>
      </c>
      <c r="EO183" s="3">
        <f t="shared" si="7"/>
        <v>7</v>
      </c>
      <c r="EP183" s="3">
        <f t="shared" si="7"/>
        <v>2</v>
      </c>
      <c r="EQ183" s="3">
        <f t="shared" si="7"/>
        <v>5</v>
      </c>
      <c r="ER183" s="3">
        <f t="shared" si="7"/>
        <v>1</v>
      </c>
      <c r="ES183" s="3">
        <f t="shared" si="7"/>
        <v>1</v>
      </c>
      <c r="ET183" s="3">
        <f t="shared" si="7"/>
        <v>1</v>
      </c>
      <c r="EU183" s="3">
        <f t="shared" si="7"/>
        <v>13</v>
      </c>
      <c r="EV183" s="3">
        <f t="shared" si="7"/>
        <v>11</v>
      </c>
      <c r="EW183" s="3">
        <f t="shared" si="7"/>
        <v>17</v>
      </c>
      <c r="EX183" s="3">
        <f t="shared" si="7"/>
        <v>2</v>
      </c>
      <c r="EY183" s="3">
        <f t="shared" si="7"/>
        <v>15</v>
      </c>
      <c r="EZ183" s="3">
        <f t="shared" si="7"/>
        <v>9</v>
      </c>
      <c r="FA183" s="3">
        <f t="shared" si="7"/>
        <v>100</v>
      </c>
      <c r="FB183" s="3">
        <f t="shared" si="7"/>
        <v>33</v>
      </c>
      <c r="FC183" s="3">
        <f t="shared" si="7"/>
        <v>1</v>
      </c>
      <c r="FD183" s="3">
        <f t="shared" si="7"/>
        <v>14</v>
      </c>
      <c r="FE183" s="3">
        <f t="shared" si="7"/>
        <v>35</v>
      </c>
      <c r="FF183" s="3">
        <f t="shared" si="7"/>
        <v>2</v>
      </c>
      <c r="FG183" s="3">
        <f t="shared" si="7"/>
        <v>11</v>
      </c>
      <c r="FH183" s="3">
        <f t="shared" si="7"/>
        <v>29</v>
      </c>
      <c r="FI183" s="3">
        <f t="shared" si="7"/>
        <v>2</v>
      </c>
      <c r="FJ183" s="3">
        <f t="shared" si="7"/>
        <v>1</v>
      </c>
      <c r="FK183" s="3">
        <f t="shared" si="7"/>
        <v>6</v>
      </c>
      <c r="FL183" s="3">
        <f t="shared" si="7"/>
        <v>33</v>
      </c>
      <c r="FM183" s="3">
        <f t="shared" si="7"/>
        <v>3</v>
      </c>
      <c r="FN183" s="3">
        <f t="shared" si="7"/>
        <v>11</v>
      </c>
      <c r="FO183" s="3">
        <f t="shared" si="7"/>
        <v>17</v>
      </c>
      <c r="FP183" s="3">
        <f t="shared" si="7"/>
        <v>69</v>
      </c>
      <c r="FQ183" s="3">
        <f t="shared" si="7"/>
        <v>173</v>
      </c>
      <c r="FR183" s="3">
        <f t="shared" si="7"/>
        <v>21</v>
      </c>
      <c r="FS183" s="3">
        <f t="shared" si="7"/>
        <v>13</v>
      </c>
      <c r="FT183" s="3">
        <f t="shared" si="7"/>
        <v>4</v>
      </c>
      <c r="FU183" s="3">
        <f t="shared" si="7"/>
        <v>25</v>
      </c>
      <c r="FV183" s="3">
        <f t="shared" si="7"/>
        <v>8</v>
      </c>
      <c r="FW183" s="3">
        <f t="shared" si="7"/>
        <v>6</v>
      </c>
      <c r="FX183" s="3">
        <f t="shared" si="7"/>
        <v>7</v>
      </c>
      <c r="FY183" s="3">
        <f t="shared" si="7"/>
        <v>4</v>
      </c>
      <c r="FZ183" s="3">
        <f t="shared" si="7"/>
        <v>7</v>
      </c>
      <c r="GA183" s="3">
        <f t="shared" si="7"/>
        <v>4</v>
      </c>
      <c r="GB183" s="3">
        <f t="shared" si="7"/>
        <v>12</v>
      </c>
      <c r="GC183" s="3">
        <f t="shared" si="7"/>
        <v>42</v>
      </c>
      <c r="GD183" s="3">
        <f t="shared" si="7"/>
        <v>12</v>
      </c>
    </row>
    <row r="184" spans="1:200" ht="13" x14ac:dyDescent="0.15">
      <c r="L184" s="3">
        <f>SUM(L3:L181)</f>
        <v>5522</v>
      </c>
      <c r="P184" s="3" t="s">
        <v>1013</v>
      </c>
      <c r="Q184" s="3">
        <f t="shared" ref="Q184:GD184" si="8">SUM(Q3:Q181)</f>
        <v>3206</v>
      </c>
      <c r="R184" s="3">
        <f t="shared" si="8"/>
        <v>40</v>
      </c>
      <c r="S184" s="3">
        <f t="shared" si="8"/>
        <v>162</v>
      </c>
      <c r="T184" s="3">
        <f t="shared" si="8"/>
        <v>40</v>
      </c>
      <c r="U184" s="3">
        <f t="shared" si="8"/>
        <v>1</v>
      </c>
      <c r="V184" s="3">
        <f t="shared" si="8"/>
        <v>18</v>
      </c>
      <c r="W184" s="3">
        <f t="shared" si="8"/>
        <v>56</v>
      </c>
      <c r="X184" s="3">
        <f t="shared" si="8"/>
        <v>1</v>
      </c>
      <c r="Y184" s="3">
        <f t="shared" si="8"/>
        <v>84</v>
      </c>
      <c r="Z184" s="3">
        <f t="shared" si="8"/>
        <v>3</v>
      </c>
      <c r="AA184" s="3">
        <f t="shared" si="8"/>
        <v>1173</v>
      </c>
      <c r="AB184" s="3">
        <f t="shared" si="8"/>
        <v>177</v>
      </c>
      <c r="AC184" s="3">
        <f t="shared" si="8"/>
        <v>211</v>
      </c>
      <c r="AD184" s="3">
        <f t="shared" si="8"/>
        <v>196</v>
      </c>
      <c r="AE184" s="3">
        <f t="shared" si="8"/>
        <v>151</v>
      </c>
      <c r="AF184" s="3">
        <f t="shared" si="8"/>
        <v>116</v>
      </c>
      <c r="AG184" s="3">
        <f t="shared" si="8"/>
        <v>36</v>
      </c>
      <c r="AH184" s="3">
        <f t="shared" si="8"/>
        <v>221</v>
      </c>
      <c r="AI184" s="3">
        <f t="shared" si="8"/>
        <v>1</v>
      </c>
      <c r="AJ184" s="3">
        <f t="shared" si="8"/>
        <v>45</v>
      </c>
      <c r="AK184" s="3">
        <f t="shared" si="8"/>
        <v>20</v>
      </c>
      <c r="AL184" s="3">
        <f t="shared" si="8"/>
        <v>2142</v>
      </c>
      <c r="AM184" s="3">
        <f t="shared" si="8"/>
        <v>94</v>
      </c>
      <c r="AN184" s="3">
        <f t="shared" si="8"/>
        <v>1</v>
      </c>
      <c r="AO184" s="3">
        <f t="shared" si="8"/>
        <v>11</v>
      </c>
      <c r="AP184" s="3">
        <f t="shared" si="8"/>
        <v>2</v>
      </c>
      <c r="AQ184" s="3">
        <f t="shared" si="8"/>
        <v>10</v>
      </c>
      <c r="AR184" s="3">
        <f t="shared" si="8"/>
        <v>27</v>
      </c>
      <c r="AS184" s="3">
        <f t="shared" si="8"/>
        <v>12</v>
      </c>
      <c r="AT184" s="3">
        <f t="shared" si="8"/>
        <v>6</v>
      </c>
      <c r="AU184" s="3">
        <f t="shared" si="8"/>
        <v>7</v>
      </c>
      <c r="AV184" s="3">
        <f t="shared" si="8"/>
        <v>17</v>
      </c>
      <c r="AW184" s="3">
        <f t="shared" si="8"/>
        <v>101</v>
      </c>
      <c r="AX184" s="3">
        <f t="shared" si="8"/>
        <v>2</v>
      </c>
      <c r="AY184" s="3">
        <f t="shared" si="8"/>
        <v>79</v>
      </c>
      <c r="AZ184" s="3">
        <f t="shared" si="8"/>
        <v>7</v>
      </c>
      <c r="BA184" s="3">
        <f t="shared" si="8"/>
        <v>645</v>
      </c>
      <c r="BB184" s="3">
        <f t="shared" si="8"/>
        <v>79</v>
      </c>
      <c r="BC184" s="3">
        <f t="shared" si="8"/>
        <v>63</v>
      </c>
      <c r="BD184" s="3">
        <f t="shared" si="8"/>
        <v>419</v>
      </c>
      <c r="BE184" s="3">
        <f t="shared" si="8"/>
        <v>25</v>
      </c>
      <c r="BF184" s="3">
        <f t="shared" si="8"/>
        <v>61</v>
      </c>
      <c r="BG184" s="3">
        <f t="shared" si="8"/>
        <v>101</v>
      </c>
      <c r="BH184" s="3">
        <f t="shared" si="8"/>
        <v>3</v>
      </c>
      <c r="BI184" s="3">
        <f t="shared" si="8"/>
        <v>3</v>
      </c>
      <c r="BJ184" s="3">
        <f t="shared" si="8"/>
        <v>455</v>
      </c>
      <c r="BK184" s="3">
        <f t="shared" si="8"/>
        <v>15</v>
      </c>
      <c r="BL184" s="3">
        <f t="shared" si="8"/>
        <v>5624</v>
      </c>
      <c r="BM184" s="3">
        <f t="shared" si="8"/>
        <v>2641</v>
      </c>
      <c r="BN184" s="3">
        <f t="shared" si="8"/>
        <v>1</v>
      </c>
      <c r="BO184" s="3">
        <f t="shared" si="8"/>
        <v>6</v>
      </c>
      <c r="BP184" s="3">
        <f t="shared" si="8"/>
        <v>768</v>
      </c>
      <c r="BQ184" s="3">
        <f t="shared" si="8"/>
        <v>22</v>
      </c>
      <c r="BR184" s="3">
        <f t="shared" si="8"/>
        <v>7</v>
      </c>
      <c r="BS184" s="3">
        <f t="shared" si="8"/>
        <v>49</v>
      </c>
      <c r="BT184" s="3">
        <f t="shared" si="8"/>
        <v>85</v>
      </c>
      <c r="BU184" s="3">
        <f t="shared" si="8"/>
        <v>857</v>
      </c>
      <c r="BV184" s="3">
        <f t="shared" si="8"/>
        <v>436</v>
      </c>
      <c r="BW184" s="3">
        <f t="shared" si="8"/>
        <v>195</v>
      </c>
      <c r="BX184" s="3">
        <f t="shared" si="8"/>
        <v>200</v>
      </c>
      <c r="BY184" s="3">
        <f t="shared" si="8"/>
        <v>1421</v>
      </c>
      <c r="BZ184" s="3">
        <f t="shared" si="8"/>
        <v>3</v>
      </c>
      <c r="CA184" s="3">
        <f t="shared" si="8"/>
        <v>64</v>
      </c>
      <c r="CB184" s="3">
        <f t="shared" si="8"/>
        <v>435</v>
      </c>
      <c r="CC184" s="3">
        <f t="shared" si="8"/>
        <v>130</v>
      </c>
      <c r="CD184" s="3">
        <f t="shared" si="8"/>
        <v>53</v>
      </c>
      <c r="CE184" s="3">
        <f t="shared" si="8"/>
        <v>23</v>
      </c>
      <c r="CF184" s="3">
        <f t="shared" si="8"/>
        <v>1</v>
      </c>
      <c r="CG184" s="3">
        <f t="shared" si="8"/>
        <v>86</v>
      </c>
      <c r="CH184" s="3">
        <f t="shared" si="8"/>
        <v>2</v>
      </c>
      <c r="CI184" s="3">
        <f t="shared" si="8"/>
        <v>44</v>
      </c>
      <c r="CJ184" s="3">
        <f t="shared" si="8"/>
        <v>288</v>
      </c>
      <c r="CK184" s="3">
        <f t="shared" si="8"/>
        <v>15</v>
      </c>
      <c r="CL184" s="3">
        <f t="shared" si="8"/>
        <v>18</v>
      </c>
      <c r="CM184" s="3">
        <f t="shared" si="8"/>
        <v>22</v>
      </c>
      <c r="CN184" s="3">
        <f t="shared" si="8"/>
        <v>689</v>
      </c>
      <c r="CO184" s="3">
        <f t="shared" si="8"/>
        <v>1</v>
      </c>
      <c r="CP184" s="3">
        <f t="shared" si="8"/>
        <v>14</v>
      </c>
      <c r="CQ184" s="3">
        <f t="shared" si="8"/>
        <v>18</v>
      </c>
      <c r="CR184" s="3">
        <f t="shared" si="8"/>
        <v>316</v>
      </c>
      <c r="CS184" s="3">
        <f t="shared" si="8"/>
        <v>3</v>
      </c>
      <c r="CT184" s="3">
        <f t="shared" si="8"/>
        <v>22</v>
      </c>
      <c r="CU184" s="3">
        <f t="shared" si="8"/>
        <v>34</v>
      </c>
      <c r="CV184" s="3">
        <f t="shared" si="8"/>
        <v>15</v>
      </c>
      <c r="CW184" s="3">
        <f t="shared" si="8"/>
        <v>1</v>
      </c>
      <c r="CX184" s="3">
        <f t="shared" si="8"/>
        <v>2</v>
      </c>
      <c r="CY184" s="3">
        <f t="shared" si="8"/>
        <v>16</v>
      </c>
      <c r="CZ184" s="3">
        <f t="shared" si="8"/>
        <v>6</v>
      </c>
      <c r="DA184" s="3">
        <f t="shared" si="8"/>
        <v>3</v>
      </c>
      <c r="DB184" s="3">
        <f t="shared" si="8"/>
        <v>19</v>
      </c>
      <c r="DC184" s="3">
        <f t="shared" si="8"/>
        <v>51</v>
      </c>
      <c r="DD184" s="3">
        <f t="shared" si="8"/>
        <v>32</v>
      </c>
      <c r="DE184" s="3">
        <f t="shared" si="8"/>
        <v>165</v>
      </c>
      <c r="DF184" s="3">
        <f t="shared" si="8"/>
        <v>483</v>
      </c>
      <c r="DG184" s="3">
        <f t="shared" si="8"/>
        <v>180</v>
      </c>
      <c r="DH184" s="3">
        <f t="shared" si="8"/>
        <v>6</v>
      </c>
      <c r="DI184" s="3">
        <f t="shared" si="8"/>
        <v>124</v>
      </c>
      <c r="DJ184" s="3">
        <f t="shared" si="8"/>
        <v>8</v>
      </c>
      <c r="DK184" s="3">
        <f t="shared" si="8"/>
        <v>520</v>
      </c>
      <c r="DL184" s="3">
        <f t="shared" si="8"/>
        <v>3301</v>
      </c>
      <c r="DM184" s="3">
        <f t="shared" si="8"/>
        <v>29</v>
      </c>
      <c r="DN184" s="3">
        <f t="shared" si="8"/>
        <v>115</v>
      </c>
      <c r="DO184" s="3">
        <f t="shared" si="8"/>
        <v>74</v>
      </c>
      <c r="DP184" s="3">
        <f t="shared" si="8"/>
        <v>111</v>
      </c>
      <c r="DQ184" s="3">
        <f t="shared" si="8"/>
        <v>4</v>
      </c>
      <c r="DR184" s="3">
        <f t="shared" si="8"/>
        <v>1526</v>
      </c>
      <c r="DS184" s="3">
        <f t="shared" si="8"/>
        <v>8</v>
      </c>
      <c r="DT184" s="3">
        <f t="shared" si="8"/>
        <v>1</v>
      </c>
      <c r="DU184" s="3">
        <f t="shared" si="8"/>
        <v>869</v>
      </c>
      <c r="DV184" s="3">
        <f t="shared" si="8"/>
        <v>22</v>
      </c>
      <c r="DW184" s="3">
        <f t="shared" si="8"/>
        <v>142</v>
      </c>
      <c r="DX184" s="3">
        <f t="shared" si="8"/>
        <v>22</v>
      </c>
      <c r="DY184" s="3">
        <f t="shared" si="8"/>
        <v>34</v>
      </c>
      <c r="DZ184" s="3">
        <f t="shared" si="8"/>
        <v>7</v>
      </c>
      <c r="EA184" s="3">
        <f t="shared" si="8"/>
        <v>7</v>
      </c>
      <c r="EB184" s="3">
        <f t="shared" si="8"/>
        <v>174</v>
      </c>
      <c r="EC184" s="3">
        <f t="shared" si="8"/>
        <v>221</v>
      </c>
      <c r="ED184" s="3">
        <f t="shared" si="8"/>
        <v>1</v>
      </c>
      <c r="EE184" s="3">
        <f t="shared" si="8"/>
        <v>17</v>
      </c>
      <c r="EF184" s="3">
        <f t="shared" si="8"/>
        <v>2</v>
      </c>
      <c r="EG184" s="3">
        <f t="shared" si="8"/>
        <v>1</v>
      </c>
      <c r="EH184" s="3">
        <f t="shared" si="8"/>
        <v>28</v>
      </c>
      <c r="EI184" s="3">
        <f t="shared" si="8"/>
        <v>15241</v>
      </c>
      <c r="EJ184" s="3">
        <f t="shared" si="8"/>
        <v>116</v>
      </c>
      <c r="EK184" s="3">
        <f t="shared" si="8"/>
        <v>5</v>
      </c>
      <c r="EL184" s="3">
        <f t="shared" si="8"/>
        <v>1</v>
      </c>
      <c r="EM184" s="3">
        <f t="shared" si="8"/>
        <v>16</v>
      </c>
      <c r="EN184" s="3">
        <f t="shared" si="8"/>
        <v>28</v>
      </c>
      <c r="EO184" s="3">
        <f t="shared" si="8"/>
        <v>21</v>
      </c>
      <c r="EP184" s="3">
        <f t="shared" si="8"/>
        <v>43</v>
      </c>
      <c r="EQ184" s="3">
        <f t="shared" si="8"/>
        <v>154</v>
      </c>
      <c r="ER184" s="3">
        <f t="shared" si="8"/>
        <v>5</v>
      </c>
      <c r="ES184" s="3">
        <f t="shared" si="8"/>
        <v>2</v>
      </c>
      <c r="ET184" s="3">
        <f t="shared" si="8"/>
        <v>3</v>
      </c>
      <c r="EU184" s="3">
        <f t="shared" si="8"/>
        <v>202</v>
      </c>
      <c r="EV184" s="3">
        <f t="shared" si="8"/>
        <v>54</v>
      </c>
      <c r="EW184" s="3">
        <f t="shared" si="8"/>
        <v>392</v>
      </c>
      <c r="EX184" s="3">
        <f t="shared" si="8"/>
        <v>2</v>
      </c>
      <c r="EY184" s="3">
        <f t="shared" si="8"/>
        <v>115</v>
      </c>
      <c r="EZ184" s="3">
        <f t="shared" si="8"/>
        <v>91</v>
      </c>
      <c r="FA184" s="3">
        <f t="shared" si="8"/>
        <v>3195</v>
      </c>
      <c r="FB184" s="3">
        <f t="shared" si="8"/>
        <v>131</v>
      </c>
      <c r="FC184" s="3">
        <f t="shared" si="8"/>
        <v>1</v>
      </c>
      <c r="FD184" s="3">
        <f t="shared" si="8"/>
        <v>64</v>
      </c>
      <c r="FE184" s="3">
        <f t="shared" si="8"/>
        <v>388</v>
      </c>
      <c r="FF184" s="3">
        <f t="shared" si="8"/>
        <v>2</v>
      </c>
      <c r="FG184" s="3">
        <f t="shared" si="8"/>
        <v>34</v>
      </c>
      <c r="FH184" s="3">
        <f t="shared" si="8"/>
        <v>340</v>
      </c>
      <c r="FI184" s="3">
        <f t="shared" si="8"/>
        <v>2</v>
      </c>
      <c r="FJ184" s="3">
        <f t="shared" si="8"/>
        <v>1</v>
      </c>
      <c r="FK184" s="3">
        <f t="shared" si="8"/>
        <v>77</v>
      </c>
      <c r="FL184" s="3">
        <f t="shared" si="8"/>
        <v>351</v>
      </c>
      <c r="FM184" s="3">
        <f t="shared" si="8"/>
        <v>5</v>
      </c>
      <c r="FN184" s="3">
        <f t="shared" si="8"/>
        <v>17</v>
      </c>
      <c r="FO184" s="3">
        <f t="shared" si="8"/>
        <v>151</v>
      </c>
      <c r="FP184" s="3">
        <f t="shared" si="8"/>
        <v>2512</v>
      </c>
      <c r="FQ184" s="3">
        <f t="shared" si="8"/>
        <v>27841</v>
      </c>
      <c r="FR184" s="3">
        <f t="shared" si="8"/>
        <v>304</v>
      </c>
      <c r="FS184" s="3">
        <f t="shared" si="8"/>
        <v>86</v>
      </c>
      <c r="FT184" s="3">
        <f t="shared" si="8"/>
        <v>7</v>
      </c>
      <c r="FU184" s="3">
        <f t="shared" si="8"/>
        <v>380</v>
      </c>
      <c r="FV184" s="3">
        <f t="shared" si="8"/>
        <v>67</v>
      </c>
      <c r="FW184" s="3">
        <f t="shared" si="8"/>
        <v>60</v>
      </c>
      <c r="FX184" s="3">
        <f t="shared" si="8"/>
        <v>84</v>
      </c>
      <c r="FY184" s="3">
        <f t="shared" si="8"/>
        <v>83</v>
      </c>
      <c r="FZ184" s="3">
        <f t="shared" si="8"/>
        <v>18</v>
      </c>
      <c r="GA184" s="3">
        <f t="shared" si="8"/>
        <v>19</v>
      </c>
      <c r="GB184" s="3">
        <f t="shared" si="8"/>
        <v>55</v>
      </c>
      <c r="GC184" s="3">
        <f t="shared" si="8"/>
        <v>976</v>
      </c>
      <c r="GD184" s="3">
        <f t="shared" si="8"/>
        <v>73</v>
      </c>
    </row>
    <row r="186" spans="1:200" ht="13" x14ac:dyDescent="0.15">
      <c r="FV186" s="3" t="s">
        <v>1016</v>
      </c>
      <c r="GE186" s="3">
        <f t="shared" ref="GE186:GG186" si="9">AVERAGE(GE3:GE181)</f>
        <v>17.078212290502794</v>
      </c>
      <c r="GF186" s="3">
        <f t="shared" si="9"/>
        <v>13.46927374301676</v>
      </c>
      <c r="GG186" s="3">
        <f t="shared" si="9"/>
        <v>9.6256983240223466</v>
      </c>
    </row>
  </sheetData>
  <hyperlinks>
    <hyperlink ref="H1" r:id="rId1" location="gid=0" xr:uid="{00000000-0004-0000-02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U18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2.6640625" defaultRowHeight="15.75" customHeight="1" x14ac:dyDescent="0.15"/>
  <cols>
    <col min="5" max="5" width="20.33203125" customWidth="1"/>
    <col min="13" max="13" width="16.33203125" customWidth="1"/>
    <col min="17" max="17" width="20.1640625" customWidth="1"/>
    <col min="18" max="18" width="17.5" customWidth="1"/>
    <col min="19" max="19" width="20.33203125" customWidth="1"/>
    <col min="20" max="29" width="25.83203125" customWidth="1"/>
    <col min="30" max="30" width="21.1640625" customWidth="1"/>
    <col min="33" max="33" width="16.33203125" customWidth="1"/>
    <col min="34" max="34" width="17.33203125" customWidth="1"/>
    <col min="35" max="36" width="20.83203125" customWidth="1"/>
    <col min="40" max="41" width="18" customWidth="1"/>
    <col min="42" max="47" width="17.6640625" customWidth="1"/>
    <col min="48" max="49" width="20" customWidth="1"/>
    <col min="50" max="51" width="17.6640625" customWidth="1"/>
    <col min="52" max="53" width="29" customWidth="1"/>
    <col min="57" max="59" width="18" customWidth="1"/>
    <col min="64" max="64" width="22.83203125" customWidth="1"/>
    <col min="65" max="65" width="16.5" customWidth="1"/>
    <col min="68" max="68" width="17.6640625" customWidth="1"/>
    <col min="69" max="69" width="17.1640625" customWidth="1"/>
    <col min="70" max="72" width="20.6640625" customWidth="1"/>
    <col min="73" max="73" width="18" customWidth="1"/>
    <col min="74" max="74" width="20.1640625" customWidth="1"/>
    <col min="75" max="75" width="16.33203125" customWidth="1"/>
    <col min="76" max="76" width="17" customWidth="1"/>
    <col min="78" max="79" width="20.6640625" customWidth="1"/>
    <col min="80" max="80" width="20.5" customWidth="1"/>
    <col min="81" max="81" width="16.33203125" customWidth="1"/>
    <col min="86" max="86" width="19.33203125" customWidth="1"/>
    <col min="87" max="91" width="15.83203125" customWidth="1"/>
    <col min="92" max="92" width="17.1640625" customWidth="1"/>
    <col min="93" max="93" width="18.5" customWidth="1"/>
    <col min="94" max="96" width="15.5" customWidth="1"/>
    <col min="97" max="97" width="17" customWidth="1"/>
    <col min="100" max="100" width="18.1640625" customWidth="1"/>
    <col min="101" max="101" width="15.83203125" customWidth="1"/>
    <col min="103" max="103" width="15.33203125" customWidth="1"/>
    <col min="104" max="104" width="13.5" customWidth="1"/>
    <col min="105" max="106" width="18.6640625" customWidth="1"/>
    <col min="107" max="108" width="16.33203125" customWidth="1"/>
    <col min="109" max="109" width="16.6640625" customWidth="1"/>
    <col min="111" max="111" width="21.1640625" customWidth="1"/>
    <col min="112" max="113" width="19.83203125" customWidth="1"/>
    <col min="114" max="115" width="21.83203125" customWidth="1"/>
    <col min="117" max="117" width="20.1640625" customWidth="1"/>
    <col min="118" max="119" width="16.33203125" customWidth="1"/>
    <col min="120" max="122" width="15.6640625" customWidth="1"/>
    <col min="123" max="123" width="15.5" customWidth="1"/>
    <col min="124" max="125" width="20.6640625" customWidth="1"/>
    <col min="126" max="126" width="19.1640625" customWidth="1"/>
    <col min="127" max="127" width="15.5" customWidth="1"/>
    <col min="128" max="129" width="14.83203125" customWidth="1"/>
    <col min="131" max="133" width="14.6640625" customWidth="1"/>
    <col min="134" max="135" width="23" customWidth="1"/>
    <col min="136" max="137" width="20" customWidth="1"/>
    <col min="138" max="138" width="19.83203125" customWidth="1"/>
    <col min="140" max="145" width="17.6640625" customWidth="1"/>
    <col min="148" max="151" width="21.6640625" customWidth="1"/>
    <col min="152" max="152" width="19.1640625" customWidth="1"/>
    <col min="153" max="153" width="15.33203125" customWidth="1"/>
    <col min="154" max="155" width="18.1640625" customWidth="1"/>
    <col min="156" max="156" width="20.33203125" customWidth="1"/>
    <col min="157" max="157" width="13.6640625" customWidth="1"/>
    <col min="158" max="158" width="15.83203125" customWidth="1"/>
    <col min="159" max="159" width="19.83203125" customWidth="1"/>
    <col min="161" max="161" width="16.6640625" customWidth="1"/>
    <col min="162" max="162" width="21.1640625" customWidth="1"/>
    <col min="164" max="164" width="17" customWidth="1"/>
    <col min="165" max="168" width="18.6640625" customWidth="1"/>
    <col min="169" max="172" width="17.1640625" customWidth="1"/>
    <col min="180" max="180" width="19.83203125" customWidth="1"/>
    <col min="183" max="183" width="17" customWidth="1"/>
    <col min="185" max="185" width="15.1640625" customWidth="1"/>
    <col min="186" max="186" width="22.83203125" customWidth="1"/>
  </cols>
  <sheetData>
    <row r="1" spans="1:203" ht="16" x14ac:dyDescent="0.2">
      <c r="A1" s="1" t="s">
        <v>1</v>
      </c>
      <c r="B1" s="2"/>
      <c r="C1" s="2"/>
      <c r="E1" s="2"/>
      <c r="F1" s="1"/>
      <c r="G1" s="1"/>
      <c r="I1" s="1"/>
      <c r="J1" s="1"/>
      <c r="K1" s="6" t="s">
        <v>4</v>
      </c>
      <c r="L1" s="1"/>
      <c r="M1" s="1"/>
      <c r="N1" s="1"/>
      <c r="O1" s="1"/>
      <c r="P1" s="1"/>
      <c r="Q1" s="2"/>
      <c r="R1" s="3"/>
      <c r="S1" s="4"/>
      <c r="T1" s="3"/>
      <c r="U1" s="3"/>
      <c r="V1" s="3"/>
      <c r="W1" s="3"/>
      <c r="X1" s="3"/>
      <c r="Y1" s="3"/>
      <c r="Z1" s="3"/>
      <c r="AA1" s="2"/>
      <c r="AB1" s="3"/>
      <c r="AC1" s="4"/>
      <c r="AD1" s="2"/>
      <c r="AE1" s="4"/>
      <c r="AF1" s="4"/>
      <c r="AG1" s="3"/>
      <c r="AH1" s="1"/>
      <c r="AI1" s="3"/>
      <c r="AJ1" s="3"/>
      <c r="AK1" s="3"/>
      <c r="AL1" s="4"/>
      <c r="AM1" s="4"/>
      <c r="AN1" s="4"/>
      <c r="AO1" s="4"/>
      <c r="AP1" s="3"/>
      <c r="AQ1" s="3"/>
      <c r="AR1" s="3"/>
      <c r="AS1" s="3"/>
      <c r="AT1" s="3"/>
      <c r="AU1" s="3"/>
      <c r="AV1" s="3"/>
      <c r="AW1" s="7"/>
      <c r="AX1" s="3"/>
      <c r="AY1" s="3"/>
      <c r="AZ1" s="3"/>
      <c r="BA1" s="1"/>
      <c r="BB1" s="3"/>
      <c r="BC1" s="3"/>
      <c r="BD1" s="2"/>
      <c r="BE1" s="3"/>
      <c r="BF1" s="3"/>
      <c r="BG1" s="3"/>
      <c r="BH1" s="3"/>
      <c r="BI1" s="3"/>
      <c r="BJ1" s="2"/>
      <c r="BK1" s="4"/>
      <c r="BL1" s="2"/>
      <c r="BM1" s="3"/>
      <c r="BN1" s="3"/>
      <c r="BO1" s="4"/>
      <c r="BP1" s="3"/>
      <c r="BQ1" s="3"/>
      <c r="BR1" s="3"/>
      <c r="BS1" s="3"/>
      <c r="BT1" s="3"/>
      <c r="BU1" s="2"/>
      <c r="BV1" s="3"/>
      <c r="BW1" s="3"/>
      <c r="BX1" s="3"/>
      <c r="BY1" s="2"/>
      <c r="BZ1" s="3"/>
      <c r="CA1" s="3"/>
      <c r="CB1" s="2"/>
      <c r="CC1" s="3"/>
      <c r="CD1" s="3"/>
      <c r="CE1" s="3"/>
      <c r="CF1" s="3"/>
      <c r="CG1" s="4"/>
      <c r="CH1" s="3"/>
      <c r="CI1" s="3"/>
      <c r="CJ1" s="3"/>
      <c r="CK1" s="3"/>
      <c r="CL1" s="3"/>
      <c r="CM1" s="3"/>
      <c r="CN1" s="1"/>
      <c r="CO1" s="3"/>
      <c r="CP1" s="3"/>
      <c r="CQ1" s="3"/>
      <c r="CR1" s="1"/>
      <c r="CS1" s="3"/>
      <c r="CT1" s="4"/>
      <c r="CU1" s="3"/>
      <c r="CV1" s="3"/>
      <c r="CW1" s="3"/>
      <c r="CX1" s="3"/>
      <c r="CY1" s="3"/>
      <c r="CZ1" s="4"/>
      <c r="DA1" s="3"/>
      <c r="DB1" s="3"/>
      <c r="DC1" s="3"/>
      <c r="DD1" s="3"/>
      <c r="DE1" s="3"/>
      <c r="DF1" s="2"/>
      <c r="DG1" s="4"/>
      <c r="DH1" s="3"/>
      <c r="DI1" s="4"/>
      <c r="DJ1" s="3"/>
      <c r="DK1" s="4"/>
      <c r="DL1" s="2"/>
      <c r="DM1" s="3"/>
      <c r="DN1" s="4"/>
      <c r="DO1" s="4"/>
      <c r="DP1" s="3"/>
      <c r="DQ1" s="3"/>
      <c r="DR1" s="1"/>
      <c r="DS1" s="3"/>
      <c r="DT1" s="3"/>
      <c r="DU1" s="3"/>
      <c r="DV1" s="3"/>
      <c r="DW1" s="3"/>
      <c r="DX1" s="3"/>
      <c r="DY1" s="3"/>
      <c r="DZ1" s="2"/>
      <c r="EA1" s="3"/>
      <c r="EB1" s="2"/>
      <c r="EC1" s="2"/>
      <c r="ED1" s="3"/>
      <c r="EE1" s="3"/>
      <c r="EF1" s="3"/>
      <c r="EG1" s="3"/>
      <c r="EH1" s="3"/>
      <c r="EI1" s="2"/>
      <c r="EJ1" s="3"/>
      <c r="EK1" s="3"/>
      <c r="EL1" s="3"/>
      <c r="EM1" s="3"/>
      <c r="EN1" s="3"/>
      <c r="EO1" s="3"/>
      <c r="EP1" s="3"/>
      <c r="EQ1" s="3"/>
      <c r="ER1" s="3"/>
      <c r="ES1" s="3"/>
      <c r="ET1" s="3"/>
      <c r="EU1" s="3"/>
      <c r="EV1" s="3"/>
      <c r="EW1" s="3"/>
      <c r="EX1" s="3"/>
      <c r="EY1" s="3"/>
      <c r="EZ1" s="3"/>
      <c r="FA1" s="1"/>
      <c r="FB1" s="3"/>
      <c r="FC1" s="3"/>
      <c r="FD1" s="4"/>
      <c r="FE1" s="4"/>
      <c r="FF1" s="3"/>
      <c r="FG1" s="3"/>
      <c r="FH1" s="1"/>
      <c r="FI1" s="3"/>
      <c r="FJ1" s="3"/>
      <c r="FK1" s="3"/>
      <c r="FL1" s="2"/>
      <c r="FM1" s="3"/>
      <c r="FN1" s="3"/>
      <c r="FO1" s="4"/>
      <c r="FP1" s="4"/>
      <c r="FQ1" s="2"/>
      <c r="FR1" s="3"/>
      <c r="FS1" s="3"/>
      <c r="FT1" s="3"/>
      <c r="FU1" s="4"/>
      <c r="FV1" s="3"/>
      <c r="FW1" s="3"/>
      <c r="FX1" s="3"/>
      <c r="FY1" s="3"/>
      <c r="FZ1" s="3"/>
      <c r="GA1" s="3"/>
      <c r="GB1" s="4"/>
      <c r="GC1" s="4"/>
      <c r="GD1" s="4"/>
      <c r="GE1" s="4"/>
      <c r="GF1" s="4"/>
      <c r="GG1" s="4"/>
      <c r="GH1" s="4"/>
      <c r="GI1" s="4"/>
      <c r="GJ1" s="4"/>
      <c r="GK1" s="4"/>
      <c r="GL1" s="4"/>
      <c r="GM1" s="4"/>
      <c r="GN1" s="4"/>
      <c r="GO1" s="4"/>
      <c r="GP1" s="4"/>
      <c r="GQ1" s="4"/>
      <c r="GR1" s="4"/>
      <c r="GS1" s="4"/>
      <c r="GT1" s="4"/>
      <c r="GU1" s="4"/>
    </row>
    <row r="2" spans="1:203" ht="16" x14ac:dyDescent="0.2">
      <c r="A2" s="1" t="s">
        <v>6</v>
      </c>
      <c r="B2" s="2" t="s">
        <v>7</v>
      </c>
      <c r="C2" s="2" t="s">
        <v>8</v>
      </c>
      <c r="D2" s="2" t="s">
        <v>9</v>
      </c>
      <c r="E2" s="2" t="s">
        <v>10</v>
      </c>
      <c r="F2" s="1" t="s">
        <v>11</v>
      </c>
      <c r="G2" s="1" t="s">
        <v>12</v>
      </c>
      <c r="H2" s="1" t="s">
        <v>13</v>
      </c>
      <c r="I2" s="1" t="s">
        <v>14</v>
      </c>
      <c r="J2" s="1" t="s">
        <v>15</v>
      </c>
      <c r="K2" s="1" t="s">
        <v>16</v>
      </c>
      <c r="L2" s="1" t="s">
        <v>17</v>
      </c>
      <c r="M2" s="1" t="s">
        <v>18</v>
      </c>
      <c r="N2" s="1" t="s">
        <v>19</v>
      </c>
      <c r="O2" s="1"/>
      <c r="P2" s="1" t="s">
        <v>20</v>
      </c>
      <c r="Q2" s="2" t="s">
        <v>21</v>
      </c>
      <c r="R2" s="3" t="s">
        <v>22</v>
      </c>
      <c r="S2" s="4" t="s">
        <v>23</v>
      </c>
      <c r="T2" s="3" t="s">
        <v>24</v>
      </c>
      <c r="U2" s="8" t="s">
        <v>25</v>
      </c>
      <c r="V2" s="8" t="s">
        <v>29</v>
      </c>
      <c r="W2" s="8" t="s">
        <v>30</v>
      </c>
      <c r="X2" s="8" t="s">
        <v>31</v>
      </c>
      <c r="Y2" s="3" t="s">
        <v>32</v>
      </c>
      <c r="Z2" s="8" t="s">
        <v>33</v>
      </c>
      <c r="AA2" s="2" t="s">
        <v>34</v>
      </c>
      <c r="AB2" s="3" t="s">
        <v>35</v>
      </c>
      <c r="AC2" s="4" t="s">
        <v>36</v>
      </c>
      <c r="AD2" s="2" t="s">
        <v>37</v>
      </c>
      <c r="AE2" s="4" t="s">
        <v>38</v>
      </c>
      <c r="AF2" s="4" t="s">
        <v>39</v>
      </c>
      <c r="AG2" s="3" t="s">
        <v>40</v>
      </c>
      <c r="AH2" s="1" t="s">
        <v>41</v>
      </c>
      <c r="AI2" s="3" t="s">
        <v>42</v>
      </c>
      <c r="AJ2" s="8" t="s">
        <v>43</v>
      </c>
      <c r="AK2" s="3" t="s">
        <v>44</v>
      </c>
      <c r="AL2" s="4" t="s">
        <v>45</v>
      </c>
      <c r="AM2" s="4" t="s">
        <v>46</v>
      </c>
      <c r="AN2" s="4" t="s">
        <v>47</v>
      </c>
      <c r="AO2" s="4" t="s">
        <v>48</v>
      </c>
      <c r="AP2" s="3" t="s">
        <v>49</v>
      </c>
      <c r="AQ2" s="3" t="s">
        <v>50</v>
      </c>
      <c r="AR2" s="3" t="s">
        <v>51</v>
      </c>
      <c r="AS2" s="3" t="s">
        <v>52</v>
      </c>
      <c r="AT2" s="8" t="s">
        <v>53</v>
      </c>
      <c r="AU2" s="8" t="s">
        <v>54</v>
      </c>
      <c r="AV2" s="8" t="s">
        <v>55</v>
      </c>
      <c r="AW2" s="9" t="s">
        <v>56</v>
      </c>
      <c r="AX2" s="8" t="s">
        <v>57</v>
      </c>
      <c r="AY2" s="8" t="s">
        <v>58</v>
      </c>
      <c r="AZ2" s="8" t="s">
        <v>59</v>
      </c>
      <c r="BA2" s="10" t="s">
        <v>60</v>
      </c>
      <c r="BB2" s="3" t="s">
        <v>61</v>
      </c>
      <c r="BC2" s="8" t="s">
        <v>62</v>
      </c>
      <c r="BD2" s="2" t="s">
        <v>63</v>
      </c>
      <c r="BE2" s="8" t="s">
        <v>64</v>
      </c>
      <c r="BF2" s="8" t="s">
        <v>65</v>
      </c>
      <c r="BG2" s="3" t="s">
        <v>66</v>
      </c>
      <c r="BH2" s="8" t="s">
        <v>67</v>
      </c>
      <c r="BI2" s="8" t="s">
        <v>68</v>
      </c>
      <c r="BJ2" s="2" t="s">
        <v>69</v>
      </c>
      <c r="BK2" s="4" t="s">
        <v>70</v>
      </c>
      <c r="BL2" s="2" t="s">
        <v>71</v>
      </c>
      <c r="BM2" s="8" t="s">
        <v>73</v>
      </c>
      <c r="BN2" s="8" t="s">
        <v>74</v>
      </c>
      <c r="BO2" s="4" t="s">
        <v>75</v>
      </c>
      <c r="BP2" s="3" t="s">
        <v>76</v>
      </c>
      <c r="BQ2" s="3" t="s">
        <v>77</v>
      </c>
      <c r="BR2" s="3" t="s">
        <v>78</v>
      </c>
      <c r="BS2" s="8" t="s">
        <v>79</v>
      </c>
      <c r="BT2" s="3" t="s">
        <v>80</v>
      </c>
      <c r="BU2" s="11" t="s">
        <v>81</v>
      </c>
      <c r="BV2" s="3" t="s">
        <v>82</v>
      </c>
      <c r="BW2" s="3" t="s">
        <v>83</v>
      </c>
      <c r="BX2" s="3" t="s">
        <v>84</v>
      </c>
      <c r="BY2" s="2" t="s">
        <v>85</v>
      </c>
      <c r="BZ2" s="8" t="s">
        <v>86</v>
      </c>
      <c r="CA2" s="3" t="s">
        <v>87</v>
      </c>
      <c r="CB2" s="2" t="s">
        <v>88</v>
      </c>
      <c r="CC2" s="3" t="s">
        <v>89</v>
      </c>
      <c r="CD2" s="8" t="s">
        <v>90</v>
      </c>
      <c r="CE2" s="3" t="s">
        <v>91</v>
      </c>
      <c r="CF2" s="8" t="s">
        <v>92</v>
      </c>
      <c r="CG2" s="4" t="s">
        <v>93</v>
      </c>
      <c r="CH2" s="8" t="s">
        <v>94</v>
      </c>
      <c r="CI2" s="8" t="s">
        <v>95</v>
      </c>
      <c r="CJ2" s="3" t="s">
        <v>96</v>
      </c>
      <c r="CK2" s="3" t="s">
        <v>97</v>
      </c>
      <c r="CL2" s="8" t="s">
        <v>98</v>
      </c>
      <c r="CM2" s="3" t="s">
        <v>99</v>
      </c>
      <c r="CN2" s="1" t="s">
        <v>100</v>
      </c>
      <c r="CO2" s="8" t="s">
        <v>101</v>
      </c>
      <c r="CP2" s="8" t="s">
        <v>102</v>
      </c>
      <c r="CQ2" s="8" t="s">
        <v>103</v>
      </c>
      <c r="CR2" s="1" t="s">
        <v>104</v>
      </c>
      <c r="CS2" s="8" t="s">
        <v>105</v>
      </c>
      <c r="CT2" s="4" t="s">
        <v>106</v>
      </c>
      <c r="CU2" s="8" t="s">
        <v>107</v>
      </c>
      <c r="CV2" s="8" t="s">
        <v>108</v>
      </c>
      <c r="CW2" s="8" t="s">
        <v>109</v>
      </c>
      <c r="CX2" s="8" t="s">
        <v>110</v>
      </c>
      <c r="CY2" s="8" t="s">
        <v>111</v>
      </c>
      <c r="CZ2" s="4" t="s">
        <v>112</v>
      </c>
      <c r="DA2" s="8" t="s">
        <v>113</v>
      </c>
      <c r="DB2" s="3" t="s">
        <v>114</v>
      </c>
      <c r="DC2" s="8" t="s">
        <v>115</v>
      </c>
      <c r="DD2" s="8" t="s">
        <v>116</v>
      </c>
      <c r="DE2" s="3" t="s">
        <v>117</v>
      </c>
      <c r="DF2" s="2" t="s">
        <v>118</v>
      </c>
      <c r="DG2" s="4" t="s">
        <v>119</v>
      </c>
      <c r="DH2" s="3" t="s">
        <v>120</v>
      </c>
      <c r="DI2" s="4" t="s">
        <v>121</v>
      </c>
      <c r="DJ2" s="8" t="s">
        <v>122</v>
      </c>
      <c r="DK2" s="4" t="s">
        <v>123</v>
      </c>
      <c r="DL2" s="2" t="s">
        <v>124</v>
      </c>
      <c r="DM2" s="3" t="s">
        <v>125</v>
      </c>
      <c r="DN2" s="4" t="s">
        <v>126</v>
      </c>
      <c r="DO2" s="4" t="s">
        <v>127</v>
      </c>
      <c r="DP2" s="3" t="s">
        <v>128</v>
      </c>
      <c r="DQ2" s="3" t="s">
        <v>129</v>
      </c>
      <c r="DR2" s="1" t="s">
        <v>130</v>
      </c>
      <c r="DS2" s="8" t="s">
        <v>131</v>
      </c>
      <c r="DT2" s="8" t="s">
        <v>132</v>
      </c>
      <c r="DU2" s="3" t="s">
        <v>133</v>
      </c>
      <c r="DV2" s="8" t="s">
        <v>134</v>
      </c>
      <c r="DW2" s="3" t="s">
        <v>135</v>
      </c>
      <c r="DX2" s="3" t="s">
        <v>136</v>
      </c>
      <c r="DY2" s="3" t="s">
        <v>137</v>
      </c>
      <c r="DZ2" s="2" t="s">
        <v>138</v>
      </c>
      <c r="EA2" s="8" t="s">
        <v>139</v>
      </c>
      <c r="EB2" s="2" t="s">
        <v>140</v>
      </c>
      <c r="EC2" s="2" t="s">
        <v>141</v>
      </c>
      <c r="ED2" s="8" t="s">
        <v>142</v>
      </c>
      <c r="EE2" s="8" t="s">
        <v>143</v>
      </c>
      <c r="EF2" s="8" t="s">
        <v>144</v>
      </c>
      <c r="EG2" s="3" t="s">
        <v>145</v>
      </c>
      <c r="EH2" s="8" t="s">
        <v>146</v>
      </c>
      <c r="EI2" s="2" t="s">
        <v>147</v>
      </c>
      <c r="EJ2" s="3" t="s">
        <v>148</v>
      </c>
      <c r="EK2" s="8" t="s">
        <v>149</v>
      </c>
      <c r="EL2" s="3" t="s">
        <v>150</v>
      </c>
      <c r="EM2" s="3" t="s">
        <v>151</v>
      </c>
      <c r="EN2" s="8" t="s">
        <v>152</v>
      </c>
      <c r="EO2" s="3" t="s">
        <v>153</v>
      </c>
      <c r="EP2" s="3" t="s">
        <v>154</v>
      </c>
      <c r="EQ2" s="3" t="s">
        <v>155</v>
      </c>
      <c r="ER2" s="8" t="s">
        <v>156</v>
      </c>
      <c r="ES2" s="8" t="s">
        <v>157</v>
      </c>
      <c r="ET2" s="8" t="s">
        <v>158</v>
      </c>
      <c r="EU2" s="3" t="s">
        <v>159</v>
      </c>
      <c r="EV2" s="8" t="s">
        <v>160</v>
      </c>
      <c r="EW2" s="3" t="s">
        <v>161</v>
      </c>
      <c r="EX2" s="8" t="s">
        <v>162</v>
      </c>
      <c r="EY2" s="3" t="s">
        <v>163</v>
      </c>
      <c r="EZ2" s="3" t="s">
        <v>164</v>
      </c>
      <c r="FA2" s="1" t="s">
        <v>165</v>
      </c>
      <c r="FB2" s="3" t="s">
        <v>166</v>
      </c>
      <c r="FC2" s="8" t="s">
        <v>167</v>
      </c>
      <c r="FD2" s="4" t="s">
        <v>168</v>
      </c>
      <c r="FE2" s="12" t="s">
        <v>169</v>
      </c>
      <c r="FF2" s="8" t="s">
        <v>170</v>
      </c>
      <c r="FG2" s="3" t="s">
        <v>171</v>
      </c>
      <c r="FH2" s="1" t="s">
        <v>172</v>
      </c>
      <c r="FI2" s="8" t="s">
        <v>173</v>
      </c>
      <c r="FJ2" s="3" t="s">
        <v>174</v>
      </c>
      <c r="FK2" s="8" t="s">
        <v>175</v>
      </c>
      <c r="FL2" s="2" t="s">
        <v>176</v>
      </c>
      <c r="FM2" s="3" t="s">
        <v>177</v>
      </c>
      <c r="FN2" s="3" t="s">
        <v>178</v>
      </c>
      <c r="FO2" s="4" t="s">
        <v>179</v>
      </c>
      <c r="FP2" s="4" t="s">
        <v>180</v>
      </c>
      <c r="FQ2" s="2" t="s">
        <v>181</v>
      </c>
      <c r="FR2" s="3" t="s">
        <v>182</v>
      </c>
      <c r="FS2" s="3" t="s">
        <v>183</v>
      </c>
      <c r="FT2" s="8" t="s">
        <v>184</v>
      </c>
      <c r="FU2" s="4" t="s">
        <v>185</v>
      </c>
      <c r="FV2" s="8" t="s">
        <v>186</v>
      </c>
      <c r="FW2" s="3" t="s">
        <v>187</v>
      </c>
      <c r="FX2" s="8" t="s">
        <v>188</v>
      </c>
      <c r="FY2" s="3" t="s">
        <v>189</v>
      </c>
      <c r="FZ2" s="3" t="s">
        <v>190</v>
      </c>
      <c r="GA2" s="8" t="s">
        <v>191</v>
      </c>
      <c r="GB2" s="4" t="s">
        <v>192</v>
      </c>
      <c r="GC2" s="12" t="s">
        <v>193</v>
      </c>
      <c r="GD2" s="4" t="s">
        <v>194</v>
      </c>
      <c r="GE2" s="4" t="s">
        <v>195</v>
      </c>
      <c r="GF2" s="4"/>
      <c r="GG2" s="4"/>
      <c r="GH2" s="4"/>
      <c r="GI2" s="4"/>
      <c r="GJ2" s="4"/>
      <c r="GK2" s="4"/>
      <c r="GL2" s="4"/>
      <c r="GM2" s="4"/>
      <c r="GN2" s="4"/>
      <c r="GO2" s="4"/>
      <c r="GP2" s="4"/>
      <c r="GQ2" s="4"/>
      <c r="GR2" s="4"/>
      <c r="GS2" s="4"/>
      <c r="GT2" s="4"/>
      <c r="GU2" s="4"/>
    </row>
    <row r="3" spans="1:203" ht="15.75" customHeight="1" x14ac:dyDescent="0.15">
      <c r="A3" s="13">
        <v>38018</v>
      </c>
      <c r="B3" s="3" t="s">
        <v>196</v>
      </c>
      <c r="C3" s="3">
        <v>21.559277999999999</v>
      </c>
      <c r="D3" s="3">
        <v>-157.87190200000001</v>
      </c>
      <c r="E3" s="3" t="s">
        <v>197</v>
      </c>
      <c r="F3" s="14">
        <v>0</v>
      </c>
      <c r="G3" s="14">
        <v>4.1666666666666664E-2</v>
      </c>
      <c r="H3" s="3">
        <v>6</v>
      </c>
      <c r="I3" s="3">
        <v>10</v>
      </c>
      <c r="J3" s="3" t="s">
        <v>198</v>
      </c>
      <c r="K3" s="3">
        <v>11</v>
      </c>
      <c r="L3" s="3">
        <v>22</v>
      </c>
      <c r="M3" s="3" t="s">
        <v>199</v>
      </c>
      <c r="Q3" s="3">
        <v>1</v>
      </c>
      <c r="AC3" s="3">
        <v>1</v>
      </c>
      <c r="AE3" s="3">
        <v>1</v>
      </c>
      <c r="AJ3" s="3">
        <v>1</v>
      </c>
      <c r="BL3" s="3">
        <v>1</v>
      </c>
      <c r="DO3" s="3">
        <v>1</v>
      </c>
      <c r="EC3" s="3">
        <v>1</v>
      </c>
      <c r="FA3" s="3">
        <v>1</v>
      </c>
      <c r="FQ3" s="3">
        <v>1</v>
      </c>
      <c r="FR3" s="3">
        <v>1</v>
      </c>
      <c r="GB3" s="3">
        <v>1</v>
      </c>
    </row>
    <row r="4" spans="1:203" ht="15.75" customHeight="1" x14ac:dyDescent="0.15">
      <c r="A4" s="13">
        <v>38041</v>
      </c>
      <c r="B4" s="3" t="s">
        <v>201</v>
      </c>
      <c r="C4" s="3">
        <v>21.25544</v>
      </c>
      <c r="D4" s="3">
        <v>-157.810303</v>
      </c>
      <c r="E4" s="3" t="s">
        <v>197</v>
      </c>
      <c r="F4" s="14">
        <v>0</v>
      </c>
      <c r="G4" s="14">
        <v>4.1666666666666664E-2</v>
      </c>
      <c r="H4" s="3">
        <v>6</v>
      </c>
      <c r="I4" s="3">
        <v>11</v>
      </c>
      <c r="J4" s="3" t="s">
        <v>198</v>
      </c>
      <c r="K4" s="3">
        <v>12</v>
      </c>
      <c r="L4" s="3">
        <v>58</v>
      </c>
      <c r="M4" s="3" t="s">
        <v>202</v>
      </c>
      <c r="Q4" s="3">
        <v>1</v>
      </c>
      <c r="AE4" s="3">
        <v>1</v>
      </c>
      <c r="AN4" s="3">
        <v>1</v>
      </c>
      <c r="BA4" s="3">
        <v>1</v>
      </c>
      <c r="BL4" s="3">
        <v>1</v>
      </c>
      <c r="BP4" s="3">
        <v>1</v>
      </c>
      <c r="BY4" s="3">
        <v>1</v>
      </c>
      <c r="CA4" s="3">
        <v>1</v>
      </c>
      <c r="CR4" s="3">
        <v>1</v>
      </c>
      <c r="DL4" s="3">
        <v>1</v>
      </c>
      <c r="DO4" s="3">
        <v>1</v>
      </c>
      <c r="DR4" s="3">
        <v>1</v>
      </c>
      <c r="DU4" s="3">
        <v>1</v>
      </c>
      <c r="EC4" s="3">
        <v>1</v>
      </c>
      <c r="EI4" s="3">
        <v>1</v>
      </c>
      <c r="FA4" s="3">
        <v>1</v>
      </c>
      <c r="FB4" s="3">
        <v>1</v>
      </c>
      <c r="FP4" s="3">
        <v>1</v>
      </c>
      <c r="FQ4" s="3">
        <v>1</v>
      </c>
      <c r="GA4" s="3">
        <v>1</v>
      </c>
      <c r="GB4" s="3">
        <v>1</v>
      </c>
    </row>
    <row r="5" spans="1:203" ht="15.75" customHeight="1" x14ac:dyDescent="0.15">
      <c r="A5" s="13">
        <v>38050</v>
      </c>
      <c r="B5" s="3" t="s">
        <v>196</v>
      </c>
      <c r="C5" s="3">
        <v>21.559277999999999</v>
      </c>
      <c r="D5" s="3">
        <v>-157.87190200000001</v>
      </c>
      <c r="E5" s="3" t="s">
        <v>197</v>
      </c>
      <c r="F5" s="14">
        <v>0</v>
      </c>
      <c r="G5" s="14">
        <v>4.1666666666666664E-2</v>
      </c>
      <c r="H5" s="3">
        <v>6</v>
      </c>
      <c r="I5" s="3">
        <v>10</v>
      </c>
      <c r="J5" s="3" t="s">
        <v>198</v>
      </c>
      <c r="K5" s="3">
        <v>11</v>
      </c>
      <c r="L5" s="3">
        <v>33</v>
      </c>
      <c r="M5" s="3" t="s">
        <v>204</v>
      </c>
      <c r="Q5" s="3">
        <v>1</v>
      </c>
      <c r="AC5" s="3">
        <v>1</v>
      </c>
      <c r="AE5" s="3">
        <v>1</v>
      </c>
      <c r="AJ5" s="3">
        <v>1</v>
      </c>
      <c r="BL5" s="3">
        <v>1</v>
      </c>
      <c r="EC5" s="3">
        <v>1</v>
      </c>
      <c r="FA5" s="3">
        <v>1</v>
      </c>
      <c r="FB5" s="3">
        <v>1</v>
      </c>
      <c r="FQ5" s="3">
        <v>1</v>
      </c>
      <c r="FR5" s="3">
        <v>1</v>
      </c>
      <c r="GB5" s="3">
        <v>1</v>
      </c>
    </row>
    <row r="6" spans="1:203" ht="15.75" customHeight="1" x14ac:dyDescent="0.15">
      <c r="A6" s="13">
        <v>38384</v>
      </c>
      <c r="B6" s="3" t="s">
        <v>196</v>
      </c>
      <c r="C6" s="3">
        <v>21.559277999999999</v>
      </c>
      <c r="D6" s="3">
        <v>-157.87190200000001</v>
      </c>
      <c r="E6" s="3" t="s">
        <v>197</v>
      </c>
      <c r="F6" s="14">
        <v>0</v>
      </c>
      <c r="G6" s="14">
        <v>4.1666666666666664E-2</v>
      </c>
      <c r="H6" s="3">
        <v>7</v>
      </c>
      <c r="I6" s="3">
        <v>9</v>
      </c>
      <c r="J6" s="3" t="s">
        <v>198</v>
      </c>
      <c r="K6" s="3">
        <v>10</v>
      </c>
      <c r="L6" s="3">
        <v>31</v>
      </c>
      <c r="M6" s="3" t="s">
        <v>206</v>
      </c>
      <c r="Q6" s="3">
        <v>1</v>
      </c>
      <c r="AC6" s="3">
        <v>1</v>
      </c>
      <c r="AE6" s="3">
        <v>1</v>
      </c>
      <c r="AJ6" s="3">
        <v>1</v>
      </c>
      <c r="DG6" s="3">
        <v>1</v>
      </c>
      <c r="DH6" s="3">
        <v>1</v>
      </c>
      <c r="EC6" s="3">
        <v>1</v>
      </c>
      <c r="FB6" s="3">
        <v>1</v>
      </c>
      <c r="FR6" s="3">
        <v>1</v>
      </c>
      <c r="GA6" s="3">
        <v>1</v>
      </c>
      <c r="GB6" s="3">
        <v>1</v>
      </c>
    </row>
    <row r="7" spans="1:203" ht="15.75" customHeight="1" x14ac:dyDescent="0.15">
      <c r="A7" s="13">
        <v>38401</v>
      </c>
      <c r="B7" s="3" t="s">
        <v>201</v>
      </c>
      <c r="C7" s="3">
        <v>21.25544</v>
      </c>
      <c r="D7" s="3">
        <v>-157.810303</v>
      </c>
      <c r="E7" s="3" t="s">
        <v>197</v>
      </c>
      <c r="F7" s="14">
        <v>0</v>
      </c>
      <c r="G7" s="14">
        <v>4.1666666666666664E-2</v>
      </c>
      <c r="H7" s="3">
        <v>6</v>
      </c>
      <c r="I7" s="3">
        <v>9</v>
      </c>
      <c r="J7" s="3" t="s">
        <v>198</v>
      </c>
      <c r="K7" s="3">
        <v>10</v>
      </c>
      <c r="L7" s="3">
        <v>56</v>
      </c>
      <c r="M7" s="3" t="s">
        <v>212</v>
      </c>
      <c r="Q7" s="3">
        <v>1</v>
      </c>
      <c r="AE7" s="3">
        <v>1</v>
      </c>
      <c r="BP7" s="3">
        <v>1</v>
      </c>
      <c r="BV7" s="3">
        <v>1</v>
      </c>
      <c r="CA7" s="3">
        <v>1</v>
      </c>
      <c r="CU7" s="3">
        <v>1</v>
      </c>
      <c r="DL7" s="3">
        <v>1</v>
      </c>
      <c r="DO7" s="3">
        <v>1</v>
      </c>
      <c r="DV7" s="3">
        <v>1</v>
      </c>
      <c r="EC7" s="3">
        <v>1</v>
      </c>
      <c r="EI7" s="3">
        <v>1</v>
      </c>
      <c r="FA7" s="3">
        <v>1</v>
      </c>
      <c r="FB7" s="3">
        <v>1</v>
      </c>
      <c r="FQ7" s="3">
        <v>1</v>
      </c>
      <c r="GB7" s="3">
        <v>1</v>
      </c>
    </row>
    <row r="8" spans="1:203" ht="15.75" customHeight="1" x14ac:dyDescent="0.15">
      <c r="A8" s="13">
        <v>38416</v>
      </c>
      <c r="B8" s="3" t="s">
        <v>196</v>
      </c>
      <c r="C8" s="3">
        <v>21.559277999999999</v>
      </c>
      <c r="D8" s="3">
        <v>-157.87190200000001</v>
      </c>
      <c r="E8" s="3" t="s">
        <v>197</v>
      </c>
      <c r="F8" s="14">
        <v>0</v>
      </c>
      <c r="G8" s="14">
        <v>4.1666666666666664E-2</v>
      </c>
      <c r="H8" s="3">
        <v>7</v>
      </c>
      <c r="I8" s="3">
        <v>9</v>
      </c>
      <c r="J8" s="3" t="s">
        <v>198</v>
      </c>
      <c r="K8" s="3">
        <v>10</v>
      </c>
      <c r="L8" s="3">
        <v>29</v>
      </c>
      <c r="M8" s="3" t="s">
        <v>214</v>
      </c>
      <c r="Q8" s="3">
        <v>1</v>
      </c>
      <c r="AC8" s="3">
        <v>1</v>
      </c>
      <c r="AE8" s="3">
        <v>1</v>
      </c>
      <c r="AJ8" s="3">
        <v>1</v>
      </c>
      <c r="DG8" s="3">
        <v>1</v>
      </c>
      <c r="DO8" s="3">
        <v>1</v>
      </c>
      <c r="EC8" s="3">
        <v>1</v>
      </c>
      <c r="EI8" s="3">
        <v>1</v>
      </c>
      <c r="FB8" s="3">
        <v>1</v>
      </c>
      <c r="GB8" s="3">
        <v>1</v>
      </c>
    </row>
    <row r="9" spans="1:203" ht="15.75" customHeight="1" x14ac:dyDescent="0.15">
      <c r="A9" s="13">
        <v>38416</v>
      </c>
      <c r="B9" s="3" t="s">
        <v>201</v>
      </c>
      <c r="C9" s="3">
        <v>21.25544</v>
      </c>
      <c r="D9" s="3">
        <v>-157.810303</v>
      </c>
      <c r="E9" s="3" t="s">
        <v>197</v>
      </c>
      <c r="F9" s="14">
        <v>0</v>
      </c>
      <c r="G9" s="14">
        <v>4.1666666666666664E-2</v>
      </c>
      <c r="H9" s="3">
        <v>7</v>
      </c>
      <c r="I9" s="3">
        <v>9</v>
      </c>
      <c r="J9" s="3" t="s">
        <v>198</v>
      </c>
      <c r="K9" s="3">
        <v>10</v>
      </c>
      <c r="L9" s="3">
        <v>56</v>
      </c>
      <c r="M9" s="3" t="s">
        <v>215</v>
      </c>
      <c r="Q9" s="3">
        <v>1</v>
      </c>
      <c r="AE9" s="3">
        <v>1</v>
      </c>
      <c r="BP9" s="3">
        <v>1</v>
      </c>
      <c r="BV9" s="3">
        <v>1</v>
      </c>
      <c r="BY9" s="3">
        <v>1</v>
      </c>
      <c r="CA9" s="3">
        <v>1</v>
      </c>
      <c r="CC9" s="3">
        <v>1</v>
      </c>
      <c r="CR9" s="3">
        <v>1</v>
      </c>
      <c r="CU9" s="3">
        <v>1</v>
      </c>
      <c r="DL9" s="3">
        <v>1</v>
      </c>
      <c r="DO9" s="3">
        <v>1</v>
      </c>
      <c r="EC9" s="3">
        <v>1</v>
      </c>
      <c r="EI9" s="3">
        <v>1</v>
      </c>
      <c r="FA9" s="3">
        <v>1</v>
      </c>
      <c r="FP9" s="3">
        <v>1</v>
      </c>
      <c r="FQ9" s="3">
        <v>1</v>
      </c>
      <c r="GB9" s="3">
        <v>1</v>
      </c>
    </row>
    <row r="10" spans="1:203" ht="15.75" customHeight="1" x14ac:dyDescent="0.15">
      <c r="A10" s="13">
        <v>38440</v>
      </c>
      <c r="B10" s="3" t="s">
        <v>216</v>
      </c>
      <c r="C10" s="3">
        <v>21.3002</v>
      </c>
      <c r="D10" s="3">
        <v>-157.882599</v>
      </c>
      <c r="E10" s="3" t="s">
        <v>197</v>
      </c>
      <c r="F10" s="14">
        <v>0</v>
      </c>
      <c r="G10" s="14">
        <v>4.1666666666666664E-2</v>
      </c>
      <c r="H10" s="3">
        <v>4</v>
      </c>
      <c r="I10" s="3">
        <v>22</v>
      </c>
      <c r="J10" s="3" t="s">
        <v>217</v>
      </c>
      <c r="K10" s="3">
        <v>10</v>
      </c>
      <c r="L10" s="3">
        <v>26</v>
      </c>
      <c r="M10" s="3" t="s">
        <v>218</v>
      </c>
      <c r="BY10" s="3">
        <v>1</v>
      </c>
      <c r="EI10" s="3">
        <v>1</v>
      </c>
      <c r="FA10" s="3">
        <v>1</v>
      </c>
      <c r="FL10" s="3">
        <v>1</v>
      </c>
      <c r="FQ10" s="3">
        <v>1</v>
      </c>
      <c r="GB10" s="3">
        <v>1</v>
      </c>
    </row>
    <row r="11" spans="1:203" ht="15.75" customHeight="1" x14ac:dyDescent="0.15">
      <c r="A11" s="13">
        <v>38441</v>
      </c>
      <c r="B11" s="3" t="s">
        <v>219</v>
      </c>
      <c r="C11" s="3">
        <v>21.295798999999999</v>
      </c>
      <c r="D11" s="3">
        <v>-158.10369900000001</v>
      </c>
      <c r="E11" s="3" t="s">
        <v>197</v>
      </c>
      <c r="F11" s="14">
        <v>0</v>
      </c>
      <c r="G11" s="14">
        <v>4.1666666666666664E-2</v>
      </c>
      <c r="H11" s="3">
        <v>5</v>
      </c>
      <c r="I11" s="3">
        <v>20</v>
      </c>
      <c r="J11" s="3" t="s">
        <v>217</v>
      </c>
      <c r="K11" s="3">
        <v>10</v>
      </c>
      <c r="L11" s="3">
        <v>30</v>
      </c>
      <c r="M11" s="3" t="s">
        <v>220</v>
      </c>
      <c r="Q11" s="3">
        <v>1</v>
      </c>
      <c r="AH11" s="3">
        <v>1</v>
      </c>
      <c r="AL11" s="3">
        <v>1</v>
      </c>
      <c r="BD11" s="3">
        <v>1</v>
      </c>
      <c r="BL11" s="3">
        <v>1</v>
      </c>
      <c r="BP11" s="3">
        <v>1</v>
      </c>
      <c r="BV11" s="3">
        <v>1</v>
      </c>
      <c r="BY11" s="3">
        <v>1</v>
      </c>
      <c r="CB11" s="3">
        <v>1</v>
      </c>
      <c r="DL11" s="3">
        <v>1</v>
      </c>
      <c r="DP11" s="3">
        <v>1</v>
      </c>
      <c r="DY11" s="3">
        <v>1</v>
      </c>
      <c r="EC11" s="3">
        <v>1</v>
      </c>
      <c r="EI11" s="3">
        <v>1</v>
      </c>
      <c r="FA11" s="3">
        <v>1</v>
      </c>
      <c r="FB11" s="3">
        <v>1</v>
      </c>
      <c r="FQ11" s="3">
        <v>1</v>
      </c>
      <c r="GB11" s="3">
        <v>1</v>
      </c>
    </row>
    <row r="12" spans="1:203" ht="15.75" customHeight="1" x14ac:dyDescent="0.15">
      <c r="A12" s="13">
        <v>38464</v>
      </c>
      <c r="B12" s="3" t="s">
        <v>201</v>
      </c>
      <c r="C12" s="3">
        <v>21.25544</v>
      </c>
      <c r="D12" s="3">
        <v>-157.810303</v>
      </c>
      <c r="E12" s="3" t="s">
        <v>197</v>
      </c>
      <c r="F12" s="14">
        <v>0</v>
      </c>
      <c r="G12" s="14">
        <v>4.1666666666666664E-2</v>
      </c>
      <c r="H12" s="3">
        <v>5</v>
      </c>
      <c r="I12" s="3">
        <v>9</v>
      </c>
      <c r="J12" s="3" t="s">
        <v>198</v>
      </c>
      <c r="K12" s="3">
        <v>10</v>
      </c>
      <c r="L12" s="3">
        <v>45</v>
      </c>
      <c r="M12" s="3" t="s">
        <v>221</v>
      </c>
      <c r="Q12" s="3">
        <v>1</v>
      </c>
      <c r="AE12" s="3">
        <v>1</v>
      </c>
      <c r="BP12" s="3">
        <v>1</v>
      </c>
      <c r="BV12" s="3">
        <v>1</v>
      </c>
      <c r="BY12" s="3">
        <v>1</v>
      </c>
      <c r="CA12" s="3">
        <v>1</v>
      </c>
      <c r="CI12" s="3">
        <v>1</v>
      </c>
      <c r="CR12" s="3">
        <v>1</v>
      </c>
      <c r="DL12" s="3">
        <v>1</v>
      </c>
      <c r="DO12" s="3">
        <v>1</v>
      </c>
      <c r="DR12" s="3">
        <v>1</v>
      </c>
      <c r="DS12" s="3">
        <v>1</v>
      </c>
      <c r="DT12" s="3">
        <v>1</v>
      </c>
      <c r="EB12" s="3">
        <v>1</v>
      </c>
      <c r="EI12" s="3">
        <v>1</v>
      </c>
      <c r="FA12" s="3">
        <v>1</v>
      </c>
      <c r="FQ12" s="3">
        <v>1</v>
      </c>
      <c r="GB12" s="3">
        <v>1</v>
      </c>
    </row>
    <row r="13" spans="1:203" ht="15.75" customHeight="1" x14ac:dyDescent="0.15">
      <c r="A13" s="13">
        <v>38469</v>
      </c>
      <c r="B13" s="3" t="s">
        <v>219</v>
      </c>
      <c r="C13" s="3">
        <v>21.295798999999999</v>
      </c>
      <c r="D13" s="3">
        <v>-158.10369900000001</v>
      </c>
      <c r="E13" s="3" t="s">
        <v>197</v>
      </c>
      <c r="F13" s="14">
        <v>0</v>
      </c>
      <c r="G13" s="14">
        <v>4.1666666666666664E-2</v>
      </c>
      <c r="H13" s="3">
        <v>4</v>
      </c>
      <c r="I13" s="3">
        <v>20</v>
      </c>
      <c r="J13" s="3" t="s">
        <v>217</v>
      </c>
      <c r="K13" s="3">
        <v>10</v>
      </c>
      <c r="L13" s="3">
        <v>29</v>
      </c>
      <c r="M13" s="3" t="s">
        <v>222</v>
      </c>
      <c r="Q13" s="3">
        <v>1</v>
      </c>
      <c r="AP13" s="3">
        <v>1</v>
      </c>
      <c r="BP13" s="3">
        <v>1</v>
      </c>
      <c r="BV13" s="3">
        <v>1</v>
      </c>
      <c r="BY13" s="3">
        <v>1</v>
      </c>
      <c r="DG13" s="3">
        <v>1</v>
      </c>
      <c r="DL13" s="3">
        <v>1</v>
      </c>
      <c r="DY13" s="3">
        <v>1</v>
      </c>
      <c r="EC13" s="3">
        <v>1</v>
      </c>
      <c r="EI13" s="3">
        <v>1</v>
      </c>
      <c r="FA13" s="3">
        <v>1</v>
      </c>
      <c r="FQ13" s="3">
        <v>1</v>
      </c>
      <c r="GB13" s="3">
        <v>1</v>
      </c>
    </row>
    <row r="14" spans="1:203" ht="15.75" customHeight="1" x14ac:dyDescent="0.15">
      <c r="A14" s="13">
        <v>38471</v>
      </c>
      <c r="B14" s="3" t="s">
        <v>216</v>
      </c>
      <c r="C14" s="3">
        <v>21.3002</v>
      </c>
      <c r="D14" s="3">
        <v>-157.882599</v>
      </c>
      <c r="E14" s="3" t="s">
        <v>197</v>
      </c>
      <c r="F14" s="14">
        <v>0</v>
      </c>
      <c r="G14" s="14">
        <v>4.1666666666666664E-2</v>
      </c>
      <c r="H14" s="3">
        <v>6</v>
      </c>
      <c r="I14" s="3">
        <v>22</v>
      </c>
      <c r="J14" s="3" t="s">
        <v>217</v>
      </c>
      <c r="K14" s="3">
        <v>10</v>
      </c>
      <c r="L14" s="3">
        <v>36</v>
      </c>
      <c r="M14" s="3" t="s">
        <v>223</v>
      </c>
      <c r="Q14" s="3">
        <v>1</v>
      </c>
      <c r="AB14" s="3">
        <v>1</v>
      </c>
      <c r="BL14" s="3">
        <v>1</v>
      </c>
      <c r="CB14" s="3">
        <v>1</v>
      </c>
      <c r="CU14" s="3">
        <v>1</v>
      </c>
      <c r="DR14" s="3">
        <v>1</v>
      </c>
      <c r="DY14" s="3">
        <v>1</v>
      </c>
      <c r="EB14" s="3">
        <v>1</v>
      </c>
      <c r="EI14" s="3">
        <v>1</v>
      </c>
      <c r="FB14" s="3">
        <v>1</v>
      </c>
      <c r="FD14" s="3">
        <v>1</v>
      </c>
      <c r="FI14" s="3">
        <v>1</v>
      </c>
      <c r="FQ14" s="3">
        <v>1</v>
      </c>
      <c r="GB14" s="3">
        <v>1</v>
      </c>
    </row>
    <row r="15" spans="1:203" ht="15.75" customHeight="1" x14ac:dyDescent="0.15">
      <c r="A15" s="13">
        <v>38473</v>
      </c>
      <c r="B15" s="3" t="s">
        <v>201</v>
      </c>
      <c r="C15" s="3">
        <v>21.25544</v>
      </c>
      <c r="D15" s="3">
        <v>-157.810303</v>
      </c>
      <c r="E15" s="3" t="s">
        <v>197</v>
      </c>
      <c r="F15" s="14">
        <v>0</v>
      </c>
      <c r="G15" s="14">
        <v>4.1666666666666664E-2</v>
      </c>
      <c r="H15" s="3">
        <v>3</v>
      </c>
      <c r="I15" s="3">
        <v>9</v>
      </c>
      <c r="J15" s="3" t="s">
        <v>198</v>
      </c>
      <c r="K15" s="3">
        <v>10</v>
      </c>
      <c r="L15" s="3">
        <v>27</v>
      </c>
      <c r="Q15" s="3">
        <v>1</v>
      </c>
      <c r="BA15" s="3">
        <v>1</v>
      </c>
      <c r="BP15" s="3">
        <v>1</v>
      </c>
      <c r="BY15" s="3">
        <v>1</v>
      </c>
      <c r="DL15" s="3">
        <v>1</v>
      </c>
      <c r="DR15" s="3">
        <v>1</v>
      </c>
      <c r="EI15" s="3">
        <v>1</v>
      </c>
      <c r="FA15" s="3">
        <v>1</v>
      </c>
      <c r="FQ15" s="3">
        <v>1</v>
      </c>
      <c r="GB15" s="3">
        <v>1</v>
      </c>
    </row>
    <row r="16" spans="1:203" ht="15.75" customHeight="1" x14ac:dyDescent="0.15">
      <c r="A16" s="13">
        <v>38473</v>
      </c>
      <c r="B16" s="3" t="s">
        <v>219</v>
      </c>
      <c r="C16" s="3">
        <v>21.295798999999999</v>
      </c>
      <c r="D16" s="3">
        <v>-158.10369900000001</v>
      </c>
      <c r="E16" s="3" t="s">
        <v>197</v>
      </c>
      <c r="F16" s="14">
        <v>0</v>
      </c>
      <c r="G16" s="14">
        <v>4.1666666666666664E-2</v>
      </c>
      <c r="H16" s="3">
        <v>6</v>
      </c>
      <c r="I16" s="3">
        <v>20</v>
      </c>
      <c r="J16" s="3" t="s">
        <v>217</v>
      </c>
      <c r="K16" s="3">
        <v>10</v>
      </c>
      <c r="L16" s="3">
        <v>34</v>
      </c>
      <c r="M16" s="3" t="s">
        <v>224</v>
      </c>
      <c r="Q16" s="3">
        <v>1</v>
      </c>
      <c r="BP16" s="3">
        <v>1</v>
      </c>
      <c r="BV16" s="3">
        <v>1</v>
      </c>
      <c r="BY16" s="3">
        <v>1</v>
      </c>
      <c r="CR16" s="3">
        <v>1</v>
      </c>
      <c r="DL16" s="3">
        <v>1</v>
      </c>
      <c r="DY16" s="3">
        <v>1</v>
      </c>
      <c r="EC16" s="3">
        <v>1</v>
      </c>
      <c r="EI16" s="3">
        <v>1</v>
      </c>
      <c r="FA16" s="3">
        <v>1</v>
      </c>
      <c r="FB16" s="3">
        <v>1</v>
      </c>
      <c r="FQ16" s="3">
        <v>1</v>
      </c>
      <c r="GB16" s="3">
        <v>1</v>
      </c>
    </row>
    <row r="17" spans="1:186" ht="15.75" customHeight="1" x14ac:dyDescent="0.15">
      <c r="A17" s="13">
        <v>38478</v>
      </c>
      <c r="B17" s="3" t="s">
        <v>216</v>
      </c>
      <c r="C17" s="3">
        <v>21.3002</v>
      </c>
      <c r="D17" s="3">
        <v>-157.882599</v>
      </c>
      <c r="E17" s="3" t="s">
        <v>197</v>
      </c>
      <c r="F17" s="14">
        <v>0</v>
      </c>
      <c r="G17" s="14">
        <v>4.1666666666666664E-2</v>
      </c>
      <c r="H17" s="3">
        <v>4</v>
      </c>
      <c r="I17" s="3">
        <v>22</v>
      </c>
      <c r="J17" s="3" t="s">
        <v>217</v>
      </c>
      <c r="K17" s="3">
        <v>10</v>
      </c>
      <c r="L17" s="3">
        <v>38</v>
      </c>
      <c r="M17" s="3" t="s">
        <v>225</v>
      </c>
      <c r="Q17" s="3">
        <v>1</v>
      </c>
      <c r="BY17" s="3">
        <v>1</v>
      </c>
      <c r="CU17" s="3">
        <v>1</v>
      </c>
      <c r="DR17" s="3">
        <v>1</v>
      </c>
      <c r="EI17" s="3">
        <v>1</v>
      </c>
      <c r="FQ17" s="3">
        <v>1</v>
      </c>
      <c r="GB17" s="3">
        <v>1</v>
      </c>
    </row>
    <row r="18" spans="1:186" ht="15.75" customHeight="1" x14ac:dyDescent="0.15">
      <c r="A18" s="13">
        <v>38479</v>
      </c>
      <c r="B18" s="3" t="s">
        <v>226</v>
      </c>
      <c r="C18" s="3">
        <v>21.706499000000001</v>
      </c>
      <c r="D18" s="3">
        <v>-157.99850499999999</v>
      </c>
      <c r="E18" s="3" t="s">
        <v>197</v>
      </c>
      <c r="F18" s="14">
        <v>0</v>
      </c>
      <c r="G18" s="14">
        <v>4.1666666666666664E-2</v>
      </c>
      <c r="H18" s="3">
        <v>3</v>
      </c>
      <c r="I18" s="3">
        <v>27</v>
      </c>
      <c r="J18" s="3" t="s">
        <v>227</v>
      </c>
      <c r="K18" s="3">
        <v>10</v>
      </c>
      <c r="L18" s="3">
        <v>22</v>
      </c>
      <c r="M18" s="3" t="s">
        <v>228</v>
      </c>
      <c r="AB18" s="3">
        <v>1</v>
      </c>
      <c r="BG18" s="3">
        <v>1</v>
      </c>
      <c r="BV18" s="3">
        <v>1</v>
      </c>
      <c r="BY18" s="3">
        <v>1</v>
      </c>
      <c r="CB18" s="3">
        <v>1</v>
      </c>
      <c r="CR18" s="3">
        <v>1</v>
      </c>
      <c r="DB18" s="3">
        <v>1</v>
      </c>
      <c r="DL18" s="3">
        <v>1</v>
      </c>
      <c r="DU18" s="3">
        <v>1</v>
      </c>
      <c r="EI18" s="3">
        <v>1</v>
      </c>
      <c r="FA18" s="3">
        <v>1</v>
      </c>
      <c r="FP18" s="3">
        <v>1</v>
      </c>
      <c r="FQ18" s="3">
        <v>1</v>
      </c>
      <c r="GB18" s="3">
        <v>1</v>
      </c>
      <c r="GD18" s="3">
        <v>1</v>
      </c>
    </row>
    <row r="19" spans="1:186" ht="15.75" customHeight="1" x14ac:dyDescent="0.15">
      <c r="A19" s="13">
        <v>38493</v>
      </c>
      <c r="B19" s="3" t="s">
        <v>226</v>
      </c>
      <c r="C19" s="3">
        <v>21.706499000000001</v>
      </c>
      <c r="D19" s="3">
        <v>-157.99850499999999</v>
      </c>
      <c r="E19" s="3" t="s">
        <v>197</v>
      </c>
      <c r="F19" s="14">
        <v>0</v>
      </c>
      <c r="G19" s="14">
        <v>4.1666666666666664E-2</v>
      </c>
      <c r="H19" s="3">
        <v>2</v>
      </c>
      <c r="I19" s="3">
        <v>27</v>
      </c>
      <c r="J19" s="3" t="s">
        <v>227</v>
      </c>
      <c r="K19" s="3">
        <v>10</v>
      </c>
      <c r="L19" s="3">
        <v>11</v>
      </c>
      <c r="M19" s="3" t="s">
        <v>229</v>
      </c>
      <c r="BG19" s="3">
        <v>1</v>
      </c>
      <c r="BV19" s="3">
        <v>1</v>
      </c>
      <c r="BY19" s="3">
        <v>1</v>
      </c>
      <c r="DU19" s="3">
        <v>1</v>
      </c>
      <c r="EC19" s="3">
        <v>1</v>
      </c>
      <c r="EI19" s="3">
        <v>1</v>
      </c>
      <c r="FA19" s="3">
        <v>1</v>
      </c>
      <c r="FP19" s="3">
        <v>1</v>
      </c>
      <c r="FQ19" s="3">
        <v>1</v>
      </c>
      <c r="GB19" s="3">
        <v>1</v>
      </c>
    </row>
    <row r="20" spans="1:186" ht="15.75" customHeight="1" x14ac:dyDescent="0.15">
      <c r="A20" s="13">
        <v>38496</v>
      </c>
      <c r="B20" s="3" t="s">
        <v>230</v>
      </c>
      <c r="C20" s="3">
        <v>20.753699999999998</v>
      </c>
      <c r="D20" s="3">
        <v>-156.46090699999999</v>
      </c>
      <c r="E20" s="3" t="s">
        <v>197</v>
      </c>
      <c r="F20" s="14">
        <v>0</v>
      </c>
      <c r="G20" s="14">
        <v>4.1666666666666664E-2</v>
      </c>
      <c r="H20" s="3">
        <v>5</v>
      </c>
      <c r="I20" s="3">
        <v>15</v>
      </c>
      <c r="J20" s="3" t="s">
        <v>217</v>
      </c>
      <c r="K20" s="3">
        <v>8</v>
      </c>
      <c r="L20" s="3">
        <v>36</v>
      </c>
      <c r="M20" s="3" t="s">
        <v>231</v>
      </c>
      <c r="Q20" s="3">
        <v>1</v>
      </c>
      <c r="BG20" s="3">
        <v>1</v>
      </c>
      <c r="BL20" s="3">
        <v>1</v>
      </c>
      <c r="DE20" s="3">
        <v>1</v>
      </c>
      <c r="DL20" s="3">
        <v>1</v>
      </c>
      <c r="EG20" s="3">
        <v>1</v>
      </c>
      <c r="EI20" s="3">
        <v>1</v>
      </c>
      <c r="FA20" s="3">
        <v>1</v>
      </c>
      <c r="FQ20" s="3">
        <v>1</v>
      </c>
      <c r="FR20" s="3">
        <v>1</v>
      </c>
      <c r="FT20" s="3">
        <v>1</v>
      </c>
      <c r="GB20" s="3">
        <v>1</v>
      </c>
    </row>
    <row r="21" spans="1:186" ht="15.75" customHeight="1" x14ac:dyDescent="0.15">
      <c r="A21" s="13">
        <v>38507</v>
      </c>
      <c r="B21" s="3" t="s">
        <v>226</v>
      </c>
      <c r="C21" s="3">
        <v>21.706499000000001</v>
      </c>
      <c r="D21" s="3">
        <v>-157.99850499999999</v>
      </c>
      <c r="E21" s="3" t="s">
        <v>197</v>
      </c>
      <c r="F21" s="14">
        <v>0</v>
      </c>
      <c r="G21" s="14">
        <v>4.1666666666666664E-2</v>
      </c>
      <c r="H21" s="3">
        <v>3</v>
      </c>
      <c r="I21" s="3">
        <v>27</v>
      </c>
      <c r="J21" s="3" t="s">
        <v>227</v>
      </c>
      <c r="K21" s="3">
        <v>10</v>
      </c>
      <c r="L21" s="3">
        <v>20</v>
      </c>
      <c r="M21" s="3" t="s">
        <v>232</v>
      </c>
      <c r="Q21" s="3">
        <v>1</v>
      </c>
      <c r="R21" s="3">
        <v>1</v>
      </c>
      <c r="BA21" s="3">
        <v>1</v>
      </c>
      <c r="BG21" s="3">
        <v>1</v>
      </c>
      <c r="BL21" s="3">
        <v>1</v>
      </c>
      <c r="BV21" s="3">
        <v>1</v>
      </c>
      <c r="BY21" s="3">
        <v>1</v>
      </c>
      <c r="CB21" s="3">
        <v>1</v>
      </c>
      <c r="CC21" s="3">
        <v>1</v>
      </c>
      <c r="CR21" s="3">
        <v>1</v>
      </c>
      <c r="CV21" s="3">
        <v>1</v>
      </c>
      <c r="DB21" s="3">
        <v>1</v>
      </c>
      <c r="DL21" s="3">
        <v>1</v>
      </c>
      <c r="DU21" s="3">
        <v>1</v>
      </c>
      <c r="EI21" s="3">
        <v>1</v>
      </c>
      <c r="FA21" s="3">
        <v>1</v>
      </c>
      <c r="FP21" s="3">
        <v>1</v>
      </c>
      <c r="FQ21" s="3">
        <v>1</v>
      </c>
      <c r="GB21" s="3">
        <v>1</v>
      </c>
    </row>
    <row r="22" spans="1:186" ht="15.75" customHeight="1" x14ac:dyDescent="0.15">
      <c r="A22" s="13">
        <v>38824</v>
      </c>
      <c r="B22" s="3" t="s">
        <v>233</v>
      </c>
      <c r="C22" s="3">
        <v>21.066799</v>
      </c>
      <c r="D22" s="3">
        <v>-156.804993</v>
      </c>
      <c r="E22" s="3" t="s">
        <v>197</v>
      </c>
      <c r="F22" s="14">
        <v>0</v>
      </c>
      <c r="G22" s="14">
        <v>4.1666666666666664E-2</v>
      </c>
      <c r="H22" s="3">
        <v>3</v>
      </c>
      <c r="I22" s="3">
        <v>27</v>
      </c>
      <c r="J22" s="3" t="s">
        <v>227</v>
      </c>
      <c r="K22" s="3">
        <v>10</v>
      </c>
      <c r="L22" s="3">
        <v>29</v>
      </c>
      <c r="M22" s="3" t="s">
        <v>234</v>
      </c>
      <c r="Q22" s="3">
        <v>1</v>
      </c>
      <c r="BA22" s="3">
        <v>1</v>
      </c>
      <c r="BL22" s="3">
        <v>1</v>
      </c>
      <c r="BX22" s="3">
        <v>1</v>
      </c>
      <c r="CF22" s="3">
        <v>1</v>
      </c>
      <c r="CN22" s="3">
        <v>1</v>
      </c>
      <c r="DC22" s="3">
        <v>1</v>
      </c>
      <c r="DL22" s="3">
        <v>1</v>
      </c>
      <c r="DR22" s="3">
        <v>1</v>
      </c>
      <c r="EI22" s="3">
        <v>1</v>
      </c>
      <c r="FA22" s="3">
        <v>1</v>
      </c>
      <c r="FP22" s="3">
        <v>1</v>
      </c>
    </row>
    <row r="23" spans="1:186" ht="15.75" customHeight="1" x14ac:dyDescent="0.15">
      <c r="A23" s="13">
        <v>38824</v>
      </c>
      <c r="B23" s="3" t="s">
        <v>201</v>
      </c>
      <c r="C23" s="3">
        <v>21.25544</v>
      </c>
      <c r="D23" s="3">
        <v>-157.810303</v>
      </c>
      <c r="E23" s="3" t="s">
        <v>197</v>
      </c>
      <c r="F23" s="14">
        <v>0</v>
      </c>
      <c r="G23" s="14">
        <v>4.1666666666666664E-2</v>
      </c>
      <c r="H23" s="3">
        <v>6</v>
      </c>
      <c r="I23" s="3">
        <v>11</v>
      </c>
      <c r="J23" s="3" t="s">
        <v>198</v>
      </c>
      <c r="K23" s="3">
        <v>12</v>
      </c>
      <c r="L23" s="3">
        <v>53</v>
      </c>
      <c r="M23" s="3" t="s">
        <v>235</v>
      </c>
      <c r="Q23" s="3">
        <v>1</v>
      </c>
      <c r="AD23" s="3">
        <v>1</v>
      </c>
      <c r="AE23" s="3">
        <v>1</v>
      </c>
      <c r="BG23" s="3">
        <v>1</v>
      </c>
      <c r="BP23" s="3">
        <v>1</v>
      </c>
      <c r="BV23" s="3">
        <v>1</v>
      </c>
      <c r="BY23" s="3">
        <v>1</v>
      </c>
      <c r="CR23" s="3">
        <v>1</v>
      </c>
      <c r="DL23" s="3">
        <v>1</v>
      </c>
      <c r="DO23" s="3">
        <v>1</v>
      </c>
      <c r="DY23" s="3">
        <v>1</v>
      </c>
      <c r="EI23" s="3">
        <v>1</v>
      </c>
      <c r="FA23" s="3">
        <v>1</v>
      </c>
      <c r="FB23" s="3">
        <v>1</v>
      </c>
      <c r="FP23" s="3">
        <v>1</v>
      </c>
      <c r="FQ23" s="3">
        <v>1</v>
      </c>
      <c r="FS23" s="3">
        <v>1</v>
      </c>
      <c r="GB23" s="3">
        <v>1</v>
      </c>
    </row>
    <row r="24" spans="1:186" ht="15.75" customHeight="1" x14ac:dyDescent="0.15">
      <c r="A24" s="13">
        <v>38825</v>
      </c>
      <c r="B24" s="3" t="s">
        <v>230</v>
      </c>
      <c r="C24" s="3">
        <v>20.753699999999998</v>
      </c>
      <c r="D24" s="3">
        <v>-156.46090699999999</v>
      </c>
      <c r="E24" s="3" t="s">
        <v>197</v>
      </c>
      <c r="F24" s="14">
        <v>0</v>
      </c>
      <c r="G24" s="14">
        <v>4.1666666666666664E-2</v>
      </c>
      <c r="H24" s="3">
        <v>5</v>
      </c>
      <c r="I24" s="3">
        <v>22</v>
      </c>
      <c r="J24" s="3" t="s">
        <v>217</v>
      </c>
      <c r="K24" s="3">
        <v>14</v>
      </c>
      <c r="L24" s="3">
        <v>42</v>
      </c>
      <c r="M24" s="3" t="s">
        <v>236</v>
      </c>
      <c r="Q24" s="3">
        <v>1</v>
      </c>
      <c r="BJ24" s="3">
        <v>1</v>
      </c>
      <c r="BL24" s="3">
        <v>1</v>
      </c>
      <c r="BW24" s="3">
        <v>1</v>
      </c>
      <c r="DE24" s="3">
        <v>1</v>
      </c>
      <c r="DL24" s="3">
        <v>1</v>
      </c>
      <c r="EC24" s="3">
        <v>1</v>
      </c>
      <c r="EI24" s="3">
        <v>1</v>
      </c>
      <c r="FA24" s="3">
        <v>1</v>
      </c>
      <c r="FM24" s="3">
        <v>1</v>
      </c>
      <c r="FQ24" s="3">
        <v>1</v>
      </c>
      <c r="FR24" s="3">
        <v>1</v>
      </c>
      <c r="FT24" s="3">
        <v>1</v>
      </c>
    </row>
    <row r="25" spans="1:186" ht="15.75" customHeight="1" x14ac:dyDescent="0.15">
      <c r="A25" s="13">
        <v>38834</v>
      </c>
      <c r="B25" s="3" t="s">
        <v>219</v>
      </c>
      <c r="C25" s="3">
        <v>21.295798999999999</v>
      </c>
      <c r="D25" s="3">
        <v>-158.10369900000001</v>
      </c>
      <c r="E25" s="3" t="s">
        <v>197</v>
      </c>
      <c r="F25" s="14">
        <v>0</v>
      </c>
      <c r="G25" s="14">
        <v>4.1666666666666664E-2</v>
      </c>
      <c r="H25" s="3">
        <v>4</v>
      </c>
      <c r="I25" s="3">
        <v>25</v>
      </c>
      <c r="J25" s="3" t="s">
        <v>237</v>
      </c>
      <c r="K25" s="3">
        <v>5</v>
      </c>
      <c r="L25" s="3">
        <v>16</v>
      </c>
      <c r="M25" s="3" t="s">
        <v>238</v>
      </c>
      <c r="Q25" s="3">
        <v>1</v>
      </c>
      <c r="BC25" s="3">
        <v>1</v>
      </c>
      <c r="BL25" s="3">
        <v>1</v>
      </c>
      <c r="BP25" s="3">
        <v>1</v>
      </c>
      <c r="BT25" s="3">
        <v>1</v>
      </c>
      <c r="BV25" s="3">
        <v>1</v>
      </c>
      <c r="DL25" s="3">
        <v>1</v>
      </c>
      <c r="EB25" s="3">
        <v>1</v>
      </c>
      <c r="EC25" s="3">
        <v>1</v>
      </c>
      <c r="EI25" s="3">
        <v>1</v>
      </c>
      <c r="FA25" s="3">
        <v>1</v>
      </c>
      <c r="FQ25" s="3">
        <v>1</v>
      </c>
    </row>
    <row r="26" spans="1:186" ht="15.75" customHeight="1" x14ac:dyDescent="0.15">
      <c r="A26" s="13">
        <v>38835</v>
      </c>
      <c r="B26" s="3" t="s">
        <v>216</v>
      </c>
      <c r="C26" s="3">
        <v>21.3002</v>
      </c>
      <c r="D26" s="3">
        <v>-157.882599</v>
      </c>
      <c r="E26" s="3" t="s">
        <v>197</v>
      </c>
      <c r="F26" s="14">
        <v>0</v>
      </c>
      <c r="G26" s="14">
        <v>4.1666666666666664E-2</v>
      </c>
      <c r="H26" s="3">
        <v>3</v>
      </c>
      <c r="I26" s="3">
        <v>25</v>
      </c>
      <c r="J26" s="3" t="s">
        <v>237</v>
      </c>
      <c r="K26" s="3">
        <v>5</v>
      </c>
      <c r="L26" s="3">
        <v>10</v>
      </c>
      <c r="M26" s="3" t="s">
        <v>239</v>
      </c>
      <c r="Q26" s="3">
        <v>1</v>
      </c>
      <c r="BD26" s="3">
        <v>1</v>
      </c>
      <c r="BU26" s="3">
        <v>1</v>
      </c>
      <c r="DL26" s="3">
        <v>1</v>
      </c>
      <c r="EI26" s="3">
        <v>1</v>
      </c>
      <c r="FA26" s="3">
        <v>1</v>
      </c>
      <c r="GB26" s="3">
        <v>1</v>
      </c>
    </row>
    <row r="27" spans="1:186" ht="15.75" customHeight="1" x14ac:dyDescent="0.15">
      <c r="A27" s="13">
        <v>38838</v>
      </c>
      <c r="B27" s="3" t="s">
        <v>240</v>
      </c>
      <c r="C27" s="3">
        <v>21.105899999999998</v>
      </c>
      <c r="D27" s="3">
        <v>-156.746094</v>
      </c>
      <c r="E27" s="3" t="s">
        <v>197</v>
      </c>
      <c r="F27" s="14">
        <v>0</v>
      </c>
      <c r="G27" s="14">
        <v>4.1666666666666664E-2</v>
      </c>
      <c r="H27" s="3">
        <v>3</v>
      </c>
      <c r="I27" s="3">
        <v>27</v>
      </c>
      <c r="J27" s="3" t="s">
        <v>227</v>
      </c>
      <c r="K27" s="3">
        <v>10</v>
      </c>
      <c r="L27" s="3">
        <v>27</v>
      </c>
      <c r="M27" s="3" t="s">
        <v>241</v>
      </c>
      <c r="AL27" s="3">
        <v>1</v>
      </c>
      <c r="BA27" s="3">
        <v>1</v>
      </c>
      <c r="BL27" s="3">
        <v>1</v>
      </c>
      <c r="CR27" s="3">
        <v>1</v>
      </c>
      <c r="EI27" s="3">
        <v>1</v>
      </c>
      <c r="FQ27" s="3">
        <v>1</v>
      </c>
    </row>
    <row r="28" spans="1:186" ht="15.75" customHeight="1" x14ac:dyDescent="0.15">
      <c r="A28" s="13">
        <v>38849</v>
      </c>
      <c r="B28" s="3" t="s">
        <v>219</v>
      </c>
      <c r="C28" s="3">
        <v>21.295798999999999</v>
      </c>
      <c r="D28" s="3">
        <v>-158.10369900000001</v>
      </c>
      <c r="E28" s="3" t="s">
        <v>197</v>
      </c>
      <c r="F28" s="14">
        <v>0</v>
      </c>
      <c r="G28" s="14">
        <v>4.1666666666666664E-2</v>
      </c>
      <c r="H28" s="3">
        <v>4</v>
      </c>
      <c r="I28" s="3">
        <v>25</v>
      </c>
      <c r="J28" s="3" t="s">
        <v>237</v>
      </c>
      <c r="K28" s="3">
        <v>5</v>
      </c>
      <c r="L28" s="3">
        <v>14</v>
      </c>
      <c r="M28" s="3" t="s">
        <v>242</v>
      </c>
      <c r="AC28" s="3">
        <v>1</v>
      </c>
      <c r="AL28" s="3">
        <v>1</v>
      </c>
      <c r="BP28" s="3">
        <v>1</v>
      </c>
      <c r="BV28" s="3">
        <v>1</v>
      </c>
      <c r="DG28" s="3">
        <v>1</v>
      </c>
      <c r="DL28" s="3">
        <v>1</v>
      </c>
      <c r="EB28" s="3">
        <v>1</v>
      </c>
      <c r="EI28" s="3">
        <v>1</v>
      </c>
      <c r="EU28" s="3">
        <v>1</v>
      </c>
      <c r="FA28" s="3">
        <v>1</v>
      </c>
      <c r="FB28" s="3">
        <v>1</v>
      </c>
      <c r="FQ28" s="3">
        <v>1</v>
      </c>
      <c r="GB28" s="3">
        <v>1</v>
      </c>
    </row>
    <row r="29" spans="1:186" ht="15.75" customHeight="1" x14ac:dyDescent="0.15">
      <c r="A29" s="13">
        <v>38852</v>
      </c>
      <c r="B29" s="3" t="s">
        <v>216</v>
      </c>
      <c r="C29" s="3">
        <v>21.3002</v>
      </c>
      <c r="D29" s="3">
        <v>-157.882599</v>
      </c>
      <c r="E29" s="3" t="s">
        <v>197</v>
      </c>
      <c r="F29" s="14">
        <v>0</v>
      </c>
      <c r="G29" s="14">
        <v>4.1666666666666664E-2</v>
      </c>
      <c r="H29" s="3">
        <v>7</v>
      </c>
      <c r="I29" s="3">
        <v>25</v>
      </c>
      <c r="J29" s="3" t="s">
        <v>237</v>
      </c>
      <c r="K29" s="3">
        <v>5</v>
      </c>
      <c r="L29" s="3">
        <v>23</v>
      </c>
      <c r="M29" s="3" t="s">
        <v>243</v>
      </c>
      <c r="Q29" s="3">
        <v>1</v>
      </c>
      <c r="AH29" s="3">
        <v>1</v>
      </c>
      <c r="BC29" s="3">
        <v>1</v>
      </c>
      <c r="BP29" s="3">
        <v>1</v>
      </c>
      <c r="BV29" s="3">
        <v>1</v>
      </c>
      <c r="CC29" s="3">
        <v>1</v>
      </c>
      <c r="DL29" s="3">
        <v>1</v>
      </c>
      <c r="DN29" s="3">
        <v>1</v>
      </c>
      <c r="DR29" s="3">
        <v>1</v>
      </c>
      <c r="EI29" s="3">
        <v>1</v>
      </c>
      <c r="FA29" s="3">
        <v>1</v>
      </c>
      <c r="FQ29" s="3">
        <v>1</v>
      </c>
    </row>
    <row r="30" spans="1:186" ht="15.75" customHeight="1" x14ac:dyDescent="0.15">
      <c r="A30" s="13">
        <v>38853</v>
      </c>
      <c r="B30" s="3" t="s">
        <v>244</v>
      </c>
      <c r="C30" s="3">
        <v>21.310611999999999</v>
      </c>
      <c r="D30" s="3">
        <v>-158.00441000000001</v>
      </c>
      <c r="E30" s="3" t="s">
        <v>197</v>
      </c>
      <c r="F30" s="14">
        <v>0</v>
      </c>
      <c r="G30" s="14">
        <v>4.1666666666666664E-2</v>
      </c>
      <c r="H30" s="3">
        <v>4</v>
      </c>
      <c r="I30" s="3">
        <v>20</v>
      </c>
      <c r="J30" s="3" t="s">
        <v>245</v>
      </c>
      <c r="K30" s="3">
        <v>5</v>
      </c>
      <c r="L30" s="3">
        <v>4</v>
      </c>
      <c r="M30" s="3">
        <v>4</v>
      </c>
      <c r="Q30" s="3">
        <v>1</v>
      </c>
      <c r="AW30" s="3">
        <v>1</v>
      </c>
      <c r="BL30" s="3">
        <v>1</v>
      </c>
      <c r="BP30" s="3">
        <v>1</v>
      </c>
      <c r="BT30" s="3">
        <v>1</v>
      </c>
      <c r="BW30" s="3">
        <v>1</v>
      </c>
      <c r="CR30" s="3">
        <v>1</v>
      </c>
      <c r="DC30" s="3">
        <v>1</v>
      </c>
      <c r="DL30" s="3">
        <v>1</v>
      </c>
      <c r="DT30" s="3"/>
      <c r="DU30" s="3">
        <v>1</v>
      </c>
      <c r="EI30" s="3">
        <v>1</v>
      </c>
      <c r="FA30" s="3">
        <v>1</v>
      </c>
      <c r="FP30" s="3">
        <v>1</v>
      </c>
      <c r="FQ30" s="3">
        <v>1</v>
      </c>
    </row>
    <row r="31" spans="1:186" ht="15.75" customHeight="1" x14ac:dyDescent="0.15">
      <c r="A31" s="13">
        <v>38854</v>
      </c>
      <c r="B31" s="3" t="s">
        <v>246</v>
      </c>
      <c r="C31" s="3">
        <v>21.2882</v>
      </c>
      <c r="D31" s="3">
        <v>-157.66799900000001</v>
      </c>
      <c r="E31" s="3" t="s">
        <v>197</v>
      </c>
      <c r="F31" s="14">
        <v>0</v>
      </c>
      <c r="G31" s="14">
        <v>4.1666666666666664E-2</v>
      </c>
      <c r="H31" s="3">
        <v>3</v>
      </c>
      <c r="I31" s="3">
        <v>20</v>
      </c>
      <c r="J31" s="3" t="s">
        <v>245</v>
      </c>
      <c r="K31" s="3">
        <v>5</v>
      </c>
      <c r="L31" s="3">
        <v>4</v>
      </c>
      <c r="M31" s="3">
        <v>4</v>
      </c>
      <c r="Q31" s="3">
        <v>1</v>
      </c>
      <c r="BG31" s="3">
        <v>1</v>
      </c>
      <c r="BJ31" s="3">
        <v>1</v>
      </c>
      <c r="BV31" s="3">
        <v>1</v>
      </c>
      <c r="CI31" s="3">
        <v>1</v>
      </c>
      <c r="CN31" s="3">
        <v>1</v>
      </c>
      <c r="DL31" s="3">
        <v>1</v>
      </c>
      <c r="DN31" s="3">
        <v>1</v>
      </c>
      <c r="DY31" s="3">
        <v>1</v>
      </c>
      <c r="EI31" s="3">
        <v>1</v>
      </c>
      <c r="FA31" s="3">
        <v>1</v>
      </c>
      <c r="FP31" s="3">
        <v>1</v>
      </c>
      <c r="FQ31" s="3">
        <v>1</v>
      </c>
    </row>
    <row r="32" spans="1:186" ht="15.75" customHeight="1" x14ac:dyDescent="0.15">
      <c r="A32" s="13">
        <v>39177</v>
      </c>
      <c r="B32" s="3" t="s">
        <v>247</v>
      </c>
      <c r="C32" s="3">
        <v>19.488199000000002</v>
      </c>
      <c r="D32" s="3">
        <v>-154.81930500000001</v>
      </c>
      <c r="E32" s="3" t="s">
        <v>197</v>
      </c>
      <c r="F32" s="14">
        <v>0</v>
      </c>
      <c r="G32" s="14">
        <v>4.1666666666666664E-2</v>
      </c>
      <c r="H32" s="3">
        <v>4</v>
      </c>
      <c r="I32" s="3">
        <v>20</v>
      </c>
      <c r="J32" s="3" t="s">
        <v>245</v>
      </c>
      <c r="K32" s="3">
        <v>5</v>
      </c>
      <c r="L32" s="3">
        <v>13</v>
      </c>
      <c r="M32" s="3" t="s">
        <v>248</v>
      </c>
      <c r="AL32" s="3">
        <v>1</v>
      </c>
      <c r="CB32" s="3">
        <v>1</v>
      </c>
      <c r="DL32" s="3">
        <v>1</v>
      </c>
      <c r="DW32" s="3">
        <v>1</v>
      </c>
      <c r="FL32" s="3">
        <v>1</v>
      </c>
      <c r="FQ32" s="3">
        <v>1</v>
      </c>
      <c r="GB32" s="3">
        <v>1</v>
      </c>
    </row>
    <row r="33" spans="1:186" ht="15.75" customHeight="1" x14ac:dyDescent="0.15">
      <c r="A33" s="13">
        <v>39190</v>
      </c>
      <c r="B33" s="3" t="s">
        <v>201</v>
      </c>
      <c r="C33" s="3">
        <v>21.25544</v>
      </c>
      <c r="D33" s="3">
        <v>-157.810303</v>
      </c>
      <c r="E33" s="3" t="s">
        <v>197</v>
      </c>
      <c r="F33" s="14">
        <v>0</v>
      </c>
      <c r="G33" s="14">
        <v>4.1666666666666664E-2</v>
      </c>
      <c r="H33" s="3">
        <v>7</v>
      </c>
      <c r="I33" s="3">
        <v>11</v>
      </c>
      <c r="J33" s="3" t="s">
        <v>198</v>
      </c>
      <c r="K33" s="3">
        <v>12</v>
      </c>
      <c r="L33" s="3">
        <v>74</v>
      </c>
      <c r="M33" s="3" t="s">
        <v>249</v>
      </c>
      <c r="Q33" s="3">
        <v>1</v>
      </c>
      <c r="X33" s="3">
        <v>1</v>
      </c>
      <c r="AE33" s="3">
        <v>1</v>
      </c>
      <c r="AL33" s="3">
        <v>1</v>
      </c>
      <c r="AY33" s="3">
        <v>1</v>
      </c>
      <c r="BA33" s="3">
        <v>1</v>
      </c>
      <c r="BE33" s="3">
        <v>1</v>
      </c>
      <c r="BL33" s="3">
        <v>1</v>
      </c>
      <c r="BP33" s="3">
        <v>1</v>
      </c>
      <c r="BS33" s="3">
        <v>1</v>
      </c>
      <c r="BT33" s="3">
        <v>1</v>
      </c>
      <c r="BV33" s="3">
        <v>1</v>
      </c>
      <c r="BW33" s="3">
        <v>1</v>
      </c>
      <c r="BX33" s="3">
        <v>1</v>
      </c>
      <c r="CA33" s="3">
        <v>1</v>
      </c>
      <c r="CI33" s="3">
        <v>1</v>
      </c>
      <c r="CN33" s="3">
        <v>1</v>
      </c>
      <c r="CR33" s="3">
        <v>1</v>
      </c>
      <c r="CU33" s="3">
        <v>1</v>
      </c>
      <c r="DC33" s="3">
        <v>1</v>
      </c>
      <c r="DE33" s="3">
        <v>1</v>
      </c>
      <c r="DK33" s="3">
        <v>1</v>
      </c>
      <c r="DL33" s="3">
        <v>1</v>
      </c>
      <c r="DO33" s="3">
        <v>1</v>
      </c>
      <c r="DR33" s="3">
        <v>1</v>
      </c>
      <c r="DT33" s="3"/>
      <c r="DU33" s="3">
        <v>1</v>
      </c>
      <c r="EC33" s="3">
        <v>1</v>
      </c>
      <c r="EI33" s="3">
        <v>1</v>
      </c>
      <c r="EV33" s="3">
        <v>1</v>
      </c>
      <c r="FA33" s="3">
        <v>1</v>
      </c>
      <c r="FB33" s="3">
        <v>1</v>
      </c>
      <c r="FH33" s="3">
        <v>1</v>
      </c>
      <c r="FP33" s="3">
        <v>1</v>
      </c>
      <c r="FQ33" s="3">
        <v>1</v>
      </c>
      <c r="GA33" s="3">
        <v>1</v>
      </c>
      <c r="GB33" s="3">
        <v>1</v>
      </c>
      <c r="GD33" s="3">
        <v>1</v>
      </c>
    </row>
    <row r="34" spans="1:186" ht="15.75" customHeight="1" x14ac:dyDescent="0.15">
      <c r="A34" s="13">
        <v>39191</v>
      </c>
      <c r="B34" s="3" t="s">
        <v>250</v>
      </c>
      <c r="C34" s="3">
        <v>21.410399999999999</v>
      </c>
      <c r="D34" s="3">
        <v>-158.17770400000001</v>
      </c>
      <c r="E34" s="3" t="s">
        <v>197</v>
      </c>
      <c r="F34" s="14">
        <v>0</v>
      </c>
      <c r="G34" s="14">
        <v>4.1666666666666664E-2</v>
      </c>
      <c r="H34" s="3">
        <v>10</v>
      </c>
      <c r="I34" s="3">
        <v>20</v>
      </c>
      <c r="J34" s="3" t="s">
        <v>245</v>
      </c>
      <c r="K34" s="3">
        <v>6</v>
      </c>
      <c r="L34" s="3">
        <v>15</v>
      </c>
      <c r="M34" s="3" t="s">
        <v>251</v>
      </c>
      <c r="Q34" s="3">
        <v>1</v>
      </c>
      <c r="R34" s="3">
        <v>1</v>
      </c>
      <c r="AI34" s="3"/>
      <c r="AJ34" s="3">
        <v>1</v>
      </c>
      <c r="BF34" s="3">
        <v>1</v>
      </c>
      <c r="BH34" s="3">
        <v>1</v>
      </c>
      <c r="BJ34" s="3">
        <v>1</v>
      </c>
      <c r="BX34" s="3">
        <v>1</v>
      </c>
      <c r="BY34" s="3">
        <v>1</v>
      </c>
      <c r="CB34" s="3">
        <v>1</v>
      </c>
      <c r="CC34" s="3">
        <v>1</v>
      </c>
      <c r="DG34" s="3">
        <v>1</v>
      </c>
      <c r="DK34" s="3">
        <v>1</v>
      </c>
      <c r="DL34" s="3">
        <v>1</v>
      </c>
      <c r="EI34" s="3">
        <v>1</v>
      </c>
      <c r="EV34" s="3">
        <v>1</v>
      </c>
      <c r="FB34" s="3">
        <v>1</v>
      </c>
      <c r="FD34" s="3">
        <v>1</v>
      </c>
      <c r="FP34" s="3">
        <v>1</v>
      </c>
      <c r="FQ34" s="3">
        <v>1</v>
      </c>
      <c r="FR34" s="3">
        <v>1</v>
      </c>
      <c r="GA34" s="3">
        <v>1</v>
      </c>
      <c r="GB34" s="3">
        <v>1</v>
      </c>
    </row>
    <row r="35" spans="1:186" ht="15.75" customHeight="1" x14ac:dyDescent="0.15">
      <c r="A35" s="13">
        <v>39191</v>
      </c>
      <c r="B35" s="3" t="s">
        <v>201</v>
      </c>
      <c r="C35" s="3">
        <v>21.25544</v>
      </c>
      <c r="D35" s="3">
        <v>-157.810303</v>
      </c>
      <c r="E35" s="3" t="s">
        <v>197</v>
      </c>
      <c r="F35" s="14">
        <v>0</v>
      </c>
      <c r="G35" s="14">
        <v>4.1666666666666664E-2</v>
      </c>
      <c r="H35" s="3">
        <v>7</v>
      </c>
      <c r="I35" s="3">
        <v>11</v>
      </c>
      <c r="J35" s="3" t="s">
        <v>198</v>
      </c>
      <c r="K35" s="3">
        <v>12</v>
      </c>
      <c r="L35" s="3">
        <v>66</v>
      </c>
      <c r="M35" s="3" t="s">
        <v>252</v>
      </c>
      <c r="Q35" s="3">
        <v>1</v>
      </c>
      <c r="W35" s="3">
        <v>1</v>
      </c>
      <c r="Y35" s="3">
        <v>1</v>
      </c>
      <c r="AD35" s="3">
        <v>1</v>
      </c>
      <c r="AE35" s="3">
        <v>1</v>
      </c>
      <c r="AH35" s="3">
        <v>1</v>
      </c>
      <c r="AI35" s="3">
        <v>1</v>
      </c>
      <c r="AL35" s="3">
        <v>1</v>
      </c>
      <c r="BA35" s="3">
        <v>1</v>
      </c>
      <c r="BL35" s="3">
        <v>1</v>
      </c>
      <c r="BP35" s="3">
        <v>1</v>
      </c>
      <c r="BS35" s="3">
        <v>1</v>
      </c>
      <c r="BT35" s="3">
        <v>1</v>
      </c>
      <c r="BV35" s="3">
        <v>1</v>
      </c>
      <c r="BW35" s="3">
        <v>1</v>
      </c>
      <c r="BX35" s="3">
        <v>1</v>
      </c>
      <c r="CA35" s="3">
        <v>1</v>
      </c>
      <c r="CI35" s="3">
        <v>1</v>
      </c>
      <c r="CN35" s="3">
        <v>1</v>
      </c>
      <c r="CR35" s="3">
        <v>1</v>
      </c>
      <c r="CU35" s="3">
        <v>1</v>
      </c>
      <c r="DE35" s="3">
        <v>1</v>
      </c>
      <c r="DG35" s="3">
        <v>1</v>
      </c>
      <c r="DK35" s="3">
        <v>1</v>
      </c>
      <c r="DL35" s="3">
        <v>1</v>
      </c>
      <c r="DN35" s="3">
        <v>1</v>
      </c>
      <c r="DO35" s="3">
        <v>1</v>
      </c>
      <c r="DR35" s="3">
        <v>1</v>
      </c>
      <c r="DT35" s="3"/>
      <c r="DU35" s="3">
        <v>1</v>
      </c>
      <c r="DY35" s="3">
        <v>1</v>
      </c>
      <c r="EA35" s="3">
        <v>1</v>
      </c>
      <c r="EB35" s="3">
        <v>1</v>
      </c>
      <c r="EC35" s="3">
        <v>1</v>
      </c>
      <c r="EI35" s="3">
        <v>1</v>
      </c>
      <c r="EM35" s="3">
        <v>1</v>
      </c>
      <c r="EV35" s="3">
        <v>1</v>
      </c>
      <c r="FA35" s="3">
        <v>1</v>
      </c>
      <c r="FB35" s="3">
        <v>1</v>
      </c>
      <c r="FD35" s="3">
        <v>1</v>
      </c>
      <c r="FE35" s="3">
        <v>1</v>
      </c>
      <c r="FG35" s="3">
        <v>1</v>
      </c>
      <c r="FL35" s="3">
        <v>1</v>
      </c>
      <c r="FP35" s="3">
        <v>1</v>
      </c>
      <c r="FQ35" s="3">
        <v>1</v>
      </c>
      <c r="GA35" s="3">
        <v>1</v>
      </c>
      <c r="GB35" s="3">
        <v>1</v>
      </c>
    </row>
    <row r="36" spans="1:186" ht="15.75" customHeight="1" x14ac:dyDescent="0.15">
      <c r="A36" s="13">
        <v>39192</v>
      </c>
      <c r="B36" s="3" t="s">
        <v>230</v>
      </c>
      <c r="C36" s="3">
        <v>20.753699999999998</v>
      </c>
      <c r="D36" s="3">
        <v>-156.46090699999999</v>
      </c>
      <c r="E36" s="3" t="s">
        <v>197</v>
      </c>
      <c r="F36" s="14">
        <v>0</v>
      </c>
      <c r="G36" s="14">
        <v>4.1666666666666664E-2</v>
      </c>
      <c r="H36" s="3">
        <v>4</v>
      </c>
      <c r="I36" s="3">
        <v>9</v>
      </c>
      <c r="J36" s="3" t="s">
        <v>198</v>
      </c>
      <c r="K36" s="3">
        <v>10</v>
      </c>
      <c r="L36" s="3">
        <v>36</v>
      </c>
      <c r="M36" s="3" t="s">
        <v>253</v>
      </c>
      <c r="Q36" s="3">
        <v>1</v>
      </c>
      <c r="Y36" s="3">
        <v>1</v>
      </c>
      <c r="AC36" s="3">
        <v>1</v>
      </c>
      <c r="AL36" s="3">
        <v>1</v>
      </c>
      <c r="AM36" s="3">
        <v>1</v>
      </c>
      <c r="AN36" s="3"/>
      <c r="AO36" s="3">
        <v>1</v>
      </c>
      <c r="BG36" s="3">
        <v>1</v>
      </c>
      <c r="BJ36" s="3">
        <v>1</v>
      </c>
      <c r="BL36" s="3">
        <v>1</v>
      </c>
      <c r="BW36" s="3">
        <v>1</v>
      </c>
      <c r="BX36" s="3">
        <v>1</v>
      </c>
      <c r="CB36" s="3">
        <v>1</v>
      </c>
      <c r="DE36" s="3">
        <v>1</v>
      </c>
      <c r="DG36" s="3">
        <v>1</v>
      </c>
      <c r="DL36" s="3">
        <v>1</v>
      </c>
      <c r="DR36" s="3">
        <v>1</v>
      </c>
      <c r="DV36" s="3">
        <v>1</v>
      </c>
      <c r="EI36" s="3">
        <v>1</v>
      </c>
      <c r="FA36" s="3">
        <v>1</v>
      </c>
      <c r="FG36" s="3">
        <v>1</v>
      </c>
      <c r="FQ36" s="3">
        <v>1</v>
      </c>
      <c r="FR36" s="3">
        <v>1</v>
      </c>
    </row>
    <row r="37" spans="1:186" ht="15.75" customHeight="1" x14ac:dyDescent="0.15">
      <c r="A37" s="13">
        <v>39192</v>
      </c>
      <c r="B37" s="3" t="s">
        <v>246</v>
      </c>
      <c r="C37" s="3">
        <v>21.2882</v>
      </c>
      <c r="D37" s="3">
        <v>-157.66799900000001</v>
      </c>
      <c r="E37" s="3" t="s">
        <v>197</v>
      </c>
      <c r="F37" s="14">
        <v>0</v>
      </c>
      <c r="G37" s="14">
        <v>4.1666666666666664E-2</v>
      </c>
      <c r="H37" s="3">
        <v>3</v>
      </c>
      <c r="I37" s="3">
        <v>20</v>
      </c>
      <c r="J37" s="3" t="s">
        <v>245</v>
      </c>
      <c r="K37" s="3">
        <v>7</v>
      </c>
      <c r="L37" s="3">
        <v>15</v>
      </c>
      <c r="M37" s="3" t="s">
        <v>254</v>
      </c>
      <c r="Q37" s="3">
        <v>1</v>
      </c>
      <c r="AA37" s="3">
        <v>1</v>
      </c>
      <c r="AL37" s="3">
        <v>1</v>
      </c>
      <c r="BA37" s="3">
        <v>1</v>
      </c>
      <c r="BE37" s="3">
        <v>1</v>
      </c>
      <c r="BG37" s="3">
        <v>1</v>
      </c>
      <c r="BJ37" s="3">
        <v>1</v>
      </c>
      <c r="BL37" s="3">
        <v>1</v>
      </c>
      <c r="BX37" s="3">
        <v>1</v>
      </c>
      <c r="CI37" s="3">
        <v>1</v>
      </c>
      <c r="DL37" s="3">
        <v>1</v>
      </c>
      <c r="DR37" s="3">
        <v>1</v>
      </c>
      <c r="EI37" s="3">
        <v>1</v>
      </c>
      <c r="EU37" s="3">
        <v>1</v>
      </c>
      <c r="EV37" s="3">
        <v>1</v>
      </c>
      <c r="FL37" s="3">
        <v>1</v>
      </c>
      <c r="FQ37" s="3">
        <v>1</v>
      </c>
    </row>
    <row r="38" spans="1:186" ht="15.75" customHeight="1" x14ac:dyDescent="0.15">
      <c r="A38" s="13">
        <v>39203</v>
      </c>
      <c r="B38" s="3" t="s">
        <v>230</v>
      </c>
      <c r="C38" s="3">
        <v>20.753699999999998</v>
      </c>
      <c r="D38" s="3">
        <v>-156.46090699999999</v>
      </c>
      <c r="E38" s="3" t="s">
        <v>197</v>
      </c>
      <c r="F38" s="14">
        <v>0</v>
      </c>
      <c r="G38" s="14">
        <v>4.1666666666666664E-2</v>
      </c>
      <c r="H38" s="3">
        <v>5</v>
      </c>
      <c r="I38" s="3">
        <v>18</v>
      </c>
      <c r="J38" s="3" t="s">
        <v>217</v>
      </c>
      <c r="K38" s="3">
        <v>10</v>
      </c>
      <c r="L38" s="3">
        <v>43</v>
      </c>
      <c r="M38" s="3" t="s">
        <v>255</v>
      </c>
      <c r="Q38" s="3">
        <v>1</v>
      </c>
      <c r="AW38" s="3">
        <v>1</v>
      </c>
      <c r="BA38" s="3">
        <v>1</v>
      </c>
      <c r="BG38" s="3">
        <v>1</v>
      </c>
      <c r="BL38" s="3">
        <v>1</v>
      </c>
      <c r="BW38" s="3">
        <v>1</v>
      </c>
      <c r="BY38" s="3">
        <v>1</v>
      </c>
      <c r="CB38" s="3">
        <v>1</v>
      </c>
      <c r="CI38" s="3">
        <v>1</v>
      </c>
      <c r="CT38" s="3">
        <v>1</v>
      </c>
      <c r="DE38" s="3">
        <v>1</v>
      </c>
      <c r="DL38" s="3">
        <v>1</v>
      </c>
      <c r="DV38" s="3">
        <v>1</v>
      </c>
      <c r="EI38" s="3">
        <v>1</v>
      </c>
      <c r="FA38" s="3">
        <v>1</v>
      </c>
      <c r="FE38" s="3">
        <v>1</v>
      </c>
      <c r="FQ38" s="3">
        <v>1</v>
      </c>
      <c r="FR38" s="3">
        <v>1</v>
      </c>
      <c r="FT38" s="3">
        <v>1</v>
      </c>
      <c r="GA38" s="3">
        <v>1</v>
      </c>
      <c r="GB38" s="3">
        <v>1</v>
      </c>
    </row>
    <row r="39" spans="1:186" ht="15.75" customHeight="1" x14ac:dyDescent="0.15">
      <c r="A39" s="13">
        <v>39203</v>
      </c>
      <c r="B39" s="3" t="s">
        <v>216</v>
      </c>
      <c r="C39" s="3">
        <v>21.3002</v>
      </c>
      <c r="D39" s="3">
        <v>-157.882599</v>
      </c>
      <c r="E39" s="3" t="s">
        <v>197</v>
      </c>
      <c r="F39" s="14">
        <v>0</v>
      </c>
      <c r="G39" s="14">
        <v>4.1666666666666664E-2</v>
      </c>
      <c r="H39" s="3">
        <v>4</v>
      </c>
      <c r="I39" s="3">
        <v>30</v>
      </c>
      <c r="J39" s="3" t="s">
        <v>227</v>
      </c>
      <c r="K39" s="3">
        <v>10</v>
      </c>
      <c r="L39" s="3">
        <v>36</v>
      </c>
      <c r="M39" s="3" t="s">
        <v>256</v>
      </c>
      <c r="Q39" s="3">
        <v>1</v>
      </c>
      <c r="AB39" s="3">
        <v>1</v>
      </c>
      <c r="AL39" s="3">
        <v>1</v>
      </c>
      <c r="BA39" s="3">
        <v>1</v>
      </c>
      <c r="BB39" s="3">
        <v>1</v>
      </c>
      <c r="BG39" s="3">
        <v>1</v>
      </c>
      <c r="BL39" s="3">
        <v>1</v>
      </c>
      <c r="CB39" s="3">
        <v>1</v>
      </c>
      <c r="CC39" s="3">
        <v>1</v>
      </c>
      <c r="CV39" s="3">
        <v>1</v>
      </c>
      <c r="DR39" s="3">
        <v>1</v>
      </c>
      <c r="DY39" s="3">
        <v>1</v>
      </c>
      <c r="EI39" s="3">
        <v>1</v>
      </c>
      <c r="FL39" s="3">
        <v>1</v>
      </c>
      <c r="FQ39" s="3">
        <v>1</v>
      </c>
      <c r="GB39" s="3">
        <v>1</v>
      </c>
    </row>
    <row r="40" spans="1:186" ht="15.75" customHeight="1" x14ac:dyDescent="0.15">
      <c r="A40" s="13">
        <v>39204</v>
      </c>
      <c r="B40" s="3" t="s">
        <v>219</v>
      </c>
      <c r="C40" s="3">
        <v>21.295798999999999</v>
      </c>
      <c r="D40" s="3">
        <v>-158.10369900000001</v>
      </c>
      <c r="E40" s="3" t="s">
        <v>197</v>
      </c>
      <c r="F40" s="14">
        <v>0</v>
      </c>
      <c r="G40" s="14">
        <v>4.1666666666666664E-2</v>
      </c>
      <c r="H40" s="3">
        <v>5</v>
      </c>
      <c r="I40" s="3">
        <v>30</v>
      </c>
      <c r="J40" s="3" t="s">
        <v>237</v>
      </c>
      <c r="K40" s="3">
        <v>7</v>
      </c>
      <c r="L40" s="3">
        <v>22</v>
      </c>
      <c r="M40" s="3" t="s">
        <v>257</v>
      </c>
      <c r="Q40" s="3">
        <v>1</v>
      </c>
      <c r="AE40" s="3">
        <v>1</v>
      </c>
      <c r="AL40" s="3">
        <v>1</v>
      </c>
      <c r="BA40" s="3">
        <v>1</v>
      </c>
      <c r="BC40" s="3">
        <v>1</v>
      </c>
      <c r="BL40" s="3">
        <v>1</v>
      </c>
      <c r="BV40" s="3">
        <v>1</v>
      </c>
      <c r="BW40" s="3">
        <v>1</v>
      </c>
      <c r="CN40" s="3">
        <v>1</v>
      </c>
      <c r="CR40" s="3">
        <v>1</v>
      </c>
      <c r="DL40" s="3">
        <v>1</v>
      </c>
      <c r="DR40" s="3">
        <v>1</v>
      </c>
      <c r="DY40" s="3">
        <v>1</v>
      </c>
      <c r="EB40" s="3">
        <v>1</v>
      </c>
      <c r="EC40" s="3">
        <v>1</v>
      </c>
      <c r="EI40" s="3">
        <v>1</v>
      </c>
      <c r="FA40" s="3">
        <v>1</v>
      </c>
      <c r="FB40" s="3">
        <v>1</v>
      </c>
      <c r="FD40" s="3">
        <v>1</v>
      </c>
      <c r="FG40" s="3">
        <v>1</v>
      </c>
      <c r="FQ40" s="3">
        <v>1</v>
      </c>
      <c r="GB40" s="3">
        <v>1</v>
      </c>
    </row>
    <row r="41" spans="1:186" ht="15.75" customHeight="1" x14ac:dyDescent="0.15">
      <c r="A41" s="13">
        <v>39206</v>
      </c>
      <c r="B41" s="3" t="s">
        <v>216</v>
      </c>
      <c r="C41" s="3">
        <v>21.3002</v>
      </c>
      <c r="D41" s="3">
        <v>-157.882599</v>
      </c>
      <c r="E41" s="3" t="s">
        <v>197</v>
      </c>
      <c r="F41" s="14">
        <v>0</v>
      </c>
      <c r="G41" s="14">
        <v>4.1666666666666664E-2</v>
      </c>
      <c r="H41" s="3">
        <v>4</v>
      </c>
      <c r="I41" s="3">
        <v>30</v>
      </c>
      <c r="J41" s="3" t="s">
        <v>237</v>
      </c>
      <c r="K41" s="3">
        <v>7</v>
      </c>
      <c r="L41" s="3">
        <v>20</v>
      </c>
      <c r="M41" s="3" t="s">
        <v>258</v>
      </c>
      <c r="Q41" s="3">
        <v>1</v>
      </c>
      <c r="AD41" s="3">
        <v>1</v>
      </c>
      <c r="AL41" s="3">
        <v>1</v>
      </c>
      <c r="AM41" s="3">
        <v>1</v>
      </c>
      <c r="BC41" s="3">
        <v>1</v>
      </c>
      <c r="BG41" s="3">
        <v>1</v>
      </c>
      <c r="BL41" s="3">
        <v>1</v>
      </c>
      <c r="BV41" s="3">
        <v>1</v>
      </c>
      <c r="CV41" s="3">
        <v>1</v>
      </c>
      <c r="DP41" s="3">
        <v>1</v>
      </c>
      <c r="DR41" s="3">
        <v>1</v>
      </c>
      <c r="EI41" s="3">
        <v>1</v>
      </c>
      <c r="FE41" s="3">
        <v>1</v>
      </c>
      <c r="FI41" s="3">
        <v>1</v>
      </c>
      <c r="FL41" s="3">
        <v>1</v>
      </c>
      <c r="FQ41" s="3">
        <v>1</v>
      </c>
    </row>
    <row r="42" spans="1:186" ht="15.75" customHeight="1" x14ac:dyDescent="0.15">
      <c r="A42" s="13">
        <v>39217</v>
      </c>
      <c r="B42" s="3" t="s">
        <v>259</v>
      </c>
      <c r="C42" s="3">
        <v>19.737894000000001</v>
      </c>
      <c r="D42" s="3">
        <v>-155.03405799999999</v>
      </c>
      <c r="E42" s="3" t="s">
        <v>197</v>
      </c>
      <c r="F42" s="14">
        <v>0</v>
      </c>
      <c r="G42" s="14">
        <v>4.1666666666666664E-2</v>
      </c>
      <c r="H42" s="3">
        <v>6</v>
      </c>
      <c r="I42" s="3">
        <v>18</v>
      </c>
      <c r="J42" s="3" t="s">
        <v>227</v>
      </c>
      <c r="K42" s="3">
        <v>7</v>
      </c>
      <c r="L42" s="3">
        <v>22</v>
      </c>
      <c r="M42" s="3" t="s">
        <v>260</v>
      </c>
      <c r="AJ42" s="3">
        <v>1</v>
      </c>
      <c r="BT42" s="3">
        <v>1</v>
      </c>
      <c r="BW42" s="3">
        <v>1</v>
      </c>
      <c r="CB42" s="3">
        <v>1</v>
      </c>
      <c r="CN42" s="3">
        <v>1</v>
      </c>
      <c r="DG42" s="3">
        <v>1</v>
      </c>
      <c r="EC42" s="3">
        <v>1</v>
      </c>
      <c r="EI42" s="3">
        <v>1</v>
      </c>
      <c r="FQ42" s="3">
        <v>1</v>
      </c>
      <c r="GA42" s="3">
        <v>1</v>
      </c>
      <c r="GB42" s="3">
        <v>1</v>
      </c>
    </row>
    <row r="43" spans="1:186" ht="15.75" customHeight="1" x14ac:dyDescent="0.15">
      <c r="A43" s="13">
        <v>39218</v>
      </c>
      <c r="B43" s="3" t="s">
        <v>216</v>
      </c>
      <c r="C43" s="3">
        <v>21.3002</v>
      </c>
      <c r="D43" s="3">
        <v>-157.882599</v>
      </c>
      <c r="E43" s="3" t="s">
        <v>197</v>
      </c>
      <c r="F43" s="14">
        <v>0</v>
      </c>
      <c r="G43" s="14">
        <v>4.1666666666666664E-2</v>
      </c>
      <c r="H43" s="3">
        <v>5</v>
      </c>
      <c r="I43" s="3">
        <v>30</v>
      </c>
      <c r="J43" s="3" t="s">
        <v>237</v>
      </c>
      <c r="K43" s="3">
        <v>7</v>
      </c>
      <c r="L43" s="3">
        <v>15</v>
      </c>
      <c r="M43" s="3" t="s">
        <v>261</v>
      </c>
      <c r="Q43" s="3">
        <v>1</v>
      </c>
      <c r="BC43" s="3">
        <v>1</v>
      </c>
      <c r="BJ43" s="3">
        <v>1</v>
      </c>
      <c r="BV43" s="3">
        <v>1</v>
      </c>
      <c r="DP43" s="3">
        <v>1</v>
      </c>
      <c r="DR43" s="3">
        <v>1</v>
      </c>
      <c r="EI43" s="3">
        <v>1</v>
      </c>
      <c r="FM43" s="3">
        <v>1</v>
      </c>
      <c r="FQ43" s="3">
        <v>1</v>
      </c>
      <c r="GA43" s="3">
        <v>1</v>
      </c>
    </row>
    <row r="44" spans="1:186" ht="15.75" customHeight="1" x14ac:dyDescent="0.15">
      <c r="A44" s="13">
        <v>39219</v>
      </c>
      <c r="B44" s="3" t="s">
        <v>247</v>
      </c>
      <c r="C44" s="3">
        <v>19.488199000000002</v>
      </c>
      <c r="D44" s="3">
        <v>-154.81930500000001</v>
      </c>
      <c r="E44" s="3" t="s">
        <v>197</v>
      </c>
      <c r="F44" s="14">
        <v>0</v>
      </c>
      <c r="G44" s="14">
        <v>4.1666666666666664E-2</v>
      </c>
      <c r="H44" s="3">
        <v>5</v>
      </c>
      <c r="I44" s="3">
        <v>20</v>
      </c>
      <c r="J44" s="3" t="s">
        <v>217</v>
      </c>
      <c r="K44" s="3">
        <v>10</v>
      </c>
      <c r="L44" s="3">
        <v>49</v>
      </c>
      <c r="M44" s="3" t="s">
        <v>262</v>
      </c>
      <c r="AL44" s="3">
        <v>1</v>
      </c>
      <c r="BJ44" s="3">
        <v>1</v>
      </c>
      <c r="BL44" s="3">
        <v>1</v>
      </c>
      <c r="BW44" s="3">
        <v>1</v>
      </c>
      <c r="CB44" s="3">
        <v>1</v>
      </c>
      <c r="CC44" s="3">
        <v>1</v>
      </c>
      <c r="DK44" s="3">
        <v>1</v>
      </c>
      <c r="DL44" s="3">
        <v>1</v>
      </c>
      <c r="DN44" s="3">
        <v>1</v>
      </c>
      <c r="DP44" s="3">
        <v>1</v>
      </c>
      <c r="DR44" s="3">
        <v>1</v>
      </c>
      <c r="DW44" s="3">
        <v>1</v>
      </c>
      <c r="EG44" s="3">
        <v>1</v>
      </c>
      <c r="EI44" s="3">
        <v>1</v>
      </c>
      <c r="EO44" s="3">
        <v>1</v>
      </c>
      <c r="EQ44" s="3">
        <v>1</v>
      </c>
      <c r="FF44" s="3">
        <v>1</v>
      </c>
      <c r="FL44" s="3">
        <v>1</v>
      </c>
      <c r="FQ44" s="3">
        <v>1</v>
      </c>
      <c r="FT44" s="3">
        <v>1</v>
      </c>
      <c r="GA44" s="3">
        <v>1</v>
      </c>
      <c r="GB44" s="3">
        <v>1</v>
      </c>
      <c r="GD44" s="3">
        <v>1</v>
      </c>
    </row>
    <row r="45" spans="1:186" ht="15.75" customHeight="1" x14ac:dyDescent="0.15">
      <c r="A45" s="13">
        <v>39220</v>
      </c>
      <c r="B45" s="3" t="s">
        <v>219</v>
      </c>
      <c r="C45" s="3">
        <v>21.295798999999999</v>
      </c>
      <c r="D45" s="3">
        <v>-158.10369900000001</v>
      </c>
      <c r="E45" s="3" t="s">
        <v>197</v>
      </c>
      <c r="F45" s="14">
        <v>0</v>
      </c>
      <c r="G45" s="14">
        <v>4.1666666666666664E-2</v>
      </c>
      <c r="H45" s="3">
        <v>5</v>
      </c>
      <c r="I45" s="3">
        <v>30</v>
      </c>
      <c r="J45" s="3" t="s">
        <v>237</v>
      </c>
      <c r="K45" s="3">
        <v>7</v>
      </c>
      <c r="L45" s="3">
        <v>28</v>
      </c>
      <c r="M45" s="3" t="s">
        <v>263</v>
      </c>
      <c r="Q45" s="3">
        <v>1</v>
      </c>
      <c r="AL45" s="3">
        <v>1</v>
      </c>
      <c r="BA45" s="3">
        <v>1</v>
      </c>
      <c r="BL45" s="3">
        <v>1</v>
      </c>
      <c r="BS45" s="3">
        <v>1</v>
      </c>
      <c r="BV45" s="3">
        <v>1</v>
      </c>
      <c r="BW45" s="3">
        <v>1</v>
      </c>
      <c r="CB45" s="3">
        <v>1</v>
      </c>
      <c r="DC45" s="3">
        <v>1</v>
      </c>
      <c r="DD45" s="3">
        <v>1</v>
      </c>
      <c r="DG45" s="3">
        <v>1</v>
      </c>
      <c r="DK45" s="3">
        <v>1</v>
      </c>
      <c r="DL45" s="3">
        <v>1</v>
      </c>
      <c r="DR45" s="3">
        <v>1</v>
      </c>
      <c r="DT45" s="3"/>
      <c r="DU45" s="3">
        <v>1</v>
      </c>
      <c r="EB45" s="3">
        <v>1</v>
      </c>
      <c r="EI45" s="3">
        <v>1</v>
      </c>
      <c r="EV45" s="3">
        <v>1</v>
      </c>
      <c r="FA45" s="3">
        <v>1</v>
      </c>
      <c r="FB45" s="3">
        <v>1</v>
      </c>
      <c r="FG45" s="3">
        <v>1</v>
      </c>
      <c r="FL45" s="3">
        <v>1</v>
      </c>
      <c r="FQ45" s="3">
        <v>1</v>
      </c>
      <c r="GA45" s="3">
        <v>1</v>
      </c>
      <c r="GB45" s="3">
        <v>1</v>
      </c>
    </row>
    <row r="46" spans="1:186" ht="15.75" customHeight="1" x14ac:dyDescent="0.15">
      <c r="A46" s="13">
        <v>39501</v>
      </c>
      <c r="B46" s="3" t="s">
        <v>250</v>
      </c>
      <c r="C46" s="3">
        <v>21.410399999999999</v>
      </c>
      <c r="D46" s="3">
        <v>-158.17770400000001</v>
      </c>
      <c r="E46" s="3" t="s">
        <v>197</v>
      </c>
      <c r="F46" s="14">
        <v>0</v>
      </c>
      <c r="G46" s="14">
        <v>4.1666666666666664E-2</v>
      </c>
      <c r="H46" s="3">
        <v>4</v>
      </c>
      <c r="I46" s="3">
        <v>21</v>
      </c>
      <c r="J46" s="3" t="s">
        <v>217</v>
      </c>
      <c r="K46" s="3">
        <v>11</v>
      </c>
      <c r="L46" s="3">
        <v>41</v>
      </c>
      <c r="M46" s="3" t="s">
        <v>264</v>
      </c>
      <c r="Q46" s="3">
        <v>1</v>
      </c>
      <c r="X46" s="3"/>
      <c r="Y46" s="3">
        <v>1</v>
      </c>
      <c r="AL46" s="3">
        <v>1</v>
      </c>
      <c r="AQ46" s="3">
        <v>1</v>
      </c>
      <c r="AW46" s="3">
        <v>1</v>
      </c>
      <c r="BG46" s="3">
        <v>1</v>
      </c>
      <c r="BL46" s="3">
        <v>1</v>
      </c>
      <c r="BP46" s="3">
        <v>1</v>
      </c>
      <c r="BU46" s="3">
        <v>1</v>
      </c>
      <c r="BY46" s="3">
        <v>1</v>
      </c>
      <c r="CB46" s="3">
        <v>1</v>
      </c>
      <c r="CC46" s="3">
        <v>1</v>
      </c>
      <c r="CI46" s="3">
        <v>1</v>
      </c>
      <c r="CJ46" s="3">
        <v>1</v>
      </c>
      <c r="DC46" s="3">
        <v>1</v>
      </c>
      <c r="DE46" s="3">
        <v>1</v>
      </c>
      <c r="DL46" s="3">
        <v>1</v>
      </c>
      <c r="DR46" s="3">
        <v>1</v>
      </c>
      <c r="EI46" s="3">
        <v>1</v>
      </c>
      <c r="EU46" s="3">
        <v>1</v>
      </c>
      <c r="FL46" s="3">
        <v>1</v>
      </c>
      <c r="FQ46" s="3">
        <v>1</v>
      </c>
      <c r="FR46" s="3">
        <v>1</v>
      </c>
    </row>
    <row r="47" spans="1:186" ht="15.75" customHeight="1" x14ac:dyDescent="0.15">
      <c r="A47" s="13">
        <v>42420</v>
      </c>
      <c r="B47" s="3" t="s">
        <v>216</v>
      </c>
      <c r="C47" s="3">
        <v>21.3002</v>
      </c>
      <c r="D47" s="3">
        <v>-157.882599</v>
      </c>
      <c r="E47" s="3" t="s">
        <v>197</v>
      </c>
      <c r="F47" s="14">
        <v>0.36388888888888887</v>
      </c>
      <c r="G47" s="14">
        <v>0.43055555555555558</v>
      </c>
      <c r="H47" s="3">
        <v>7</v>
      </c>
      <c r="I47" s="3">
        <v>25</v>
      </c>
      <c r="J47" s="3" t="s">
        <v>198</v>
      </c>
      <c r="K47" s="3">
        <v>13</v>
      </c>
      <c r="L47" s="3">
        <v>75</v>
      </c>
      <c r="M47" s="3" t="s">
        <v>265</v>
      </c>
      <c r="Q47" s="3">
        <v>1</v>
      </c>
      <c r="R47" s="3">
        <v>1</v>
      </c>
      <c r="AA47" s="3">
        <v>1</v>
      </c>
      <c r="AB47" s="3">
        <v>1</v>
      </c>
      <c r="AD47" s="3">
        <v>1</v>
      </c>
      <c r="AF47" s="3">
        <v>1</v>
      </c>
      <c r="AG47" s="3">
        <v>1</v>
      </c>
      <c r="AH47" s="3">
        <v>1</v>
      </c>
      <c r="AL47" s="3">
        <v>1</v>
      </c>
      <c r="AW47" s="3">
        <v>1</v>
      </c>
      <c r="BD47" s="3">
        <v>1</v>
      </c>
      <c r="BJ47" s="3">
        <v>1</v>
      </c>
      <c r="BL47" s="3">
        <v>1</v>
      </c>
      <c r="BM47" s="3">
        <v>1</v>
      </c>
      <c r="BP47" s="3">
        <v>1</v>
      </c>
      <c r="BU47" s="3">
        <v>1</v>
      </c>
      <c r="BY47" s="3">
        <v>1</v>
      </c>
      <c r="CB47" s="3">
        <v>1</v>
      </c>
      <c r="CU47" s="3">
        <v>1</v>
      </c>
      <c r="CV47" s="3">
        <v>1</v>
      </c>
      <c r="CW47" s="3">
        <v>1</v>
      </c>
      <c r="DF47" s="3">
        <v>1</v>
      </c>
      <c r="DM47" s="3">
        <v>1</v>
      </c>
      <c r="DN47" s="3">
        <v>1</v>
      </c>
      <c r="DP47" s="3">
        <v>1</v>
      </c>
      <c r="EB47" s="3">
        <v>1</v>
      </c>
      <c r="EI47" s="3">
        <v>1</v>
      </c>
      <c r="FC47" s="3"/>
      <c r="FE47" s="3">
        <v>1</v>
      </c>
      <c r="FI47" s="3"/>
      <c r="FJ47" s="3"/>
      <c r="FK47" s="3">
        <v>1</v>
      </c>
      <c r="FO47" s="3">
        <v>1</v>
      </c>
      <c r="FQ47" s="3">
        <v>1</v>
      </c>
      <c r="FS47" s="3">
        <v>1</v>
      </c>
    </row>
    <row r="48" spans="1:186" ht="15.75" customHeight="1" x14ac:dyDescent="0.15">
      <c r="A48" s="13">
        <v>42427</v>
      </c>
      <c r="B48" s="3" t="s">
        <v>266</v>
      </c>
      <c r="C48" s="3">
        <v>22.060683999999998</v>
      </c>
      <c r="D48" s="3">
        <v>-159.318512</v>
      </c>
      <c r="E48" s="3" t="s">
        <v>197</v>
      </c>
      <c r="F48" s="14">
        <v>0.4826388888888889</v>
      </c>
      <c r="G48" s="14">
        <v>0.54166666666666663</v>
      </c>
      <c r="H48" s="3">
        <v>3</v>
      </c>
      <c r="I48" s="3">
        <v>16</v>
      </c>
      <c r="J48" s="3" t="s">
        <v>198</v>
      </c>
      <c r="K48" s="3">
        <v>15</v>
      </c>
      <c r="L48" s="3">
        <v>40</v>
      </c>
      <c r="M48" s="3" t="s">
        <v>267</v>
      </c>
      <c r="Q48" s="3">
        <v>1</v>
      </c>
      <c r="S48" s="3">
        <v>1</v>
      </c>
      <c r="V48" s="3"/>
      <c r="W48" s="3">
        <v>1</v>
      </c>
      <c r="AA48" s="3">
        <v>1</v>
      </c>
      <c r="AB48" s="3">
        <v>1</v>
      </c>
      <c r="AC48" s="3">
        <v>1</v>
      </c>
      <c r="AF48" s="3">
        <v>1</v>
      </c>
      <c r="AH48" s="3">
        <v>1</v>
      </c>
      <c r="AL48" s="3">
        <v>1</v>
      </c>
      <c r="AW48" s="3">
        <v>1</v>
      </c>
      <c r="BA48" s="3">
        <v>1</v>
      </c>
      <c r="BM48" s="3">
        <v>1</v>
      </c>
      <c r="BU48" s="3">
        <v>1</v>
      </c>
      <c r="DF48" s="3">
        <v>1</v>
      </c>
      <c r="DL48" s="3">
        <v>1</v>
      </c>
      <c r="DN48" s="3">
        <v>1</v>
      </c>
      <c r="DT48" s="3"/>
      <c r="DU48" s="3">
        <v>1</v>
      </c>
      <c r="EI48" s="3">
        <v>1</v>
      </c>
      <c r="EM48" s="3">
        <v>1</v>
      </c>
      <c r="FA48" s="3">
        <v>1</v>
      </c>
      <c r="FH48" s="3">
        <v>1</v>
      </c>
      <c r="FP48" s="3">
        <v>1</v>
      </c>
      <c r="FQ48" s="3">
        <v>1</v>
      </c>
      <c r="GD48" s="3">
        <v>1</v>
      </c>
    </row>
    <row r="49" spans="1:186" ht="15.75" customHeight="1" x14ac:dyDescent="0.15">
      <c r="A49" s="13">
        <v>42428</v>
      </c>
      <c r="B49" s="3" t="s">
        <v>266</v>
      </c>
      <c r="C49" s="3">
        <v>22.060683999999998</v>
      </c>
      <c r="D49" s="3">
        <v>-159.318512</v>
      </c>
      <c r="E49" s="3" t="s">
        <v>197</v>
      </c>
      <c r="F49" s="14">
        <v>0.48958333333333331</v>
      </c>
      <c r="G49" s="14">
        <v>0.5625</v>
      </c>
      <c r="H49" s="3">
        <v>3</v>
      </c>
      <c r="I49" s="3">
        <v>21</v>
      </c>
      <c r="J49" s="3" t="s">
        <v>198</v>
      </c>
      <c r="K49" s="3">
        <v>15</v>
      </c>
      <c r="L49" s="3">
        <v>43</v>
      </c>
      <c r="M49" s="3" t="s">
        <v>268</v>
      </c>
      <c r="Q49" s="3">
        <v>1</v>
      </c>
      <c r="S49" s="3">
        <v>1</v>
      </c>
      <c r="AA49" s="3">
        <v>1</v>
      </c>
      <c r="AC49" s="3">
        <v>1</v>
      </c>
      <c r="AL49" s="3">
        <v>1</v>
      </c>
      <c r="AW49" s="3">
        <v>1</v>
      </c>
      <c r="AY49" s="3">
        <v>1</v>
      </c>
      <c r="BA49" s="3">
        <v>1</v>
      </c>
      <c r="BL49" s="3">
        <v>1</v>
      </c>
      <c r="BM49" s="3">
        <v>1</v>
      </c>
      <c r="BN49" s="3"/>
      <c r="BO49" s="3">
        <v>1</v>
      </c>
      <c r="BP49" s="3">
        <v>1</v>
      </c>
      <c r="BU49" s="3">
        <v>1</v>
      </c>
      <c r="BY49" s="3">
        <v>1</v>
      </c>
      <c r="CJ49" s="3">
        <v>1</v>
      </c>
      <c r="DF49" s="3">
        <v>1</v>
      </c>
      <c r="DL49" s="3">
        <v>1</v>
      </c>
      <c r="DT49" s="3"/>
      <c r="DU49" s="3">
        <v>1</v>
      </c>
      <c r="EI49" s="3">
        <v>1</v>
      </c>
      <c r="FA49" s="3">
        <v>1</v>
      </c>
      <c r="FB49" s="3">
        <v>1</v>
      </c>
      <c r="FP49" s="3">
        <v>1</v>
      </c>
      <c r="FQ49" s="3">
        <v>1</v>
      </c>
    </row>
    <row r="50" spans="1:186" ht="15.75" customHeight="1" x14ac:dyDescent="0.15">
      <c r="A50" s="13">
        <v>42437</v>
      </c>
      <c r="B50" s="3" t="s">
        <v>219</v>
      </c>
      <c r="C50" s="3">
        <v>21.295798999999999</v>
      </c>
      <c r="D50" s="3">
        <v>-158.10369900000001</v>
      </c>
      <c r="E50" s="3" t="s">
        <v>269</v>
      </c>
      <c r="F50" s="14">
        <v>0.4201388888888889</v>
      </c>
      <c r="G50" s="14">
        <v>0.47222222222222221</v>
      </c>
      <c r="H50" s="3">
        <v>7</v>
      </c>
      <c r="I50" s="3">
        <v>20</v>
      </c>
      <c r="J50" s="3" t="s">
        <v>198</v>
      </c>
      <c r="K50" s="3">
        <v>8</v>
      </c>
      <c r="L50" s="3">
        <v>44</v>
      </c>
      <c r="M50" s="3" t="s">
        <v>270</v>
      </c>
      <c r="N50" s="3" t="s">
        <v>271</v>
      </c>
      <c r="Q50" s="3">
        <v>1</v>
      </c>
      <c r="V50" s="3">
        <v>1</v>
      </c>
      <c r="AB50" s="3">
        <v>1</v>
      </c>
      <c r="AL50" s="3">
        <v>1</v>
      </c>
      <c r="BD50" s="3">
        <v>1</v>
      </c>
      <c r="BJ50" s="3">
        <v>1</v>
      </c>
      <c r="BL50" s="3">
        <v>1</v>
      </c>
      <c r="BU50" s="3">
        <v>1</v>
      </c>
      <c r="BY50" s="3">
        <v>1</v>
      </c>
      <c r="CN50" s="3">
        <v>1</v>
      </c>
      <c r="DF50" s="3">
        <v>1</v>
      </c>
      <c r="DL50" s="3">
        <v>1</v>
      </c>
      <c r="DY50" s="3">
        <v>1</v>
      </c>
      <c r="EI50" s="3">
        <v>1</v>
      </c>
      <c r="FA50" s="3">
        <v>1</v>
      </c>
      <c r="FC50" s="3"/>
      <c r="FE50" s="3">
        <v>1</v>
      </c>
      <c r="FP50" s="3">
        <v>1</v>
      </c>
      <c r="FQ50" s="3">
        <v>1</v>
      </c>
      <c r="FR50" s="3">
        <v>2</v>
      </c>
    </row>
    <row r="51" spans="1:186" ht="15.75" customHeight="1" x14ac:dyDescent="0.15">
      <c r="A51" s="13">
        <v>42439</v>
      </c>
      <c r="B51" s="3" t="s">
        <v>216</v>
      </c>
      <c r="C51" s="3">
        <v>21.3002</v>
      </c>
      <c r="D51" s="3">
        <v>-157.882599</v>
      </c>
      <c r="E51" s="3" t="s">
        <v>272</v>
      </c>
      <c r="F51" s="14">
        <v>0.43194444444444446</v>
      </c>
      <c r="G51" s="14">
        <v>0.47986111111111113</v>
      </c>
      <c r="H51" s="3">
        <v>7</v>
      </c>
      <c r="I51" s="3">
        <v>21</v>
      </c>
      <c r="J51" s="3" t="s">
        <v>198</v>
      </c>
      <c r="K51" s="3">
        <v>6</v>
      </c>
      <c r="L51" s="3">
        <v>36</v>
      </c>
      <c r="M51" s="3" t="s">
        <v>273</v>
      </c>
      <c r="AI51" s="3"/>
      <c r="AJ51" s="3">
        <v>1</v>
      </c>
      <c r="AK51" s="3">
        <v>1</v>
      </c>
      <c r="AL51" s="3">
        <v>1</v>
      </c>
      <c r="BD51" s="3">
        <v>1</v>
      </c>
      <c r="BL51" s="3">
        <v>1</v>
      </c>
      <c r="BM51" s="3">
        <v>1</v>
      </c>
      <c r="BP51" s="3">
        <v>1</v>
      </c>
      <c r="BU51" s="3">
        <v>1</v>
      </c>
      <c r="CC51" s="3">
        <v>1</v>
      </c>
      <c r="CJ51" s="3">
        <v>1</v>
      </c>
      <c r="CP51" s="3">
        <v>1</v>
      </c>
      <c r="DF51" s="3">
        <v>1</v>
      </c>
      <c r="DH51" s="3">
        <v>1</v>
      </c>
      <c r="DP51" s="3">
        <v>1</v>
      </c>
      <c r="EI51" s="3">
        <v>1</v>
      </c>
      <c r="ET51" s="3">
        <v>1</v>
      </c>
      <c r="FA51" s="3">
        <v>1</v>
      </c>
      <c r="FC51" s="3"/>
      <c r="FE51" s="3">
        <v>1</v>
      </c>
      <c r="FI51" s="3"/>
      <c r="FJ51" s="3">
        <v>1</v>
      </c>
      <c r="FK51" s="3">
        <v>1</v>
      </c>
      <c r="FQ51" s="3">
        <v>1</v>
      </c>
    </row>
    <row r="52" spans="1:186" ht="15.75" customHeight="1" x14ac:dyDescent="0.15">
      <c r="A52" s="13">
        <v>42439</v>
      </c>
      <c r="B52" s="3" t="s">
        <v>266</v>
      </c>
      <c r="C52" s="3">
        <v>22.060683999999998</v>
      </c>
      <c r="D52" s="3">
        <v>-159.318512</v>
      </c>
      <c r="E52" s="3" t="s">
        <v>274</v>
      </c>
      <c r="F52" s="14">
        <v>0.375</v>
      </c>
      <c r="G52" s="14">
        <v>0.54166666666666663</v>
      </c>
      <c r="H52" s="3">
        <v>4</v>
      </c>
      <c r="I52" s="3">
        <v>11</v>
      </c>
      <c r="J52" s="3" t="s">
        <v>198</v>
      </c>
      <c r="K52" s="3">
        <v>10</v>
      </c>
      <c r="L52" s="3">
        <v>23</v>
      </c>
      <c r="M52" s="3" t="s">
        <v>275</v>
      </c>
      <c r="Q52" s="3">
        <v>1</v>
      </c>
      <c r="AB52" s="3">
        <v>1</v>
      </c>
      <c r="AK52" s="3">
        <v>1</v>
      </c>
      <c r="AL52" s="3">
        <v>1</v>
      </c>
      <c r="AM52" s="3">
        <v>1</v>
      </c>
      <c r="AT52" s="3">
        <v>1</v>
      </c>
      <c r="BD52" s="3">
        <v>1</v>
      </c>
      <c r="BG52" s="3">
        <v>1</v>
      </c>
      <c r="BJ52" s="3">
        <v>1</v>
      </c>
      <c r="BL52" s="3">
        <v>1</v>
      </c>
      <c r="BU52" s="3">
        <v>1</v>
      </c>
      <c r="CR52" s="3">
        <v>1</v>
      </c>
      <c r="DF52" s="3">
        <v>1</v>
      </c>
      <c r="DL52" s="3">
        <v>1</v>
      </c>
      <c r="DT52" s="3"/>
      <c r="DU52" s="3">
        <v>1</v>
      </c>
      <c r="EI52" s="3">
        <v>1</v>
      </c>
      <c r="EW52" s="3">
        <v>1</v>
      </c>
      <c r="FA52" s="3">
        <v>1</v>
      </c>
      <c r="FN52" s="3">
        <v>1</v>
      </c>
      <c r="FP52" s="3">
        <v>1</v>
      </c>
      <c r="FQ52" s="3">
        <v>1</v>
      </c>
    </row>
    <row r="53" spans="1:186" ht="15.75" customHeight="1" x14ac:dyDescent="0.15">
      <c r="A53" s="13">
        <v>42440</v>
      </c>
      <c r="B53" s="3" t="s">
        <v>246</v>
      </c>
      <c r="C53" s="3">
        <v>21.2882</v>
      </c>
      <c r="D53" s="3">
        <v>-157.66799900000001</v>
      </c>
      <c r="E53" s="3" t="s">
        <v>274</v>
      </c>
      <c r="F53" s="14">
        <v>0.42708333333333331</v>
      </c>
      <c r="G53" s="14">
        <v>0.47916666666666669</v>
      </c>
      <c r="H53" s="3">
        <v>5</v>
      </c>
      <c r="I53" s="3">
        <v>13</v>
      </c>
      <c r="J53" s="3" t="s">
        <v>198</v>
      </c>
      <c r="K53" s="3">
        <v>5</v>
      </c>
      <c r="L53" s="3">
        <v>18</v>
      </c>
      <c r="M53" s="3" t="s">
        <v>276</v>
      </c>
      <c r="AA53" s="3">
        <v>1</v>
      </c>
      <c r="BA53" s="3">
        <v>1</v>
      </c>
      <c r="BL53" s="3">
        <v>1</v>
      </c>
      <c r="BY53" s="3">
        <v>1</v>
      </c>
      <c r="DL53" s="3">
        <v>1</v>
      </c>
      <c r="EI53" s="3">
        <v>1</v>
      </c>
      <c r="FP53" s="3">
        <v>1</v>
      </c>
      <c r="FQ53" s="3">
        <v>1</v>
      </c>
      <c r="FT53" s="3"/>
      <c r="FU53" s="3">
        <v>1</v>
      </c>
    </row>
    <row r="54" spans="1:186" ht="15.75" customHeight="1" x14ac:dyDescent="0.15">
      <c r="A54" s="13">
        <v>42443</v>
      </c>
      <c r="B54" s="3" t="s">
        <v>230</v>
      </c>
      <c r="C54" s="3">
        <v>20.753699999999998</v>
      </c>
      <c r="D54" s="3">
        <v>-156.46090699999999</v>
      </c>
      <c r="E54" s="3" t="s">
        <v>197</v>
      </c>
      <c r="F54" s="14">
        <v>0.55208333333333337</v>
      </c>
      <c r="G54" s="14">
        <v>0.625</v>
      </c>
      <c r="H54" s="3">
        <v>3</v>
      </c>
      <c r="I54" s="3">
        <v>15</v>
      </c>
      <c r="J54" s="3" t="s">
        <v>277</v>
      </c>
      <c r="K54" s="3">
        <v>10</v>
      </c>
      <c r="L54" s="3">
        <v>30</v>
      </c>
      <c r="Q54" s="3">
        <v>1</v>
      </c>
      <c r="AL54" s="3">
        <v>1</v>
      </c>
      <c r="BL54" s="3">
        <v>1</v>
      </c>
      <c r="BM54" s="3">
        <v>1</v>
      </c>
      <c r="CN54" s="3">
        <v>1</v>
      </c>
      <c r="DL54" s="3">
        <v>1</v>
      </c>
      <c r="EW54" s="3">
        <v>1</v>
      </c>
      <c r="FN54" s="3">
        <v>1</v>
      </c>
      <c r="FO54" s="3">
        <v>1</v>
      </c>
      <c r="FQ54" s="3">
        <v>1</v>
      </c>
      <c r="FR54" s="3">
        <v>1</v>
      </c>
    </row>
    <row r="55" spans="1:186" ht="15.75" customHeight="1" x14ac:dyDescent="0.15">
      <c r="A55" s="13">
        <v>42464</v>
      </c>
      <c r="B55" s="3" t="s">
        <v>244</v>
      </c>
      <c r="C55" s="3">
        <v>21.310611999999999</v>
      </c>
      <c r="D55" s="3">
        <v>-158.00441000000001</v>
      </c>
      <c r="E55" s="3" t="s">
        <v>278</v>
      </c>
      <c r="F55" s="14">
        <v>0.375</v>
      </c>
      <c r="G55" s="14">
        <v>0.45833333333333331</v>
      </c>
      <c r="H55" s="3">
        <v>5</v>
      </c>
      <c r="I55" s="3">
        <v>12</v>
      </c>
      <c r="J55" s="3" t="s">
        <v>198</v>
      </c>
      <c r="K55" s="3">
        <v>6</v>
      </c>
      <c r="L55" s="3">
        <v>26</v>
      </c>
      <c r="M55" s="3" t="s">
        <v>279</v>
      </c>
      <c r="Q55" s="3">
        <v>1</v>
      </c>
      <c r="S55" s="3">
        <v>1</v>
      </c>
      <c r="BL55" s="3">
        <v>1</v>
      </c>
      <c r="BU55" s="3">
        <v>1</v>
      </c>
      <c r="BY55" s="3">
        <v>1</v>
      </c>
      <c r="CF55" s="3"/>
      <c r="CG55" s="3">
        <v>1</v>
      </c>
      <c r="CR55" s="3">
        <v>1</v>
      </c>
      <c r="DF55" s="3">
        <v>1</v>
      </c>
      <c r="DL55" s="3">
        <v>1</v>
      </c>
      <c r="DT55" s="3"/>
      <c r="DU55" s="3">
        <v>1</v>
      </c>
      <c r="EI55" s="3">
        <v>1</v>
      </c>
      <c r="FA55" s="3">
        <v>1</v>
      </c>
      <c r="FQ55" s="3">
        <v>1</v>
      </c>
    </row>
    <row r="56" spans="1:186" ht="15.75" customHeight="1" x14ac:dyDescent="0.15">
      <c r="A56" s="13">
        <v>42465</v>
      </c>
      <c r="B56" s="3" t="s">
        <v>280</v>
      </c>
      <c r="C56" s="3">
        <v>19.638598999999999</v>
      </c>
      <c r="D56" s="3">
        <v>-156.00250199999999</v>
      </c>
      <c r="E56" s="3" t="s">
        <v>274</v>
      </c>
      <c r="F56" s="14">
        <v>0.43055555555555558</v>
      </c>
      <c r="G56" s="14">
        <v>0.47916666666666669</v>
      </c>
      <c r="H56" s="3">
        <v>8</v>
      </c>
      <c r="I56" s="3">
        <v>26</v>
      </c>
      <c r="J56" s="3" t="s">
        <v>217</v>
      </c>
      <c r="K56" s="3">
        <v>12</v>
      </c>
      <c r="L56" s="3">
        <v>81</v>
      </c>
      <c r="M56" s="3" t="s">
        <v>281</v>
      </c>
      <c r="N56" s="3" t="s">
        <v>282</v>
      </c>
      <c r="Q56" s="3">
        <v>1</v>
      </c>
      <c r="R56" s="3">
        <v>1</v>
      </c>
      <c r="AB56" s="3">
        <v>1</v>
      </c>
      <c r="AK56" s="3">
        <v>1</v>
      </c>
      <c r="BD56" s="3">
        <v>1</v>
      </c>
      <c r="BJ56" s="3">
        <v>1</v>
      </c>
      <c r="BL56" s="3">
        <v>1</v>
      </c>
      <c r="CB56" s="3">
        <v>1</v>
      </c>
      <c r="CC56" s="3">
        <v>1</v>
      </c>
      <c r="CU56" s="3">
        <v>1</v>
      </c>
      <c r="DG56" s="3">
        <v>1</v>
      </c>
      <c r="FC56" s="3"/>
      <c r="FE56" s="3">
        <v>1</v>
      </c>
      <c r="FN56" s="3">
        <v>1</v>
      </c>
      <c r="FO56" s="3">
        <v>1</v>
      </c>
      <c r="FP56" s="3">
        <v>1</v>
      </c>
      <c r="FQ56" s="3">
        <v>1</v>
      </c>
      <c r="FR56" s="3">
        <v>1</v>
      </c>
    </row>
    <row r="57" spans="1:186" ht="13" x14ac:dyDescent="0.15">
      <c r="A57" s="13">
        <v>42465</v>
      </c>
      <c r="B57" s="3" t="s">
        <v>244</v>
      </c>
      <c r="C57" s="3">
        <v>21.310611999999999</v>
      </c>
      <c r="D57" s="3">
        <v>-158.00441000000001</v>
      </c>
      <c r="E57" s="3" t="s">
        <v>274</v>
      </c>
      <c r="F57" s="14">
        <v>0.35416666666666669</v>
      </c>
      <c r="G57" s="14">
        <v>0.41875000000000001</v>
      </c>
      <c r="H57" s="3">
        <v>7</v>
      </c>
      <c r="I57" s="3">
        <v>20</v>
      </c>
      <c r="J57" s="3" t="s">
        <v>198</v>
      </c>
      <c r="K57" s="3">
        <v>10</v>
      </c>
      <c r="L57" s="3">
        <v>51</v>
      </c>
      <c r="M57" s="3" t="s">
        <v>283</v>
      </c>
      <c r="Q57" s="3">
        <v>1</v>
      </c>
      <c r="S57" s="3">
        <v>1</v>
      </c>
      <c r="V57" s="3">
        <v>1</v>
      </c>
      <c r="AH57" s="3">
        <v>1</v>
      </c>
      <c r="BD57" s="3">
        <v>1</v>
      </c>
      <c r="BL57" s="3">
        <v>1</v>
      </c>
      <c r="BU57" s="3">
        <v>1</v>
      </c>
      <c r="BY57" s="3">
        <v>1</v>
      </c>
      <c r="CB57" s="3">
        <v>1</v>
      </c>
      <c r="CF57" s="3"/>
      <c r="CG57" s="3">
        <v>1</v>
      </c>
      <c r="CN57" s="3">
        <v>1</v>
      </c>
      <c r="CR57" s="3">
        <v>1</v>
      </c>
      <c r="DF57" s="3">
        <v>1</v>
      </c>
      <c r="DL57" s="3">
        <v>1</v>
      </c>
      <c r="DN57" s="3">
        <v>1</v>
      </c>
      <c r="DR57" s="3">
        <v>1</v>
      </c>
      <c r="EB57" s="3">
        <v>1</v>
      </c>
      <c r="EI57" s="3">
        <v>1</v>
      </c>
      <c r="EJ57" s="3">
        <v>1</v>
      </c>
      <c r="FA57" s="3">
        <v>1</v>
      </c>
      <c r="FG57" s="3">
        <v>1</v>
      </c>
      <c r="FQ57" s="3">
        <v>1</v>
      </c>
    </row>
    <row r="58" spans="1:186" ht="13" x14ac:dyDescent="0.15">
      <c r="A58" s="13">
        <v>42465</v>
      </c>
      <c r="B58" s="3" t="s">
        <v>244</v>
      </c>
      <c r="C58" s="3">
        <v>21.310611999999999</v>
      </c>
      <c r="D58" s="3">
        <v>-158.00441000000001</v>
      </c>
      <c r="E58" s="3" t="s">
        <v>278</v>
      </c>
      <c r="F58" s="14">
        <v>0.375</v>
      </c>
      <c r="G58" s="14">
        <v>0.45833333333333331</v>
      </c>
      <c r="H58" s="3">
        <v>5</v>
      </c>
      <c r="I58" s="3">
        <v>12</v>
      </c>
      <c r="J58" s="3" t="s">
        <v>198</v>
      </c>
      <c r="K58" s="3">
        <v>6</v>
      </c>
      <c r="L58" s="3">
        <v>29</v>
      </c>
      <c r="M58" s="3" t="s">
        <v>284</v>
      </c>
      <c r="Q58" s="3">
        <v>1</v>
      </c>
      <c r="V58" s="3">
        <v>1</v>
      </c>
      <c r="AA58" s="3">
        <v>1</v>
      </c>
      <c r="AB58" s="3">
        <v>1</v>
      </c>
      <c r="AD58" s="3">
        <v>1</v>
      </c>
      <c r="AH58" s="3">
        <v>1</v>
      </c>
      <c r="BD58" s="3">
        <v>1</v>
      </c>
      <c r="BL58" s="3">
        <v>1</v>
      </c>
      <c r="BU58" s="3">
        <v>1</v>
      </c>
      <c r="BY58" s="3">
        <v>1</v>
      </c>
      <c r="CF58" s="3"/>
      <c r="CG58" s="3">
        <v>1</v>
      </c>
      <c r="CR58" s="3">
        <v>1</v>
      </c>
      <c r="DF58" s="3">
        <v>1</v>
      </c>
      <c r="DL58" s="3">
        <v>1</v>
      </c>
      <c r="EB58" s="3">
        <v>1</v>
      </c>
      <c r="EI58" s="3">
        <v>1</v>
      </c>
      <c r="EJ58" s="3">
        <v>1</v>
      </c>
      <c r="FA58" s="3">
        <v>1</v>
      </c>
      <c r="FQ58" s="3">
        <v>1</v>
      </c>
      <c r="FV58" s="3">
        <v>1</v>
      </c>
    </row>
    <row r="59" spans="1:186" ht="13" x14ac:dyDescent="0.15">
      <c r="A59" s="13">
        <v>42467</v>
      </c>
      <c r="B59" s="3" t="s">
        <v>201</v>
      </c>
      <c r="C59" s="3">
        <v>21.25544</v>
      </c>
      <c r="D59" s="3">
        <v>-157.810303</v>
      </c>
      <c r="E59" s="3" t="s">
        <v>274</v>
      </c>
      <c r="F59" s="14">
        <v>0.38194444444444442</v>
      </c>
      <c r="G59" s="14">
        <v>0.46875</v>
      </c>
      <c r="H59" s="3">
        <v>7</v>
      </c>
      <c r="I59" s="3">
        <v>10</v>
      </c>
      <c r="J59" s="3" t="s">
        <v>217</v>
      </c>
      <c r="K59" s="3">
        <v>6</v>
      </c>
      <c r="L59" s="3">
        <v>41</v>
      </c>
      <c r="M59" s="3" t="s">
        <v>285</v>
      </c>
      <c r="Q59" s="3">
        <v>1</v>
      </c>
      <c r="AA59" s="3">
        <v>1</v>
      </c>
      <c r="AB59" s="3">
        <v>1</v>
      </c>
      <c r="AL59" s="3">
        <v>1</v>
      </c>
      <c r="BA59" s="3">
        <v>1</v>
      </c>
      <c r="BC59" s="3">
        <v>1</v>
      </c>
      <c r="BD59" s="3">
        <v>1</v>
      </c>
      <c r="BL59" s="3">
        <v>1</v>
      </c>
      <c r="BM59" s="3">
        <v>1</v>
      </c>
      <c r="BP59" s="3">
        <v>1</v>
      </c>
      <c r="BU59" s="3">
        <v>1</v>
      </c>
      <c r="BV59" s="3">
        <v>1</v>
      </c>
      <c r="BY59" s="3">
        <v>1</v>
      </c>
      <c r="CM59" s="3">
        <v>1</v>
      </c>
      <c r="DK59" s="3">
        <v>1</v>
      </c>
      <c r="DN59" s="3">
        <v>1</v>
      </c>
      <c r="DR59" s="3">
        <v>1</v>
      </c>
      <c r="DT59" s="3"/>
      <c r="DU59" s="3">
        <v>1</v>
      </c>
      <c r="DY59" s="3">
        <v>1</v>
      </c>
      <c r="EB59" s="3">
        <v>1</v>
      </c>
      <c r="EI59" s="3">
        <v>1</v>
      </c>
      <c r="EY59" s="3">
        <v>1</v>
      </c>
      <c r="FA59" s="3">
        <v>1</v>
      </c>
      <c r="FB59" s="3">
        <v>1</v>
      </c>
      <c r="FC59" s="3"/>
      <c r="FE59" s="3">
        <v>1</v>
      </c>
      <c r="FH59" s="3">
        <v>1</v>
      </c>
      <c r="FP59" s="3">
        <v>1</v>
      </c>
      <c r="FQ59" s="3">
        <v>1</v>
      </c>
      <c r="GB59" s="3">
        <v>1</v>
      </c>
      <c r="GD59" s="3">
        <v>1</v>
      </c>
    </row>
    <row r="60" spans="1:186" ht="13" x14ac:dyDescent="0.15">
      <c r="A60" s="13">
        <v>42467</v>
      </c>
      <c r="B60" s="3" t="s">
        <v>233</v>
      </c>
      <c r="C60" s="23">
        <v>21.066799</v>
      </c>
      <c r="D60" s="23">
        <v>-156.804993</v>
      </c>
      <c r="E60" s="3" t="s">
        <v>286</v>
      </c>
      <c r="F60" s="14">
        <v>0.375</v>
      </c>
      <c r="G60" s="14">
        <v>0.43888888888888888</v>
      </c>
      <c r="H60" s="3">
        <v>4</v>
      </c>
      <c r="I60" s="3">
        <v>17</v>
      </c>
      <c r="J60" s="3" t="s">
        <v>198</v>
      </c>
      <c r="K60" s="3">
        <v>16</v>
      </c>
      <c r="L60" s="3">
        <v>25</v>
      </c>
      <c r="M60" s="3" t="s">
        <v>287</v>
      </c>
      <c r="N60" s="3" t="s">
        <v>288</v>
      </c>
      <c r="Q60" s="3">
        <v>1</v>
      </c>
      <c r="T60" s="3">
        <v>1</v>
      </c>
      <c r="V60" s="3">
        <v>1</v>
      </c>
      <c r="BA60" s="3">
        <v>1</v>
      </c>
      <c r="BK60" s="3">
        <v>1</v>
      </c>
      <c r="BL60" s="3">
        <v>1</v>
      </c>
      <c r="BY60" s="3">
        <v>1</v>
      </c>
      <c r="CC60" s="3">
        <v>1</v>
      </c>
      <c r="CN60" s="3">
        <v>1</v>
      </c>
      <c r="DF60" s="3">
        <v>1</v>
      </c>
      <c r="EI60" s="3">
        <v>1</v>
      </c>
      <c r="FA60" s="3">
        <v>1</v>
      </c>
      <c r="GD60" s="3">
        <v>1</v>
      </c>
    </row>
    <row r="61" spans="1:186" ht="13" x14ac:dyDescent="0.15">
      <c r="A61" s="13">
        <v>42468</v>
      </c>
      <c r="B61" s="3" t="s">
        <v>247</v>
      </c>
      <c r="C61" s="3">
        <v>19.488199000000002</v>
      </c>
      <c r="D61" s="3">
        <v>-154.81930500000001</v>
      </c>
      <c r="E61" s="3" t="s">
        <v>289</v>
      </c>
      <c r="F61" s="14">
        <v>0.3972222222222222</v>
      </c>
      <c r="G61" s="14">
        <v>0.44791666666666669</v>
      </c>
      <c r="H61" s="3">
        <v>5</v>
      </c>
      <c r="I61" s="3">
        <v>21</v>
      </c>
      <c r="J61" s="3" t="s">
        <v>198</v>
      </c>
      <c r="K61" s="3">
        <v>5</v>
      </c>
      <c r="L61" s="3">
        <v>23</v>
      </c>
      <c r="M61" s="3" t="s">
        <v>290</v>
      </c>
      <c r="AL61" s="3">
        <v>1</v>
      </c>
      <c r="BH61" s="3"/>
      <c r="BI61" s="3">
        <v>1</v>
      </c>
      <c r="BL61" s="3">
        <v>1</v>
      </c>
      <c r="BM61" s="3">
        <v>1</v>
      </c>
      <c r="BP61" s="3">
        <v>1</v>
      </c>
      <c r="CB61" s="3">
        <v>1</v>
      </c>
      <c r="DR61" s="3">
        <v>1</v>
      </c>
      <c r="FA61" s="3">
        <v>1</v>
      </c>
      <c r="FQ61" s="3">
        <v>1</v>
      </c>
    </row>
    <row r="62" spans="1:186" ht="13" x14ac:dyDescent="0.15">
      <c r="A62" s="13">
        <v>42468</v>
      </c>
      <c r="B62" s="3" t="s">
        <v>291</v>
      </c>
      <c r="C62" s="3">
        <v>19.734331000000001</v>
      </c>
      <c r="D62" s="3">
        <v>-155.01483200000001</v>
      </c>
      <c r="E62" s="3" t="s">
        <v>274</v>
      </c>
      <c r="F62" s="14">
        <v>0.38194444444444442</v>
      </c>
      <c r="G62" s="14">
        <v>0.45833333333333331</v>
      </c>
      <c r="H62" s="3">
        <v>6</v>
      </c>
      <c r="I62" s="3">
        <v>17</v>
      </c>
      <c r="J62" s="3" t="s">
        <v>198</v>
      </c>
      <c r="K62" s="3">
        <v>5</v>
      </c>
      <c r="L62" s="3">
        <v>19</v>
      </c>
      <c r="M62" s="3" t="s">
        <v>292</v>
      </c>
      <c r="Q62" s="3">
        <v>1</v>
      </c>
      <c r="AB62" s="3">
        <v>1</v>
      </c>
      <c r="AF62" s="3">
        <v>1</v>
      </c>
      <c r="AL62" s="3">
        <v>1</v>
      </c>
      <c r="AM62" s="3">
        <v>1</v>
      </c>
      <c r="BA62" s="3">
        <v>1</v>
      </c>
      <c r="BJ62" s="3">
        <v>1</v>
      </c>
      <c r="BL62" s="3">
        <v>1</v>
      </c>
      <c r="BM62" s="3">
        <v>1</v>
      </c>
      <c r="CB62" s="3">
        <v>1</v>
      </c>
      <c r="CN62" s="3">
        <v>1</v>
      </c>
      <c r="CP62" s="3">
        <v>1</v>
      </c>
      <c r="DG62" s="3">
        <v>1</v>
      </c>
      <c r="DV62" s="3">
        <v>1</v>
      </c>
      <c r="FA62" s="3">
        <v>1</v>
      </c>
      <c r="FG62" s="3">
        <v>1</v>
      </c>
      <c r="FP62" s="3">
        <v>1</v>
      </c>
      <c r="FQ62" s="3">
        <v>1</v>
      </c>
      <c r="FR62" s="3">
        <v>1</v>
      </c>
    </row>
    <row r="63" spans="1:186" ht="13" x14ac:dyDescent="0.15">
      <c r="A63" s="13">
        <v>42469</v>
      </c>
      <c r="B63" s="3" t="s">
        <v>293</v>
      </c>
      <c r="C63" s="3">
        <v>19.738602</v>
      </c>
      <c r="D63" s="3">
        <v>-155.03887900000001</v>
      </c>
      <c r="E63" s="3" t="s">
        <v>197</v>
      </c>
      <c r="F63" s="14">
        <v>0.40763888888888888</v>
      </c>
      <c r="G63" s="14">
        <v>0.46527777777777779</v>
      </c>
      <c r="H63" s="3">
        <v>4</v>
      </c>
      <c r="I63" s="3">
        <v>15</v>
      </c>
      <c r="J63" s="3" t="s">
        <v>277</v>
      </c>
      <c r="K63" s="3">
        <v>10</v>
      </c>
      <c r="L63" s="3">
        <v>20</v>
      </c>
      <c r="M63" s="3" t="s">
        <v>294</v>
      </c>
      <c r="N63" s="3" t="s">
        <v>295</v>
      </c>
      <c r="AA63" s="3">
        <v>1</v>
      </c>
      <c r="AH63" s="3">
        <v>1</v>
      </c>
      <c r="AL63" s="3">
        <v>1</v>
      </c>
      <c r="BJ63" s="3">
        <v>1</v>
      </c>
      <c r="BL63" s="3">
        <v>1</v>
      </c>
      <c r="BY63" s="3">
        <v>1</v>
      </c>
      <c r="CC63" s="3">
        <v>1</v>
      </c>
      <c r="CE63" s="3">
        <v>1</v>
      </c>
      <c r="CM63" s="3">
        <v>1</v>
      </c>
      <c r="CN63" s="3">
        <v>1</v>
      </c>
      <c r="DF63" s="3">
        <v>1</v>
      </c>
      <c r="DL63" s="3">
        <v>1</v>
      </c>
      <c r="DT63" s="3"/>
      <c r="DU63" s="3">
        <v>1</v>
      </c>
      <c r="EI63" s="3">
        <v>1</v>
      </c>
      <c r="FO63" s="3">
        <v>1</v>
      </c>
      <c r="FQ63" s="3">
        <v>1</v>
      </c>
    </row>
    <row r="64" spans="1:186" ht="13" x14ac:dyDescent="0.15">
      <c r="A64" s="13">
        <v>42470</v>
      </c>
      <c r="B64" s="3" t="s">
        <v>293</v>
      </c>
      <c r="C64" s="3">
        <v>19.738602</v>
      </c>
      <c r="D64" s="3">
        <v>-155.03887900000001</v>
      </c>
      <c r="E64" s="3" t="s">
        <v>197</v>
      </c>
      <c r="F64" s="14">
        <v>0.43402777777777779</v>
      </c>
      <c r="G64" s="14">
        <v>0.52777777777777779</v>
      </c>
      <c r="H64" s="3">
        <v>4</v>
      </c>
      <c r="I64" s="3">
        <v>22</v>
      </c>
      <c r="J64" s="3" t="s">
        <v>198</v>
      </c>
      <c r="K64" s="3">
        <v>11</v>
      </c>
      <c r="L64" s="3">
        <v>35</v>
      </c>
      <c r="M64" s="3" t="s">
        <v>296</v>
      </c>
      <c r="Q64" s="3">
        <v>1</v>
      </c>
      <c r="S64" s="3">
        <v>1</v>
      </c>
      <c r="AA64" s="3">
        <v>1</v>
      </c>
      <c r="AC64" s="3">
        <v>1</v>
      </c>
      <c r="AG64" s="3">
        <v>1</v>
      </c>
      <c r="AL64" s="3">
        <v>1</v>
      </c>
      <c r="AY64" s="3">
        <v>1</v>
      </c>
      <c r="BA64" s="3">
        <v>1</v>
      </c>
      <c r="BF64" s="3">
        <v>1</v>
      </c>
      <c r="BH64" s="3"/>
      <c r="BI64" s="3">
        <v>1</v>
      </c>
      <c r="BJ64" s="3">
        <v>1</v>
      </c>
      <c r="BL64" s="3">
        <v>1</v>
      </c>
      <c r="BM64" s="3">
        <v>1</v>
      </c>
      <c r="BY64" s="3">
        <v>1</v>
      </c>
      <c r="CA64" s="3">
        <v>1</v>
      </c>
      <c r="CB64" s="3">
        <v>1</v>
      </c>
      <c r="CK64" s="3">
        <v>1</v>
      </c>
      <c r="CN64" s="3">
        <v>1</v>
      </c>
      <c r="DF64" s="3">
        <v>1</v>
      </c>
      <c r="DG64" s="3">
        <v>1</v>
      </c>
      <c r="DL64" s="3">
        <v>1</v>
      </c>
      <c r="DP64" s="3">
        <v>1</v>
      </c>
      <c r="EC64" s="3">
        <v>1</v>
      </c>
      <c r="EI64" s="3">
        <v>1</v>
      </c>
      <c r="EW64" s="3">
        <v>1</v>
      </c>
      <c r="FA64" s="3">
        <v>1</v>
      </c>
      <c r="FN64" s="3">
        <v>1</v>
      </c>
      <c r="FO64" s="3">
        <v>1</v>
      </c>
      <c r="FQ64" s="3">
        <v>1</v>
      </c>
      <c r="FR64" s="3">
        <v>1</v>
      </c>
    </row>
    <row r="65" spans="1:184" ht="13" x14ac:dyDescent="0.15">
      <c r="A65" s="13">
        <v>42471</v>
      </c>
      <c r="B65" s="3" t="s">
        <v>266</v>
      </c>
      <c r="C65" s="3">
        <v>22.060683999999998</v>
      </c>
      <c r="D65" s="3">
        <v>-159.318512</v>
      </c>
      <c r="E65" s="3" t="s">
        <v>297</v>
      </c>
      <c r="F65" s="14">
        <v>0.48958333333333331</v>
      </c>
      <c r="G65" s="14">
        <v>0.54166666666666663</v>
      </c>
      <c r="H65" s="3">
        <v>5</v>
      </c>
      <c r="I65" s="3">
        <v>12</v>
      </c>
      <c r="J65" s="3" t="s">
        <v>198</v>
      </c>
      <c r="K65" s="3">
        <v>5</v>
      </c>
      <c r="L65" s="3">
        <v>24</v>
      </c>
      <c r="M65" s="3" t="s">
        <v>298</v>
      </c>
      <c r="Q65" s="3">
        <v>1</v>
      </c>
      <c r="AL65" s="3">
        <v>1</v>
      </c>
      <c r="BA65" s="3">
        <v>1</v>
      </c>
      <c r="BL65" s="3">
        <v>1</v>
      </c>
      <c r="BM65" s="3">
        <v>1</v>
      </c>
      <c r="BY65" s="3">
        <v>1</v>
      </c>
      <c r="CU65" s="3">
        <v>1</v>
      </c>
      <c r="DT65" s="3"/>
      <c r="DU65" s="3">
        <v>1</v>
      </c>
      <c r="EI65" s="3">
        <v>1</v>
      </c>
      <c r="FQ65" s="3">
        <v>1</v>
      </c>
    </row>
    <row r="66" spans="1:184" ht="13" x14ac:dyDescent="0.15">
      <c r="A66" s="13">
        <v>42471</v>
      </c>
      <c r="B66" s="3" t="s">
        <v>216</v>
      </c>
      <c r="C66" s="3">
        <v>21.3002</v>
      </c>
      <c r="D66" s="3">
        <v>-157.882599</v>
      </c>
      <c r="E66" s="3" t="s">
        <v>299</v>
      </c>
      <c r="F66" s="14">
        <v>0.52777777777777779</v>
      </c>
      <c r="G66" s="14">
        <v>0.57291666666666663</v>
      </c>
      <c r="H66" s="3">
        <v>4</v>
      </c>
      <c r="I66" s="3">
        <v>26</v>
      </c>
      <c r="J66" s="3" t="s">
        <v>198</v>
      </c>
      <c r="K66" s="3">
        <v>9</v>
      </c>
      <c r="L66" s="3">
        <v>29</v>
      </c>
      <c r="M66" s="3" t="s">
        <v>300</v>
      </c>
      <c r="AB66" s="3">
        <v>1</v>
      </c>
      <c r="AL66" s="3">
        <v>1</v>
      </c>
      <c r="BL66" s="3">
        <v>1</v>
      </c>
      <c r="BM66" s="3">
        <v>1</v>
      </c>
      <c r="BP66" s="3">
        <v>1</v>
      </c>
      <c r="BU66" s="3">
        <v>1</v>
      </c>
      <c r="BY66" s="3">
        <v>1</v>
      </c>
      <c r="CB66" s="3">
        <v>1</v>
      </c>
      <c r="FO66" s="3">
        <v>1</v>
      </c>
      <c r="FQ66" s="3">
        <v>1</v>
      </c>
    </row>
    <row r="67" spans="1:184" ht="13" x14ac:dyDescent="0.15">
      <c r="A67" s="13">
        <v>42471</v>
      </c>
      <c r="B67" s="3" t="s">
        <v>301</v>
      </c>
      <c r="C67" s="3">
        <v>22.065598999999999</v>
      </c>
      <c r="D67" s="3">
        <v>-159.31770299999999</v>
      </c>
      <c r="E67" s="3" t="s">
        <v>302</v>
      </c>
      <c r="F67" s="14">
        <v>0.48958333333333331</v>
      </c>
      <c r="G67" s="14">
        <v>0.54166666666666663</v>
      </c>
      <c r="H67" s="3">
        <v>5</v>
      </c>
      <c r="I67" s="3">
        <v>5</v>
      </c>
      <c r="J67" s="3" t="s">
        <v>198</v>
      </c>
      <c r="K67" s="3">
        <v>5</v>
      </c>
      <c r="L67" s="3">
        <v>25</v>
      </c>
      <c r="Q67" s="3">
        <v>1</v>
      </c>
      <c r="AB67" s="3">
        <v>1</v>
      </c>
      <c r="AF67" s="3">
        <v>1</v>
      </c>
      <c r="AL67" s="3">
        <v>1</v>
      </c>
      <c r="AY67" s="3">
        <v>1</v>
      </c>
      <c r="BA67" s="3">
        <v>1</v>
      </c>
      <c r="BD67" s="3">
        <v>1</v>
      </c>
      <c r="BJ67" s="3">
        <v>1</v>
      </c>
      <c r="BL67" s="3">
        <v>1</v>
      </c>
      <c r="BM67" s="3">
        <v>1</v>
      </c>
      <c r="BN67" s="3">
        <v>1</v>
      </c>
      <c r="BU67" s="3">
        <v>1</v>
      </c>
      <c r="BY67" s="3">
        <v>1</v>
      </c>
      <c r="DL67" s="3">
        <v>1</v>
      </c>
      <c r="DT67" s="3"/>
      <c r="DU67" s="3">
        <v>1</v>
      </c>
      <c r="EI67" s="3">
        <v>1</v>
      </c>
      <c r="FA67" s="3">
        <v>1</v>
      </c>
      <c r="FN67" s="3">
        <v>1</v>
      </c>
      <c r="FP67" s="3">
        <v>1</v>
      </c>
      <c r="FQ67" s="3">
        <v>1</v>
      </c>
    </row>
    <row r="68" spans="1:184" ht="13" x14ac:dyDescent="0.15">
      <c r="A68" s="13">
        <v>42475</v>
      </c>
      <c r="B68" s="3" t="s">
        <v>303</v>
      </c>
      <c r="C68" s="3">
        <v>20.994240000000001</v>
      </c>
      <c r="D68" s="3">
        <v>-156.66825900000001</v>
      </c>
      <c r="E68" s="3" t="s">
        <v>274</v>
      </c>
      <c r="F68" s="14">
        <v>0.33333333333333331</v>
      </c>
      <c r="G68" s="14">
        <v>0.41666666666666669</v>
      </c>
      <c r="H68" s="3">
        <v>4</v>
      </c>
      <c r="I68" s="3">
        <v>22</v>
      </c>
      <c r="J68" s="3" t="s">
        <v>217</v>
      </c>
      <c r="K68" s="3">
        <v>12</v>
      </c>
      <c r="L68" s="3">
        <v>35</v>
      </c>
      <c r="M68" s="3" t="s">
        <v>296</v>
      </c>
      <c r="Q68" s="3">
        <v>1</v>
      </c>
      <c r="S68" s="3">
        <v>1</v>
      </c>
      <c r="AA68" s="3">
        <v>1</v>
      </c>
      <c r="AC68" s="3">
        <v>1</v>
      </c>
      <c r="AE68" s="3">
        <v>1</v>
      </c>
      <c r="AL68" s="3">
        <v>1</v>
      </c>
      <c r="AW68" s="3">
        <v>1</v>
      </c>
      <c r="AY68" s="3">
        <v>1</v>
      </c>
      <c r="BA68" s="3">
        <v>1</v>
      </c>
      <c r="BF68" s="3">
        <v>1</v>
      </c>
      <c r="BH68" s="3">
        <v>1</v>
      </c>
      <c r="BJ68" s="3">
        <v>1</v>
      </c>
      <c r="BL68" s="3">
        <v>1</v>
      </c>
      <c r="BM68" s="3">
        <v>1</v>
      </c>
      <c r="BX68" s="3">
        <v>1</v>
      </c>
      <c r="CA68" s="3">
        <v>1</v>
      </c>
      <c r="CB68" s="3">
        <v>1</v>
      </c>
      <c r="CN68" s="3">
        <v>1</v>
      </c>
      <c r="DF68" s="3">
        <v>1</v>
      </c>
      <c r="DG68" s="3">
        <v>1</v>
      </c>
      <c r="DL68" s="3">
        <v>1</v>
      </c>
      <c r="DP68" s="3">
        <v>1</v>
      </c>
      <c r="EI68" s="3">
        <v>1</v>
      </c>
      <c r="EM68" s="3">
        <v>1</v>
      </c>
      <c r="EV68" s="3">
        <v>1</v>
      </c>
      <c r="FA68" s="3">
        <v>1</v>
      </c>
      <c r="FB68" s="3">
        <v>1</v>
      </c>
      <c r="FL68" s="3">
        <v>1</v>
      </c>
      <c r="FN68" s="3">
        <v>1</v>
      </c>
      <c r="FQ68" s="3">
        <v>1</v>
      </c>
      <c r="FR68" s="3">
        <v>1</v>
      </c>
    </row>
    <row r="69" spans="1:184" ht="13" x14ac:dyDescent="0.15">
      <c r="A69" s="13">
        <v>42479</v>
      </c>
      <c r="B69" s="3" t="s">
        <v>201</v>
      </c>
      <c r="C69" s="3">
        <v>21.25544</v>
      </c>
      <c r="D69" s="3">
        <v>-157.810303</v>
      </c>
      <c r="E69" s="3" t="s">
        <v>274</v>
      </c>
      <c r="F69" s="14">
        <v>0.3611111111111111</v>
      </c>
      <c r="G69" s="14">
        <v>0.41666666666666669</v>
      </c>
      <c r="H69" s="3">
        <v>5</v>
      </c>
      <c r="I69" s="3">
        <v>14</v>
      </c>
      <c r="J69" s="3" t="s">
        <v>217</v>
      </c>
      <c r="K69" s="3">
        <v>7</v>
      </c>
      <c r="L69" s="3">
        <v>29</v>
      </c>
      <c r="M69" s="3" t="s">
        <v>304</v>
      </c>
      <c r="Q69" s="3">
        <v>1</v>
      </c>
      <c r="W69" s="3">
        <v>1</v>
      </c>
      <c r="AA69" s="3">
        <v>1</v>
      </c>
      <c r="AH69" s="3">
        <v>1</v>
      </c>
      <c r="AN69" s="3"/>
      <c r="AO69" s="3">
        <v>1</v>
      </c>
      <c r="BA69" s="3">
        <v>1</v>
      </c>
      <c r="BK69" s="3">
        <v>1</v>
      </c>
      <c r="BL69" s="3">
        <v>1</v>
      </c>
      <c r="BM69" s="3">
        <v>1</v>
      </c>
      <c r="BP69" s="3">
        <v>1</v>
      </c>
      <c r="BU69" s="3">
        <v>1</v>
      </c>
      <c r="BY69" s="3">
        <v>1</v>
      </c>
      <c r="CJ69" s="3">
        <v>1</v>
      </c>
      <c r="CR69" s="3">
        <v>1</v>
      </c>
      <c r="DF69" s="3">
        <v>1</v>
      </c>
      <c r="DL69" s="3">
        <v>1</v>
      </c>
      <c r="DO69" s="3">
        <v>1</v>
      </c>
      <c r="DT69" s="3"/>
      <c r="DU69" s="3">
        <v>1</v>
      </c>
      <c r="EB69" s="3">
        <v>1</v>
      </c>
      <c r="ED69" s="3"/>
      <c r="EE69" s="3">
        <v>1</v>
      </c>
      <c r="EI69" s="3">
        <v>1</v>
      </c>
      <c r="EJ69" s="3">
        <v>1</v>
      </c>
      <c r="FA69" s="3">
        <v>1</v>
      </c>
      <c r="FH69" s="3">
        <v>1</v>
      </c>
      <c r="FN69" s="3">
        <v>1</v>
      </c>
      <c r="FP69" s="3">
        <v>1</v>
      </c>
      <c r="FQ69" s="3">
        <v>1</v>
      </c>
      <c r="FS69" s="3">
        <v>1</v>
      </c>
    </row>
    <row r="70" spans="1:184" ht="13" x14ac:dyDescent="0.15">
      <c r="A70" s="13">
        <v>42481</v>
      </c>
      <c r="B70" s="3" t="s">
        <v>240</v>
      </c>
      <c r="C70" s="3">
        <v>21.105899999999998</v>
      </c>
      <c r="D70" s="3">
        <v>-156.746094</v>
      </c>
      <c r="E70" s="3" t="s">
        <v>286</v>
      </c>
      <c r="F70" s="14">
        <v>0.37361111111111112</v>
      </c>
      <c r="G70" s="14">
        <v>0.40763888888888888</v>
      </c>
      <c r="H70" s="3">
        <v>4</v>
      </c>
      <c r="I70" s="3">
        <v>13</v>
      </c>
      <c r="J70" s="3" t="s">
        <v>198</v>
      </c>
      <c r="K70" s="3">
        <v>12</v>
      </c>
      <c r="L70" s="3">
        <v>34</v>
      </c>
      <c r="M70" s="3" t="s">
        <v>305</v>
      </c>
      <c r="N70" s="3" t="s">
        <v>271</v>
      </c>
      <c r="AN70" s="3"/>
      <c r="AO70" s="3">
        <v>1</v>
      </c>
      <c r="BD70" s="3">
        <v>1</v>
      </c>
      <c r="BG70" s="3">
        <v>1</v>
      </c>
      <c r="BL70" s="3">
        <v>1</v>
      </c>
      <c r="BM70" s="3">
        <v>1</v>
      </c>
      <c r="CP70" s="3">
        <v>1</v>
      </c>
      <c r="CV70" s="3">
        <v>1</v>
      </c>
      <c r="DF70" s="3">
        <v>1</v>
      </c>
      <c r="DT70" s="3"/>
      <c r="DU70" s="3">
        <v>1</v>
      </c>
      <c r="DY70" s="3">
        <v>1</v>
      </c>
      <c r="ED70" s="3">
        <v>1</v>
      </c>
      <c r="EH70" s="3">
        <v>1</v>
      </c>
      <c r="EI70" s="3">
        <v>1</v>
      </c>
      <c r="EW70" s="3">
        <v>1</v>
      </c>
      <c r="FB70" s="3">
        <v>1</v>
      </c>
      <c r="FC70" s="3">
        <v>1</v>
      </c>
      <c r="FE70" s="3">
        <v>1</v>
      </c>
      <c r="FQ70" s="3">
        <v>1</v>
      </c>
    </row>
    <row r="71" spans="1:184" ht="13" x14ac:dyDescent="0.15">
      <c r="A71" s="13">
        <v>42488</v>
      </c>
      <c r="B71" s="3" t="s">
        <v>230</v>
      </c>
      <c r="C71" s="3">
        <v>20.753699999999998</v>
      </c>
      <c r="D71" s="3">
        <v>-156.46090699999999</v>
      </c>
      <c r="E71" s="3" t="s">
        <v>274</v>
      </c>
      <c r="F71" s="14">
        <v>0.41111111111111109</v>
      </c>
      <c r="G71" s="14">
        <v>0.51527777777777772</v>
      </c>
      <c r="H71" s="3">
        <v>4</v>
      </c>
      <c r="I71" s="3">
        <v>14</v>
      </c>
      <c r="J71" s="3" t="s">
        <v>277</v>
      </c>
      <c r="K71" s="3">
        <v>10</v>
      </c>
      <c r="L71" s="3">
        <v>39</v>
      </c>
      <c r="M71" s="3" t="s">
        <v>306</v>
      </c>
      <c r="BJ71" s="3">
        <v>1</v>
      </c>
      <c r="BL71" s="3">
        <v>1</v>
      </c>
      <c r="BP71" s="3">
        <v>1</v>
      </c>
      <c r="EC71" s="3">
        <v>1</v>
      </c>
      <c r="FQ71" s="3">
        <v>1</v>
      </c>
    </row>
    <row r="72" spans="1:184" ht="13" x14ac:dyDescent="0.15">
      <c r="A72" s="13">
        <v>42495</v>
      </c>
      <c r="B72" s="3" t="s">
        <v>307</v>
      </c>
      <c r="C72" s="3">
        <v>19.736111000000001</v>
      </c>
      <c r="D72" s="3">
        <v>-155.03083799999999</v>
      </c>
      <c r="E72" s="3" t="s">
        <v>308</v>
      </c>
      <c r="F72" s="14">
        <v>0.36180555555555555</v>
      </c>
      <c r="G72" s="14">
        <v>0.41666666666666669</v>
      </c>
      <c r="H72" s="3">
        <v>8</v>
      </c>
      <c r="I72" s="3">
        <v>11</v>
      </c>
      <c r="J72" s="3" t="s">
        <v>198</v>
      </c>
      <c r="K72" s="3">
        <v>11</v>
      </c>
      <c r="L72" s="3">
        <v>64</v>
      </c>
      <c r="M72" s="3" t="s">
        <v>309</v>
      </c>
      <c r="Q72" s="3">
        <v>1</v>
      </c>
      <c r="S72" s="3">
        <v>1</v>
      </c>
      <c r="AC72" s="3">
        <v>1</v>
      </c>
      <c r="BD72" s="3">
        <v>1</v>
      </c>
      <c r="BJ72" s="3">
        <v>1</v>
      </c>
      <c r="BL72" s="3">
        <v>1</v>
      </c>
      <c r="BU72" s="3">
        <v>1</v>
      </c>
      <c r="CA72" s="3">
        <v>1</v>
      </c>
      <c r="CN72" s="3">
        <v>1</v>
      </c>
      <c r="EC72" s="3">
        <v>1</v>
      </c>
      <c r="EI72" s="3">
        <v>1</v>
      </c>
      <c r="EW72" s="3">
        <v>1</v>
      </c>
      <c r="FK72" s="3">
        <v>1</v>
      </c>
      <c r="FO72" s="3">
        <v>1</v>
      </c>
      <c r="FP72" s="3">
        <v>1</v>
      </c>
      <c r="FQ72" s="3">
        <v>1</v>
      </c>
      <c r="FR72" s="3">
        <v>1</v>
      </c>
    </row>
    <row r="73" spans="1:184" ht="13" x14ac:dyDescent="0.15">
      <c r="A73" s="13">
        <v>42510</v>
      </c>
      <c r="B73" s="3" t="s">
        <v>310</v>
      </c>
      <c r="C73" s="3">
        <v>19.457222000000002</v>
      </c>
      <c r="D73" s="3">
        <v>-155.925003</v>
      </c>
      <c r="E73" s="3" t="s">
        <v>197</v>
      </c>
      <c r="F73" s="14">
        <v>0.31944444444444442</v>
      </c>
      <c r="G73" s="14">
        <v>0.38541666666666669</v>
      </c>
      <c r="H73" s="3">
        <v>4</v>
      </c>
      <c r="I73" s="3">
        <v>30</v>
      </c>
      <c r="J73" s="3" t="s">
        <v>198</v>
      </c>
      <c r="K73" s="3">
        <v>14</v>
      </c>
      <c r="L73" s="3">
        <v>41</v>
      </c>
      <c r="M73" s="3" t="s">
        <v>311</v>
      </c>
      <c r="AA73" s="3">
        <v>1</v>
      </c>
      <c r="AL73" s="3">
        <v>1</v>
      </c>
      <c r="BA73" s="3">
        <v>1</v>
      </c>
      <c r="BF73" s="3">
        <v>1</v>
      </c>
      <c r="BL73" s="3">
        <v>1</v>
      </c>
      <c r="CA73" s="3">
        <v>1</v>
      </c>
      <c r="CF73" s="3"/>
      <c r="CG73" s="3">
        <v>1</v>
      </c>
      <c r="DL73" s="3">
        <v>1</v>
      </c>
      <c r="DT73" s="3"/>
      <c r="DU73" s="3">
        <v>1</v>
      </c>
      <c r="EI73" s="3">
        <v>1</v>
      </c>
      <c r="FA73" s="3">
        <v>1</v>
      </c>
      <c r="FB73" s="3">
        <v>1</v>
      </c>
      <c r="FE73" s="3">
        <v>1</v>
      </c>
      <c r="FO73" s="3">
        <v>1</v>
      </c>
      <c r="FP73" s="3">
        <v>1</v>
      </c>
      <c r="FQ73" s="3">
        <v>1</v>
      </c>
    </row>
    <row r="74" spans="1:184" ht="13" x14ac:dyDescent="0.15">
      <c r="A74" s="13">
        <v>42761</v>
      </c>
      <c r="B74" s="3" t="s">
        <v>233</v>
      </c>
      <c r="C74" s="23">
        <v>21.066799</v>
      </c>
      <c r="D74" s="23">
        <v>-156.804993</v>
      </c>
      <c r="E74" s="3" t="s">
        <v>286</v>
      </c>
      <c r="F74" s="14">
        <v>0.41666666666666669</v>
      </c>
      <c r="G74" s="14">
        <v>0.47222222222222221</v>
      </c>
      <c r="H74" s="3">
        <v>4</v>
      </c>
      <c r="I74" s="3">
        <v>20</v>
      </c>
      <c r="J74" s="3" t="s">
        <v>217</v>
      </c>
      <c r="K74" s="3">
        <v>10</v>
      </c>
      <c r="L74" s="3">
        <v>20</v>
      </c>
      <c r="M74" s="3" t="s">
        <v>316</v>
      </c>
      <c r="N74" s="3" t="s">
        <v>317</v>
      </c>
      <c r="Q74" s="3">
        <v>1</v>
      </c>
      <c r="X74" s="3"/>
      <c r="Y74" s="3">
        <v>1</v>
      </c>
      <c r="CN74" s="3">
        <v>1</v>
      </c>
      <c r="DL74" s="3">
        <v>1</v>
      </c>
      <c r="DQ74" s="3"/>
      <c r="DR74" s="3">
        <v>1</v>
      </c>
      <c r="FQ74" s="3">
        <v>1</v>
      </c>
      <c r="FV74" s="3">
        <v>1</v>
      </c>
    </row>
    <row r="75" spans="1:184" ht="13" x14ac:dyDescent="0.15">
      <c r="A75" s="13">
        <v>42778</v>
      </c>
      <c r="B75" s="3" t="s">
        <v>201</v>
      </c>
      <c r="C75" s="3">
        <v>21.25544</v>
      </c>
      <c r="D75" s="3">
        <v>-157.810303</v>
      </c>
      <c r="E75" s="3" t="s">
        <v>197</v>
      </c>
      <c r="F75" s="14">
        <v>0.44791666666666669</v>
      </c>
      <c r="G75" s="14">
        <v>0.48958333333333331</v>
      </c>
      <c r="H75" s="3">
        <v>9</v>
      </c>
      <c r="I75" s="3">
        <v>12</v>
      </c>
      <c r="J75" s="3" t="s">
        <v>318</v>
      </c>
      <c r="K75" s="3">
        <v>7</v>
      </c>
      <c r="L75" s="3">
        <v>47</v>
      </c>
      <c r="M75" s="3" t="s">
        <v>319</v>
      </c>
      <c r="Q75" s="3">
        <v>1</v>
      </c>
      <c r="Z75" s="3"/>
      <c r="AA75" s="3">
        <v>1</v>
      </c>
      <c r="AB75" s="3">
        <v>1</v>
      </c>
      <c r="AH75" s="3">
        <v>1</v>
      </c>
      <c r="AY75" s="3">
        <v>1</v>
      </c>
      <c r="AZ75" s="3"/>
      <c r="BA75" s="3">
        <v>1</v>
      </c>
      <c r="BL75" s="3">
        <v>1</v>
      </c>
      <c r="BM75" s="3">
        <v>1</v>
      </c>
      <c r="BP75" s="3">
        <v>1</v>
      </c>
      <c r="BU75" s="3">
        <v>1</v>
      </c>
      <c r="BY75" s="3">
        <v>1</v>
      </c>
      <c r="CF75" s="3"/>
      <c r="CG75" s="3">
        <v>1</v>
      </c>
      <c r="CI75" s="3"/>
      <c r="CJ75" s="3">
        <v>1</v>
      </c>
      <c r="CN75" s="3">
        <v>1</v>
      </c>
      <c r="CR75" s="3">
        <v>1</v>
      </c>
      <c r="DE75" s="3"/>
      <c r="DF75" s="3">
        <v>1</v>
      </c>
      <c r="DI75" s="3">
        <v>1</v>
      </c>
      <c r="DK75" s="3">
        <v>1</v>
      </c>
      <c r="DL75" s="3">
        <v>1</v>
      </c>
      <c r="DM75" s="3">
        <v>1</v>
      </c>
      <c r="DN75" s="3">
        <v>1</v>
      </c>
      <c r="DQ75" s="3"/>
      <c r="DR75" s="3">
        <v>1</v>
      </c>
      <c r="DT75" s="3"/>
      <c r="DU75" s="3">
        <v>1</v>
      </c>
      <c r="DY75" s="3">
        <v>1</v>
      </c>
      <c r="EB75" s="3">
        <v>1</v>
      </c>
      <c r="ED75" s="3"/>
      <c r="EE75" s="3">
        <v>1</v>
      </c>
      <c r="EH75" s="3"/>
      <c r="EI75" s="3">
        <v>1</v>
      </c>
      <c r="EX75" s="3"/>
      <c r="EY75" s="3">
        <v>1</v>
      </c>
      <c r="EZ75" s="3">
        <v>1</v>
      </c>
      <c r="FA75" s="3">
        <v>1</v>
      </c>
      <c r="FB75" s="3">
        <v>1</v>
      </c>
      <c r="FH75" s="3">
        <v>1</v>
      </c>
      <c r="FL75" s="3">
        <v>1</v>
      </c>
      <c r="FP75" s="3">
        <v>1</v>
      </c>
      <c r="FQ75" s="3">
        <v>1</v>
      </c>
      <c r="GA75" s="3"/>
      <c r="GB75" s="3">
        <v>1</v>
      </c>
    </row>
    <row r="76" spans="1:184" ht="13" x14ac:dyDescent="0.15">
      <c r="A76" s="13">
        <v>42788</v>
      </c>
      <c r="B76" s="3" t="s">
        <v>320</v>
      </c>
      <c r="C76" s="3">
        <v>22.005989</v>
      </c>
      <c r="D76" s="3">
        <v>-159.33564799999999</v>
      </c>
      <c r="E76" s="3" t="s">
        <v>321</v>
      </c>
      <c r="F76" s="14">
        <v>0.38194444444444442</v>
      </c>
      <c r="G76" s="14">
        <v>0.48125000000000001</v>
      </c>
      <c r="H76" s="3">
        <v>2</v>
      </c>
      <c r="I76" s="3">
        <v>8</v>
      </c>
      <c r="J76" s="3" t="s">
        <v>318</v>
      </c>
      <c r="K76" s="3">
        <v>7</v>
      </c>
      <c r="L76" s="3">
        <v>12</v>
      </c>
      <c r="M76" s="3" t="s">
        <v>322</v>
      </c>
      <c r="Q76" s="3">
        <v>1</v>
      </c>
      <c r="AL76" s="3">
        <v>1</v>
      </c>
      <c r="AZ76" s="3"/>
      <c r="BA76" s="3">
        <v>1</v>
      </c>
      <c r="BV76" s="3">
        <v>1</v>
      </c>
      <c r="DK76" s="3">
        <v>1</v>
      </c>
      <c r="DT76" s="3"/>
      <c r="DU76" s="3">
        <v>1</v>
      </c>
      <c r="EH76" s="3"/>
      <c r="EI76" s="3">
        <v>1</v>
      </c>
      <c r="EX76" s="3"/>
      <c r="EY76" s="3">
        <v>1</v>
      </c>
      <c r="FD76" s="3">
        <v>1</v>
      </c>
      <c r="FQ76" s="3">
        <v>1</v>
      </c>
      <c r="FS76" s="3">
        <v>1</v>
      </c>
      <c r="FW76" s="3">
        <v>1</v>
      </c>
    </row>
    <row r="77" spans="1:184" ht="13" x14ac:dyDescent="0.15">
      <c r="A77" s="13">
        <v>42791</v>
      </c>
      <c r="B77" s="3" t="s">
        <v>244</v>
      </c>
      <c r="C77" s="3">
        <v>21.310611999999999</v>
      </c>
      <c r="D77" s="3">
        <v>-158.00441000000001</v>
      </c>
      <c r="E77" s="3" t="s">
        <v>197</v>
      </c>
      <c r="F77" s="14">
        <v>0.41319444444444442</v>
      </c>
      <c r="G77" s="14">
        <v>0.47916666666666669</v>
      </c>
      <c r="H77" s="3">
        <v>9</v>
      </c>
      <c r="I77" s="3">
        <v>14</v>
      </c>
      <c r="J77" s="3" t="s">
        <v>318</v>
      </c>
      <c r="K77" s="3">
        <v>8</v>
      </c>
      <c r="L77" s="3">
        <v>54</v>
      </c>
      <c r="M77" s="3" t="s">
        <v>323</v>
      </c>
      <c r="Q77" s="3">
        <v>1</v>
      </c>
      <c r="S77" s="3">
        <v>1</v>
      </c>
      <c r="T77" s="3"/>
      <c r="U77" s="3">
        <v>1</v>
      </c>
      <c r="Z77" s="3"/>
      <c r="AA77" s="3">
        <v>1</v>
      </c>
      <c r="AD77" s="3">
        <v>1</v>
      </c>
      <c r="AH77" s="3">
        <v>1</v>
      </c>
      <c r="AQ77" s="3">
        <v>1</v>
      </c>
      <c r="AR77" s="3">
        <v>1</v>
      </c>
      <c r="AZ77" s="3"/>
      <c r="BA77" s="3">
        <v>1</v>
      </c>
      <c r="BB77" s="3">
        <v>1</v>
      </c>
      <c r="BD77" s="3">
        <v>1</v>
      </c>
      <c r="BJ77" s="3">
        <v>1</v>
      </c>
      <c r="BL77" s="3">
        <v>1</v>
      </c>
      <c r="BM77" s="3">
        <v>1</v>
      </c>
      <c r="BP77" s="3">
        <v>1</v>
      </c>
      <c r="BT77" s="3">
        <v>1</v>
      </c>
      <c r="BU77" s="3">
        <v>1</v>
      </c>
      <c r="BX77" s="3">
        <v>1</v>
      </c>
      <c r="BY77" s="3">
        <v>1</v>
      </c>
      <c r="CF77" s="3"/>
      <c r="CG77" s="3">
        <v>1</v>
      </c>
      <c r="CR77" s="3">
        <v>1</v>
      </c>
      <c r="DE77" s="3"/>
      <c r="DF77" s="3">
        <v>1</v>
      </c>
      <c r="DI77" s="3">
        <v>1</v>
      </c>
      <c r="DL77" s="3">
        <v>1</v>
      </c>
      <c r="DN77" s="3">
        <v>1</v>
      </c>
      <c r="DP77" s="3">
        <v>1</v>
      </c>
      <c r="DT77" s="3"/>
      <c r="DU77" s="3">
        <v>1</v>
      </c>
      <c r="EB77" s="3">
        <v>1</v>
      </c>
      <c r="EH77" s="3"/>
      <c r="EI77" s="3">
        <v>1</v>
      </c>
      <c r="EN77" s="3">
        <v>1</v>
      </c>
      <c r="EX77" s="3">
        <v>1</v>
      </c>
      <c r="FA77" s="3">
        <v>1</v>
      </c>
      <c r="FO77" s="3">
        <v>1</v>
      </c>
      <c r="FQ77" s="3">
        <v>1</v>
      </c>
      <c r="FR77" s="3">
        <v>1</v>
      </c>
      <c r="GA77" s="3"/>
      <c r="GB77" s="3">
        <v>1</v>
      </c>
    </row>
    <row r="78" spans="1:184" ht="13" x14ac:dyDescent="0.15">
      <c r="A78" s="13">
        <v>42798</v>
      </c>
      <c r="B78" s="3" t="s">
        <v>230</v>
      </c>
      <c r="C78" s="3">
        <v>20.753699999999998</v>
      </c>
      <c r="D78" s="3">
        <v>-156.46090699999999</v>
      </c>
      <c r="E78" s="3" t="s">
        <v>197</v>
      </c>
      <c r="F78" s="14">
        <v>0.59027777777777779</v>
      </c>
      <c r="G78" s="14">
        <v>0.67708333333333337</v>
      </c>
      <c r="H78" s="3">
        <v>3</v>
      </c>
      <c r="I78" s="3">
        <v>21</v>
      </c>
      <c r="J78" s="3" t="s">
        <v>318</v>
      </c>
      <c r="K78" s="3">
        <v>16</v>
      </c>
      <c r="L78" s="3">
        <v>43</v>
      </c>
      <c r="M78" s="3" t="s">
        <v>324</v>
      </c>
      <c r="Q78" s="3">
        <v>1</v>
      </c>
      <c r="AL78" s="3">
        <v>1</v>
      </c>
      <c r="BL78" s="3">
        <v>1</v>
      </c>
      <c r="CI78" s="3">
        <v>1</v>
      </c>
      <c r="DE78" s="3"/>
      <c r="DF78" s="3">
        <v>1</v>
      </c>
      <c r="DO78" s="3">
        <v>1</v>
      </c>
      <c r="DT78" s="3"/>
      <c r="DU78" s="3">
        <v>1</v>
      </c>
      <c r="EC78" s="3">
        <v>1</v>
      </c>
      <c r="EH78" s="3">
        <v>1</v>
      </c>
      <c r="EW78" s="3">
        <v>1</v>
      </c>
      <c r="FO78" s="3">
        <v>1</v>
      </c>
      <c r="FQ78" s="3">
        <v>1</v>
      </c>
      <c r="FR78" s="3">
        <v>1</v>
      </c>
      <c r="FZ78" s="3">
        <v>1</v>
      </c>
      <c r="GA78" s="3"/>
      <c r="GB78" s="3">
        <v>1</v>
      </c>
    </row>
    <row r="79" spans="1:184" ht="13" x14ac:dyDescent="0.15">
      <c r="A79" s="13">
        <v>42802</v>
      </c>
      <c r="B79" s="3" t="s">
        <v>244</v>
      </c>
      <c r="C79" s="3">
        <v>21.310611999999999</v>
      </c>
      <c r="D79" s="3">
        <v>-158.00441000000001</v>
      </c>
      <c r="E79" s="3" t="s">
        <v>278</v>
      </c>
      <c r="F79" s="14">
        <v>0.38541666666666669</v>
      </c>
      <c r="G79" s="14">
        <v>0.46875</v>
      </c>
      <c r="H79" s="3">
        <v>6</v>
      </c>
      <c r="I79" s="3">
        <v>10</v>
      </c>
      <c r="J79" s="3" t="s">
        <v>198</v>
      </c>
      <c r="K79" s="3">
        <v>5</v>
      </c>
      <c r="L79" s="3">
        <v>30</v>
      </c>
      <c r="N79" s="3" t="s">
        <v>282</v>
      </c>
      <c r="Q79" s="3">
        <v>1</v>
      </c>
      <c r="Z79" s="3"/>
      <c r="AA79" s="3">
        <v>1</v>
      </c>
      <c r="AD79" s="3">
        <v>1</v>
      </c>
      <c r="AH79" s="3">
        <v>1</v>
      </c>
      <c r="AL79" s="3">
        <v>1</v>
      </c>
      <c r="AZ79" s="3"/>
      <c r="BA79" s="3">
        <v>1</v>
      </c>
      <c r="BD79" s="3">
        <v>1</v>
      </c>
      <c r="BJ79" s="3">
        <v>1</v>
      </c>
      <c r="BL79" s="3">
        <v>1</v>
      </c>
      <c r="BY79" s="3">
        <v>1</v>
      </c>
      <c r="CR79" s="3">
        <v>1</v>
      </c>
      <c r="CU79" s="3">
        <v>1</v>
      </c>
      <c r="DE79" s="3"/>
      <c r="DF79" s="3">
        <v>1</v>
      </c>
      <c r="DL79" s="3">
        <v>1</v>
      </c>
      <c r="DN79" s="3">
        <v>1</v>
      </c>
      <c r="DQ79" s="3"/>
      <c r="DR79" s="3">
        <v>1</v>
      </c>
      <c r="EI79" s="3">
        <v>1</v>
      </c>
      <c r="FA79" s="3">
        <v>1</v>
      </c>
      <c r="FQ79" s="3">
        <v>1</v>
      </c>
      <c r="FT79" s="3"/>
      <c r="FU79" s="3">
        <v>1</v>
      </c>
    </row>
    <row r="80" spans="1:184" ht="13" x14ac:dyDescent="0.15">
      <c r="A80" s="13">
        <v>42803</v>
      </c>
      <c r="B80" s="3" t="s">
        <v>244</v>
      </c>
      <c r="C80" s="3">
        <v>21.310611999999999</v>
      </c>
      <c r="D80" s="3">
        <v>-158.00441000000001</v>
      </c>
      <c r="E80" s="3" t="s">
        <v>326</v>
      </c>
      <c r="F80" s="14">
        <v>0.39583333333333331</v>
      </c>
      <c r="G80" s="14">
        <v>0.47916666666666669</v>
      </c>
      <c r="H80" s="3">
        <v>7</v>
      </c>
      <c r="I80" s="3">
        <v>14</v>
      </c>
      <c r="J80" s="3" t="s">
        <v>318</v>
      </c>
      <c r="K80" s="3">
        <v>5</v>
      </c>
      <c r="L80" s="3">
        <v>26</v>
      </c>
      <c r="M80" s="3" t="s">
        <v>327</v>
      </c>
      <c r="N80" s="3" t="s">
        <v>328</v>
      </c>
      <c r="Q80" s="3">
        <v>1</v>
      </c>
      <c r="V80" s="3"/>
      <c r="W80" s="3">
        <v>1</v>
      </c>
      <c r="Z80" s="3"/>
      <c r="AA80" s="3">
        <v>2</v>
      </c>
      <c r="AB80" s="3">
        <v>1</v>
      </c>
      <c r="AD80" s="3">
        <v>1</v>
      </c>
      <c r="AH80" s="3">
        <v>1</v>
      </c>
      <c r="BD80" s="3">
        <v>1</v>
      </c>
      <c r="BM80" s="3">
        <v>1</v>
      </c>
      <c r="BU80" s="3">
        <v>1</v>
      </c>
      <c r="BY80" s="3">
        <v>1</v>
      </c>
      <c r="CF80" s="3"/>
      <c r="CG80" s="3">
        <v>1</v>
      </c>
      <c r="CR80" s="3">
        <v>1</v>
      </c>
      <c r="DE80" s="3"/>
      <c r="DF80" s="3">
        <v>1</v>
      </c>
      <c r="DI80" s="3">
        <v>2</v>
      </c>
      <c r="DL80" s="3">
        <v>1</v>
      </c>
      <c r="DN80" s="3">
        <v>1</v>
      </c>
      <c r="DT80" s="3"/>
      <c r="DU80" s="3">
        <v>1</v>
      </c>
      <c r="EB80" s="3">
        <v>1</v>
      </c>
      <c r="ED80" s="3"/>
      <c r="EE80" s="3">
        <v>1</v>
      </c>
      <c r="EI80" s="3">
        <v>1</v>
      </c>
      <c r="EV80" s="3">
        <v>1</v>
      </c>
      <c r="FH80" s="3">
        <v>1</v>
      </c>
      <c r="FP80" s="3">
        <v>1</v>
      </c>
      <c r="FQ80" s="3">
        <v>1</v>
      </c>
      <c r="FY80" s="3">
        <v>1</v>
      </c>
      <c r="FZ80" s="3">
        <v>1</v>
      </c>
    </row>
    <row r="81" spans="1:193" ht="13" x14ac:dyDescent="0.15">
      <c r="A81" s="13">
        <v>42804</v>
      </c>
      <c r="B81" s="3" t="s">
        <v>329</v>
      </c>
      <c r="C81" s="3">
        <v>21.140799999999999</v>
      </c>
      <c r="D81" s="3">
        <v>-157.29011499999999</v>
      </c>
      <c r="E81" s="3" t="s">
        <v>330</v>
      </c>
      <c r="F81" s="14">
        <v>0.4375</v>
      </c>
      <c r="G81" s="14">
        <v>0.46736111111111112</v>
      </c>
      <c r="H81" s="3">
        <v>6</v>
      </c>
      <c r="I81" s="3">
        <v>10</v>
      </c>
      <c r="J81" s="3" t="s">
        <v>318</v>
      </c>
      <c r="K81" s="3">
        <v>5</v>
      </c>
      <c r="L81" s="3">
        <v>27</v>
      </c>
      <c r="M81" s="3" t="s">
        <v>331</v>
      </c>
      <c r="N81" s="3" t="s">
        <v>282</v>
      </c>
      <c r="AB81" s="3">
        <v>1</v>
      </c>
      <c r="BL81" s="3">
        <v>1</v>
      </c>
      <c r="CF81" s="3"/>
      <c r="CG81" s="3">
        <v>1</v>
      </c>
      <c r="CR81" s="3">
        <v>2</v>
      </c>
      <c r="DN81" s="3">
        <v>1</v>
      </c>
      <c r="EI81" s="3">
        <v>1</v>
      </c>
      <c r="FA81" s="3">
        <v>1</v>
      </c>
      <c r="FQ81" s="3">
        <v>1</v>
      </c>
      <c r="FS81" s="3">
        <v>1</v>
      </c>
    </row>
    <row r="82" spans="1:193" ht="13" x14ac:dyDescent="0.15">
      <c r="A82" s="13">
        <v>42804</v>
      </c>
      <c r="B82" s="3" t="s">
        <v>201</v>
      </c>
      <c r="C82" s="3">
        <v>21.25544</v>
      </c>
      <c r="D82" s="3">
        <v>-157.810303</v>
      </c>
      <c r="E82" s="3" t="s">
        <v>325</v>
      </c>
      <c r="F82" s="14">
        <v>0.41666666666666669</v>
      </c>
      <c r="G82" s="14">
        <v>0.45833333333333331</v>
      </c>
      <c r="H82" s="3">
        <v>6</v>
      </c>
      <c r="I82" s="3">
        <v>5</v>
      </c>
      <c r="J82" s="3" t="s">
        <v>318</v>
      </c>
      <c r="K82" s="3">
        <v>5</v>
      </c>
      <c r="L82" s="3">
        <v>24</v>
      </c>
      <c r="M82" s="3" t="s">
        <v>332</v>
      </c>
      <c r="N82" s="3" t="s">
        <v>288</v>
      </c>
      <c r="BX82" s="3">
        <v>1</v>
      </c>
      <c r="BY82" s="3">
        <v>1</v>
      </c>
      <c r="CR82" s="3">
        <v>1</v>
      </c>
      <c r="DA82" s="3"/>
      <c r="DB82" s="3">
        <v>1</v>
      </c>
      <c r="DI82" s="3">
        <v>1</v>
      </c>
      <c r="DK82" s="3">
        <v>1</v>
      </c>
      <c r="DL82" s="3">
        <v>1</v>
      </c>
      <c r="DQ82" s="3"/>
      <c r="DR82" s="3">
        <v>1</v>
      </c>
      <c r="EI82" s="3">
        <v>1</v>
      </c>
      <c r="FA82" s="3">
        <v>1</v>
      </c>
      <c r="FH82" s="3">
        <v>1</v>
      </c>
      <c r="FP82" s="3">
        <v>1</v>
      </c>
      <c r="FQ82" s="3">
        <v>1</v>
      </c>
    </row>
    <row r="83" spans="1:193" ht="13" x14ac:dyDescent="0.15">
      <c r="A83" s="13">
        <v>42804</v>
      </c>
      <c r="B83" s="3" t="s">
        <v>219</v>
      </c>
      <c r="C83" s="3">
        <v>21.295798999999999</v>
      </c>
      <c r="D83" s="3">
        <v>-158.10369900000001</v>
      </c>
      <c r="E83" s="3" t="s">
        <v>333</v>
      </c>
      <c r="F83" s="14">
        <v>0.38541666666666669</v>
      </c>
      <c r="G83" s="14">
        <v>0.44791666666666669</v>
      </c>
      <c r="H83" s="3">
        <v>7</v>
      </c>
      <c r="I83" s="3">
        <v>10</v>
      </c>
      <c r="J83" s="3" t="s">
        <v>318</v>
      </c>
      <c r="K83" s="3">
        <v>5</v>
      </c>
      <c r="L83" s="3">
        <v>31</v>
      </c>
      <c r="M83" s="3" t="s">
        <v>334</v>
      </c>
      <c r="N83" s="3" t="s">
        <v>335</v>
      </c>
      <c r="Q83" s="3">
        <v>1</v>
      </c>
      <c r="R83" s="3">
        <v>1</v>
      </c>
      <c r="Z83" s="3"/>
      <c r="AA83" s="3">
        <v>1</v>
      </c>
      <c r="AB83" s="3">
        <v>2</v>
      </c>
      <c r="AC83" s="3">
        <v>1</v>
      </c>
      <c r="AD83" s="3">
        <v>1</v>
      </c>
      <c r="AH83" s="3">
        <v>1</v>
      </c>
      <c r="AS83" s="3">
        <v>1</v>
      </c>
      <c r="BB83" s="3">
        <v>1</v>
      </c>
      <c r="BC83" s="3">
        <v>2</v>
      </c>
      <c r="BD83" s="3">
        <v>1</v>
      </c>
      <c r="BG83" s="3">
        <v>1</v>
      </c>
      <c r="BL83" s="3">
        <v>1</v>
      </c>
      <c r="BM83" s="3">
        <v>1</v>
      </c>
      <c r="BP83" s="3">
        <v>1</v>
      </c>
      <c r="BU83" s="3">
        <v>1</v>
      </c>
      <c r="BY83" s="3">
        <v>1</v>
      </c>
      <c r="CB83" s="3">
        <v>2</v>
      </c>
      <c r="CR83" s="3">
        <v>1</v>
      </c>
      <c r="DC83" s="3">
        <v>1</v>
      </c>
      <c r="DE83" s="3"/>
      <c r="DF83" s="3">
        <v>1</v>
      </c>
      <c r="DL83" s="3">
        <v>1</v>
      </c>
      <c r="DQ83" s="3"/>
      <c r="DR83" s="3">
        <v>1</v>
      </c>
      <c r="DY83" s="3">
        <v>1</v>
      </c>
      <c r="EB83" s="3">
        <v>1</v>
      </c>
      <c r="EI83" s="3">
        <v>1</v>
      </c>
      <c r="EJ83" s="3">
        <v>1</v>
      </c>
      <c r="FA83" s="3">
        <v>1</v>
      </c>
      <c r="FC83" s="3"/>
      <c r="FE83" s="3">
        <v>1</v>
      </c>
      <c r="FH83" s="3">
        <v>1</v>
      </c>
      <c r="FP83" s="3">
        <v>1</v>
      </c>
      <c r="FQ83" s="3">
        <v>1</v>
      </c>
    </row>
    <row r="84" spans="1:193" ht="13" x14ac:dyDescent="0.15">
      <c r="A84" s="13">
        <v>42806</v>
      </c>
      <c r="B84" s="3" t="s">
        <v>293</v>
      </c>
      <c r="C84" s="3">
        <v>19.738602</v>
      </c>
      <c r="D84" s="3">
        <v>-155.03887900000001</v>
      </c>
      <c r="E84" s="3" t="s">
        <v>197</v>
      </c>
      <c r="F84" s="14">
        <v>0.39930555555555558</v>
      </c>
      <c r="G84" s="14">
        <v>0.43333333333333335</v>
      </c>
      <c r="H84" s="3">
        <v>6</v>
      </c>
      <c r="I84" s="3">
        <v>12</v>
      </c>
      <c r="J84" s="3" t="s">
        <v>198</v>
      </c>
      <c r="K84" s="3">
        <v>7</v>
      </c>
      <c r="L84" s="3">
        <v>32</v>
      </c>
      <c r="M84" s="3" t="s">
        <v>336</v>
      </c>
      <c r="Q84" s="3">
        <v>1</v>
      </c>
      <c r="Z84" s="3"/>
      <c r="AA84" s="3">
        <v>1</v>
      </c>
      <c r="AF84" s="3">
        <v>1</v>
      </c>
      <c r="AL84" s="3">
        <v>1</v>
      </c>
      <c r="BJ84" s="3">
        <v>1</v>
      </c>
      <c r="BL84" s="3">
        <v>1</v>
      </c>
      <c r="BQ84" s="3">
        <v>1</v>
      </c>
      <c r="BV84" s="3">
        <v>1</v>
      </c>
      <c r="CB84" s="3">
        <v>1</v>
      </c>
      <c r="CF84" s="3"/>
      <c r="CG84" s="3">
        <v>1</v>
      </c>
      <c r="CN84" s="3">
        <v>1</v>
      </c>
      <c r="DE84" s="3"/>
      <c r="DF84" s="3">
        <v>1</v>
      </c>
      <c r="DH84" s="3">
        <v>1</v>
      </c>
      <c r="EI84" s="3">
        <v>1</v>
      </c>
      <c r="EO84" s="3">
        <v>1</v>
      </c>
      <c r="EQ84" s="3">
        <v>1</v>
      </c>
      <c r="FL84" s="3">
        <v>1</v>
      </c>
      <c r="FQ84" s="3">
        <v>1</v>
      </c>
      <c r="FR84" s="3">
        <v>1</v>
      </c>
    </row>
    <row r="85" spans="1:193" ht="13" x14ac:dyDescent="0.15">
      <c r="A85" s="13">
        <v>42810</v>
      </c>
      <c r="B85" s="3" t="s">
        <v>337</v>
      </c>
      <c r="C85" s="3">
        <v>19.957187999999999</v>
      </c>
      <c r="D85" s="3">
        <v>-155.859497</v>
      </c>
      <c r="E85" s="3" t="s">
        <v>313</v>
      </c>
      <c r="F85" s="14">
        <v>0.48055555555555557</v>
      </c>
      <c r="G85" s="14">
        <v>0.55208333333333337</v>
      </c>
      <c r="H85" s="3">
        <v>3</v>
      </c>
      <c r="I85" s="3">
        <v>10</v>
      </c>
      <c r="J85" s="3" t="s">
        <v>318</v>
      </c>
      <c r="K85" s="3">
        <v>10</v>
      </c>
      <c r="L85" s="3">
        <v>30</v>
      </c>
      <c r="Z85" s="3"/>
      <c r="AA85" s="3">
        <v>1</v>
      </c>
      <c r="AK85" s="3">
        <v>1</v>
      </c>
      <c r="AL85" s="3">
        <v>1</v>
      </c>
      <c r="AM85" s="3">
        <v>1</v>
      </c>
      <c r="BG85" s="3">
        <v>1</v>
      </c>
      <c r="BL85" s="3">
        <v>1</v>
      </c>
      <c r="BX85" s="3">
        <v>1</v>
      </c>
      <c r="CB85" s="3">
        <v>1</v>
      </c>
      <c r="CC85" s="3">
        <v>1</v>
      </c>
      <c r="CJ85" s="3">
        <v>1</v>
      </c>
      <c r="CT85" s="3">
        <v>1</v>
      </c>
      <c r="DG85" s="3">
        <v>1</v>
      </c>
      <c r="DQ85" s="3"/>
      <c r="DR85" s="3">
        <v>1</v>
      </c>
      <c r="EA85" s="3">
        <v>1</v>
      </c>
      <c r="EI85" s="3">
        <v>1</v>
      </c>
      <c r="EV85" s="3">
        <v>1</v>
      </c>
      <c r="FA85" s="3">
        <v>1</v>
      </c>
      <c r="FP85" s="3">
        <v>1</v>
      </c>
      <c r="FQ85" s="3">
        <v>1</v>
      </c>
    </row>
    <row r="86" spans="1:193" ht="13" x14ac:dyDescent="0.15">
      <c r="A86" s="13">
        <v>42823</v>
      </c>
      <c r="B86" s="3" t="s">
        <v>244</v>
      </c>
      <c r="C86" s="3">
        <v>21.310611999999999</v>
      </c>
      <c r="D86" s="3">
        <v>-158.00441000000001</v>
      </c>
      <c r="E86" s="3" t="s">
        <v>278</v>
      </c>
      <c r="F86" s="14">
        <v>0.38541666666666669</v>
      </c>
      <c r="G86" s="14">
        <v>0.46875</v>
      </c>
      <c r="H86" s="3">
        <v>6</v>
      </c>
      <c r="I86" s="3">
        <v>10</v>
      </c>
      <c r="J86" s="3" t="s">
        <v>198</v>
      </c>
      <c r="K86" s="3">
        <v>5</v>
      </c>
      <c r="L86" s="3">
        <v>26</v>
      </c>
      <c r="M86" s="3" t="s">
        <v>338</v>
      </c>
      <c r="Q86" s="3">
        <v>1</v>
      </c>
      <c r="AH86" s="3">
        <v>1</v>
      </c>
      <c r="BL86" s="3">
        <v>1</v>
      </c>
      <c r="BU86" s="3">
        <v>1</v>
      </c>
      <c r="BY86" s="3">
        <v>1</v>
      </c>
      <c r="DE86" s="3"/>
      <c r="DF86" s="3">
        <v>1</v>
      </c>
      <c r="DL86" s="3">
        <v>1</v>
      </c>
      <c r="DQ86" s="3"/>
      <c r="DR86" s="3">
        <v>1</v>
      </c>
      <c r="EI86" s="3">
        <v>1</v>
      </c>
      <c r="FA86" s="3">
        <v>1</v>
      </c>
      <c r="FQ86" s="3">
        <v>1</v>
      </c>
    </row>
    <row r="87" spans="1:193" ht="13" x14ac:dyDescent="0.15">
      <c r="A87" s="13">
        <v>42826</v>
      </c>
      <c r="B87" s="3" t="s">
        <v>303</v>
      </c>
      <c r="C87" s="3">
        <v>20.994240000000001</v>
      </c>
      <c r="D87" s="3">
        <v>-156.66825900000001</v>
      </c>
      <c r="E87" s="3" t="s">
        <v>197</v>
      </c>
      <c r="F87" s="14">
        <v>0.47083333333333333</v>
      </c>
      <c r="G87" s="14">
        <v>0.50416666666666665</v>
      </c>
      <c r="H87" s="3">
        <v>3</v>
      </c>
      <c r="I87" s="3">
        <v>25</v>
      </c>
      <c r="J87" s="3" t="s">
        <v>198</v>
      </c>
      <c r="K87" s="3">
        <v>11</v>
      </c>
      <c r="L87" s="3">
        <v>20</v>
      </c>
      <c r="M87" s="3" t="s">
        <v>339</v>
      </c>
      <c r="Z87" s="3"/>
      <c r="AA87" s="3">
        <v>1</v>
      </c>
      <c r="AL87" s="3">
        <v>1</v>
      </c>
      <c r="BJ87" s="3">
        <v>1</v>
      </c>
      <c r="BL87" s="3">
        <v>1</v>
      </c>
      <c r="BP87" s="3">
        <v>1</v>
      </c>
      <c r="CB87" s="3">
        <v>1</v>
      </c>
      <c r="CC87" s="3">
        <v>1</v>
      </c>
      <c r="CJ87" s="3">
        <v>1</v>
      </c>
      <c r="DG87" s="3">
        <v>1</v>
      </c>
      <c r="DO87" s="3">
        <v>1</v>
      </c>
      <c r="EC87" s="3">
        <v>1</v>
      </c>
      <c r="ES87" s="3"/>
      <c r="ET87" s="3"/>
      <c r="EU87" s="3">
        <v>1</v>
      </c>
      <c r="FB87" s="3">
        <v>1</v>
      </c>
      <c r="FQ87" s="3">
        <v>1</v>
      </c>
      <c r="FV87" s="3">
        <v>1</v>
      </c>
    </row>
    <row r="88" spans="1:193" ht="13" x14ac:dyDescent="0.15">
      <c r="A88" s="13">
        <v>42827</v>
      </c>
      <c r="B88" s="3" t="s">
        <v>340</v>
      </c>
      <c r="C88" s="3">
        <v>19.643276</v>
      </c>
      <c r="D88" s="3">
        <v>-156.01019299999999</v>
      </c>
      <c r="E88" s="3" t="s">
        <v>197</v>
      </c>
      <c r="F88" s="14">
        <v>0.48680555555555555</v>
      </c>
      <c r="G88" s="14">
        <v>0.52500000000000002</v>
      </c>
      <c r="H88" s="3">
        <v>3</v>
      </c>
      <c r="I88" s="3">
        <v>40</v>
      </c>
      <c r="J88" s="3" t="s">
        <v>198</v>
      </c>
      <c r="K88" s="3">
        <v>10</v>
      </c>
      <c r="L88" s="3">
        <v>28</v>
      </c>
      <c r="M88" s="3" t="s">
        <v>341</v>
      </c>
      <c r="S88" s="3">
        <v>1</v>
      </c>
      <c r="AC88" s="3">
        <v>1</v>
      </c>
      <c r="AL88" s="3">
        <v>1</v>
      </c>
      <c r="BL88" s="3">
        <v>1</v>
      </c>
      <c r="BY88" s="3">
        <v>1</v>
      </c>
      <c r="CB88" s="3">
        <v>1</v>
      </c>
      <c r="CM88" s="3">
        <v>1</v>
      </c>
      <c r="EI88" s="3">
        <v>1</v>
      </c>
      <c r="FC88" s="3"/>
      <c r="FE88" s="3">
        <v>1</v>
      </c>
      <c r="FL88" s="3">
        <v>1</v>
      </c>
      <c r="FP88" s="3">
        <v>1</v>
      </c>
      <c r="FQ88" s="3">
        <v>1</v>
      </c>
    </row>
    <row r="89" spans="1:193" ht="13" x14ac:dyDescent="0.15">
      <c r="A89" s="13">
        <v>42831</v>
      </c>
      <c r="B89" s="3" t="s">
        <v>201</v>
      </c>
      <c r="C89" s="3">
        <v>21.25544</v>
      </c>
      <c r="D89" s="3">
        <v>-157.810303</v>
      </c>
      <c r="E89" s="3" t="s">
        <v>197</v>
      </c>
      <c r="F89" s="14">
        <v>0</v>
      </c>
      <c r="G89" s="14">
        <v>4.1666666666666664E-2</v>
      </c>
      <c r="H89" s="3">
        <v>6</v>
      </c>
      <c r="I89" s="3">
        <v>11</v>
      </c>
      <c r="J89" s="3" t="s">
        <v>198</v>
      </c>
      <c r="K89" s="3">
        <v>12</v>
      </c>
      <c r="L89" s="3">
        <v>55</v>
      </c>
      <c r="M89" s="3" t="s">
        <v>342</v>
      </c>
      <c r="Q89" s="3">
        <v>1</v>
      </c>
      <c r="Z89" s="3"/>
      <c r="AA89" s="3">
        <v>1</v>
      </c>
      <c r="AC89" s="3">
        <v>1</v>
      </c>
      <c r="AE89" s="3">
        <v>1</v>
      </c>
      <c r="BG89" s="3">
        <v>1</v>
      </c>
      <c r="BL89" s="3">
        <v>1</v>
      </c>
      <c r="BV89" s="3">
        <v>1</v>
      </c>
      <c r="BY89" s="3">
        <v>1</v>
      </c>
      <c r="CA89" s="3">
        <v>1</v>
      </c>
      <c r="CR89" s="3">
        <v>1</v>
      </c>
      <c r="DL89" s="3">
        <v>1</v>
      </c>
      <c r="DS89" s="3">
        <v>1</v>
      </c>
      <c r="EC89" s="3">
        <v>1</v>
      </c>
      <c r="EI89" s="3">
        <v>1</v>
      </c>
      <c r="FA89" s="3">
        <v>1</v>
      </c>
      <c r="FB89" s="3">
        <v>1</v>
      </c>
      <c r="FQ89" s="3">
        <v>1</v>
      </c>
      <c r="FS89" s="3">
        <v>1</v>
      </c>
      <c r="GA89" s="3">
        <v>1</v>
      </c>
      <c r="GB89" s="3">
        <v>1</v>
      </c>
    </row>
    <row r="90" spans="1:193" ht="13" x14ac:dyDescent="0.15">
      <c r="A90" s="13">
        <v>42834</v>
      </c>
      <c r="B90" s="3" t="s">
        <v>301</v>
      </c>
      <c r="C90" s="3">
        <v>22.065598999999999</v>
      </c>
      <c r="D90" s="3">
        <v>-159.31770299999999</v>
      </c>
      <c r="E90" s="3" t="s">
        <v>344</v>
      </c>
      <c r="F90" s="14">
        <v>0.36875000000000002</v>
      </c>
      <c r="G90" s="14">
        <v>0.41041666666666665</v>
      </c>
      <c r="H90" s="3">
        <v>4</v>
      </c>
      <c r="I90" s="3">
        <v>15</v>
      </c>
      <c r="J90" s="3" t="s">
        <v>198</v>
      </c>
      <c r="K90" s="3">
        <v>8</v>
      </c>
      <c r="L90" s="3">
        <v>25</v>
      </c>
      <c r="M90" s="3" t="s">
        <v>345</v>
      </c>
      <c r="Q90" s="3">
        <v>1</v>
      </c>
      <c r="Z90" s="3"/>
      <c r="AA90" s="3">
        <v>1</v>
      </c>
      <c r="AC90" s="3">
        <v>1</v>
      </c>
      <c r="AZ90" s="3"/>
      <c r="BA90" s="3">
        <v>1</v>
      </c>
      <c r="BM90" s="3">
        <v>1</v>
      </c>
      <c r="BU90" s="3">
        <v>1</v>
      </c>
      <c r="DL90" s="3">
        <v>1</v>
      </c>
      <c r="DM90" s="3">
        <v>1</v>
      </c>
      <c r="DQ90" s="3"/>
      <c r="DR90" s="3">
        <v>1</v>
      </c>
      <c r="EI90" s="3">
        <v>1</v>
      </c>
      <c r="FA90" s="3">
        <v>1</v>
      </c>
      <c r="FH90" s="3">
        <v>1</v>
      </c>
      <c r="FP90" s="3">
        <v>1</v>
      </c>
      <c r="FQ90" s="3">
        <v>1</v>
      </c>
      <c r="FX90" s="3">
        <v>1</v>
      </c>
    </row>
    <row r="91" spans="1:193" ht="13" x14ac:dyDescent="0.15">
      <c r="A91" s="13">
        <v>42835</v>
      </c>
      <c r="B91" s="3" t="s">
        <v>216</v>
      </c>
      <c r="C91" s="3">
        <v>21.3002</v>
      </c>
      <c r="D91" s="3">
        <v>-157.882599</v>
      </c>
      <c r="E91" s="3" t="s">
        <v>272</v>
      </c>
      <c r="F91" s="14">
        <v>0.3888888888888889</v>
      </c>
      <c r="G91" s="14">
        <v>0.4236111111111111</v>
      </c>
      <c r="H91" s="3">
        <v>7</v>
      </c>
      <c r="I91" s="3">
        <v>20</v>
      </c>
      <c r="J91" s="3" t="s">
        <v>198</v>
      </c>
      <c r="K91" s="3">
        <v>5</v>
      </c>
      <c r="L91" s="3">
        <v>33</v>
      </c>
      <c r="M91" s="3" t="s">
        <v>346</v>
      </c>
      <c r="V91" s="3"/>
      <c r="W91" s="3">
        <v>1</v>
      </c>
      <c r="Z91" s="3"/>
      <c r="AA91" s="3">
        <v>1</v>
      </c>
      <c r="AB91" s="3">
        <v>1</v>
      </c>
      <c r="AH91" s="3">
        <v>1</v>
      </c>
      <c r="BL91" s="3">
        <v>1</v>
      </c>
      <c r="BU91" s="3">
        <v>1</v>
      </c>
      <c r="BY91" s="3">
        <v>1</v>
      </c>
      <c r="CB91" s="3">
        <v>1</v>
      </c>
      <c r="DE91" s="3"/>
      <c r="DF91" s="3">
        <v>1</v>
      </c>
      <c r="DG91" s="3">
        <v>1</v>
      </c>
      <c r="DN91" s="3">
        <v>1</v>
      </c>
      <c r="EB91" s="3">
        <v>1</v>
      </c>
      <c r="EF91" s="3">
        <v>1</v>
      </c>
      <c r="EI91" s="3">
        <v>1</v>
      </c>
      <c r="FH91" s="3">
        <v>1</v>
      </c>
      <c r="FQ91" s="3">
        <v>1</v>
      </c>
    </row>
    <row r="92" spans="1:193" ht="13" x14ac:dyDescent="0.15">
      <c r="A92" s="13">
        <v>42836</v>
      </c>
      <c r="B92" s="3" t="s">
        <v>301</v>
      </c>
      <c r="C92" s="3">
        <v>22.065598999999999</v>
      </c>
      <c r="D92" s="3">
        <v>-159.31770299999999</v>
      </c>
      <c r="E92" s="3" t="s">
        <v>347</v>
      </c>
      <c r="F92" s="14">
        <v>0.39583333333333331</v>
      </c>
      <c r="G92" s="14">
        <v>0.44374999999999998</v>
      </c>
      <c r="H92" s="3">
        <v>6</v>
      </c>
      <c r="I92" s="3">
        <v>15</v>
      </c>
      <c r="J92" s="3" t="s">
        <v>198</v>
      </c>
      <c r="K92" s="3">
        <v>7</v>
      </c>
      <c r="L92" s="3">
        <v>33</v>
      </c>
      <c r="M92" s="3" t="s">
        <v>348</v>
      </c>
      <c r="V92" s="3"/>
      <c r="W92" s="3">
        <v>1</v>
      </c>
      <c r="Z92" s="3"/>
      <c r="AA92" s="3">
        <v>1</v>
      </c>
      <c r="AM92" s="3">
        <v>1</v>
      </c>
      <c r="AT92" s="3">
        <v>1</v>
      </c>
      <c r="AV92" s="3"/>
      <c r="AW92" s="3">
        <v>1</v>
      </c>
      <c r="AY92" s="3">
        <v>1</v>
      </c>
      <c r="AZ92" s="3"/>
      <c r="BA92" s="3">
        <v>1</v>
      </c>
      <c r="BL92" s="3">
        <v>1</v>
      </c>
      <c r="BM92" s="3">
        <v>1</v>
      </c>
      <c r="BT92" s="3">
        <v>1</v>
      </c>
      <c r="BU92" s="3">
        <v>1</v>
      </c>
      <c r="BY92" s="3">
        <v>1</v>
      </c>
      <c r="CR92" s="3">
        <v>1</v>
      </c>
      <c r="CU92" s="3">
        <v>1</v>
      </c>
      <c r="DI92" s="3">
        <v>1</v>
      </c>
      <c r="DK92" s="3">
        <v>1</v>
      </c>
      <c r="DL92" s="3">
        <v>1</v>
      </c>
      <c r="DQ92" s="3"/>
      <c r="DR92" s="3">
        <v>1</v>
      </c>
      <c r="DT92" s="3"/>
      <c r="DU92" s="3">
        <v>1</v>
      </c>
      <c r="DY92" s="3">
        <v>1</v>
      </c>
      <c r="EI92" s="3">
        <v>1</v>
      </c>
      <c r="ES92" s="3"/>
      <c r="ET92" s="3"/>
      <c r="EU92" s="3">
        <v>1</v>
      </c>
      <c r="FA92" s="3">
        <v>1</v>
      </c>
      <c r="FC92" s="3"/>
      <c r="FE92" s="3">
        <v>1</v>
      </c>
      <c r="FH92" s="3">
        <v>1</v>
      </c>
      <c r="FQ92" s="3">
        <v>1</v>
      </c>
      <c r="FX92" s="3">
        <v>1</v>
      </c>
    </row>
    <row r="93" spans="1:193" ht="13" x14ac:dyDescent="0.15">
      <c r="A93" s="13">
        <v>42836</v>
      </c>
      <c r="B93" s="3" t="s">
        <v>266</v>
      </c>
      <c r="C93" s="3">
        <v>22.060683999999998</v>
      </c>
      <c r="D93" s="3">
        <v>-159.318512</v>
      </c>
      <c r="E93" s="3" t="s">
        <v>297</v>
      </c>
      <c r="F93" s="14">
        <v>0.40416666666666667</v>
      </c>
      <c r="G93" s="14">
        <v>0.44097222222222221</v>
      </c>
      <c r="H93" s="3">
        <v>6</v>
      </c>
      <c r="I93" s="3">
        <v>14</v>
      </c>
      <c r="J93" s="3" t="s">
        <v>198</v>
      </c>
      <c r="K93" s="3">
        <v>8</v>
      </c>
      <c r="L93" s="3">
        <v>37</v>
      </c>
      <c r="M93" s="3" t="s">
        <v>349</v>
      </c>
      <c r="S93" s="3">
        <v>1</v>
      </c>
      <c r="Z93" s="3">
        <v>1</v>
      </c>
      <c r="AU93" s="3">
        <v>1</v>
      </c>
      <c r="AZ93" s="3"/>
      <c r="BA93" s="3">
        <v>1</v>
      </c>
      <c r="BM93" s="3">
        <v>1</v>
      </c>
      <c r="BU93" s="3">
        <v>1</v>
      </c>
      <c r="CV93" s="3"/>
      <c r="CW93" s="3"/>
      <c r="CX93" s="3"/>
      <c r="CY93" s="3">
        <v>1</v>
      </c>
      <c r="DL93" s="3">
        <v>1</v>
      </c>
      <c r="DQ93" s="3"/>
      <c r="DR93" s="3">
        <v>1</v>
      </c>
      <c r="DT93" s="3"/>
      <c r="DU93" s="3">
        <v>1</v>
      </c>
      <c r="EI93" s="3">
        <v>1</v>
      </c>
      <c r="FA93" s="3">
        <v>1</v>
      </c>
      <c r="FB93" s="3">
        <v>1</v>
      </c>
      <c r="FC93" s="3"/>
      <c r="FE93" s="3">
        <v>1</v>
      </c>
      <c r="FH93" s="3">
        <v>1</v>
      </c>
      <c r="FP93" s="3">
        <v>1</v>
      </c>
      <c r="FQ93" s="3">
        <v>1</v>
      </c>
      <c r="FS93" s="3">
        <v>1</v>
      </c>
    </row>
    <row r="94" spans="1:193" ht="13" x14ac:dyDescent="0.15">
      <c r="A94" s="13">
        <v>42837</v>
      </c>
      <c r="B94" s="3" t="s">
        <v>266</v>
      </c>
      <c r="C94" s="3">
        <v>22.060683999999998</v>
      </c>
      <c r="D94" s="3">
        <v>-159.318512</v>
      </c>
      <c r="E94" s="3" t="s">
        <v>350</v>
      </c>
      <c r="F94" s="14">
        <v>0.3611111111111111</v>
      </c>
      <c r="G94" s="14">
        <v>0.44097222222222221</v>
      </c>
      <c r="H94" s="3">
        <v>6</v>
      </c>
      <c r="I94" s="3">
        <v>13</v>
      </c>
      <c r="J94" s="3" t="s">
        <v>198</v>
      </c>
      <c r="K94" s="3">
        <v>5</v>
      </c>
      <c r="L94" s="3">
        <v>28</v>
      </c>
      <c r="M94" s="3" t="s">
        <v>351</v>
      </c>
      <c r="AM94" s="3">
        <v>1</v>
      </c>
      <c r="AY94" s="3">
        <v>1</v>
      </c>
      <c r="BM94" s="3">
        <v>1</v>
      </c>
      <c r="BU94" s="3">
        <v>1</v>
      </c>
      <c r="DC94" s="3">
        <v>1</v>
      </c>
      <c r="DL94" s="3">
        <v>1</v>
      </c>
      <c r="DT94" s="3"/>
      <c r="DU94" s="3">
        <v>1</v>
      </c>
      <c r="EI94" s="3">
        <v>1</v>
      </c>
      <c r="FP94" s="3">
        <v>1</v>
      </c>
      <c r="FQ94" s="3">
        <v>1</v>
      </c>
      <c r="GJ94" s="3">
        <f>25*O94</f>
        <v>0</v>
      </c>
      <c r="GK94" s="3">
        <f>GJ94-GI94</f>
        <v>0</v>
      </c>
    </row>
    <row r="95" spans="1:193" ht="13" x14ac:dyDescent="0.15">
      <c r="A95" s="13">
        <v>42837</v>
      </c>
      <c r="B95" s="3" t="s">
        <v>355</v>
      </c>
      <c r="C95" s="3">
        <v>21.284300000000002</v>
      </c>
      <c r="D95" s="3">
        <v>-157.67529300000001</v>
      </c>
      <c r="E95" s="3" t="s">
        <v>356</v>
      </c>
      <c r="F95" s="14">
        <v>0.39791666666666664</v>
      </c>
      <c r="G95" s="14">
        <v>0.44097222222222221</v>
      </c>
      <c r="H95" s="3">
        <v>7</v>
      </c>
      <c r="I95" s="3">
        <v>25</v>
      </c>
      <c r="J95" s="3" t="s">
        <v>198</v>
      </c>
      <c r="K95" s="3">
        <v>4</v>
      </c>
      <c r="L95" s="3">
        <v>23</v>
      </c>
      <c r="M95" s="3" t="s">
        <v>357</v>
      </c>
      <c r="AA95" s="3">
        <v>1</v>
      </c>
      <c r="AB95" s="3">
        <v>1</v>
      </c>
      <c r="AC95" s="3">
        <v>1</v>
      </c>
      <c r="AF95" s="3">
        <v>1</v>
      </c>
      <c r="BJ95" s="3">
        <v>1</v>
      </c>
      <c r="BL95" s="3">
        <v>1</v>
      </c>
      <c r="BY95" s="3">
        <v>1</v>
      </c>
      <c r="CF95" s="3"/>
      <c r="CG95" s="3">
        <v>1</v>
      </c>
      <c r="EI95" s="3">
        <v>1</v>
      </c>
      <c r="EJ95" s="3">
        <v>1</v>
      </c>
      <c r="FA95" s="3">
        <v>1</v>
      </c>
      <c r="FC95" s="3"/>
      <c r="FE95" s="3">
        <v>1</v>
      </c>
      <c r="FP95" s="3">
        <v>1</v>
      </c>
      <c r="FQ95" s="3">
        <v>1</v>
      </c>
      <c r="FS95" s="3">
        <v>1</v>
      </c>
    </row>
    <row r="96" spans="1:193" ht="13" x14ac:dyDescent="0.15">
      <c r="A96" s="13">
        <v>42838</v>
      </c>
      <c r="B96" s="3" t="s">
        <v>259</v>
      </c>
      <c r="C96" s="3">
        <v>19.737894000000001</v>
      </c>
      <c r="D96" s="3">
        <v>-155.03405799999999</v>
      </c>
      <c r="E96" s="3" t="s">
        <v>358</v>
      </c>
      <c r="F96" s="14">
        <v>0.40277777777777779</v>
      </c>
      <c r="G96" s="14">
        <v>0.47847222222222224</v>
      </c>
      <c r="H96" s="3">
        <v>4</v>
      </c>
      <c r="I96" s="3">
        <v>60</v>
      </c>
      <c r="J96" s="3" t="s">
        <v>360</v>
      </c>
      <c r="K96" s="3">
        <v>10</v>
      </c>
      <c r="L96" s="3">
        <v>27</v>
      </c>
      <c r="M96" s="3" t="s">
        <v>361</v>
      </c>
      <c r="AB96" s="3">
        <v>1</v>
      </c>
      <c r="AE96" s="3">
        <v>1</v>
      </c>
      <c r="AH96" s="3">
        <v>1</v>
      </c>
      <c r="BJ96" s="3">
        <v>1</v>
      </c>
      <c r="BL96" s="3">
        <v>1</v>
      </c>
      <c r="BM96" s="3">
        <v>1</v>
      </c>
      <c r="BP96" s="3">
        <v>1</v>
      </c>
      <c r="CF96" s="3"/>
      <c r="CG96" s="3">
        <v>1</v>
      </c>
      <c r="CN96" s="3">
        <v>1</v>
      </c>
      <c r="EC96" s="3">
        <v>1</v>
      </c>
      <c r="FA96" s="3">
        <v>1</v>
      </c>
      <c r="FC96" s="3"/>
      <c r="FE96" s="3">
        <v>1</v>
      </c>
      <c r="FQ96" s="3">
        <v>1</v>
      </c>
      <c r="FS96" s="3">
        <v>1</v>
      </c>
      <c r="FT96" s="3"/>
      <c r="FU96" s="3">
        <v>1</v>
      </c>
    </row>
    <row r="97" spans="1:184" ht="13" x14ac:dyDescent="0.15">
      <c r="A97" s="13">
        <v>42838</v>
      </c>
      <c r="B97" s="3" t="s">
        <v>352</v>
      </c>
      <c r="C97" s="3">
        <v>21.7057</v>
      </c>
      <c r="D97" s="3">
        <v>-157.99569700000001</v>
      </c>
      <c r="E97" s="3" t="s">
        <v>353</v>
      </c>
      <c r="F97" s="14">
        <v>0.4375</v>
      </c>
      <c r="G97" s="14">
        <v>0.47916666666666669</v>
      </c>
      <c r="H97" s="3">
        <v>9</v>
      </c>
      <c r="I97" s="3">
        <v>16</v>
      </c>
      <c r="J97" s="3" t="s">
        <v>198</v>
      </c>
      <c r="K97" s="3">
        <v>10</v>
      </c>
      <c r="L97" s="3">
        <v>40</v>
      </c>
      <c r="M97" s="3" t="s">
        <v>363</v>
      </c>
      <c r="N97" s="3" t="s">
        <v>364</v>
      </c>
      <c r="AH97" s="3">
        <v>1</v>
      </c>
      <c r="AM97" s="3">
        <v>1</v>
      </c>
      <c r="AT97" s="3">
        <v>1</v>
      </c>
      <c r="BL97" s="3">
        <v>1</v>
      </c>
      <c r="BM97" s="3">
        <v>1</v>
      </c>
      <c r="BU97" s="3">
        <v>1</v>
      </c>
      <c r="CB97" s="3">
        <v>1</v>
      </c>
      <c r="CC97" s="3">
        <v>1</v>
      </c>
      <c r="CR97" s="3">
        <v>1</v>
      </c>
      <c r="DL97" s="3">
        <v>1</v>
      </c>
      <c r="DT97" s="3"/>
      <c r="DU97" s="3">
        <v>1</v>
      </c>
      <c r="DY97" s="3">
        <v>1</v>
      </c>
      <c r="EI97" s="3">
        <v>1</v>
      </c>
      <c r="FA97" s="3">
        <v>1</v>
      </c>
      <c r="FG97" s="3">
        <v>1</v>
      </c>
      <c r="FP97" s="3">
        <v>1</v>
      </c>
      <c r="FQ97" s="3">
        <v>1</v>
      </c>
      <c r="FY97" s="3">
        <v>1</v>
      </c>
    </row>
    <row r="98" spans="1:184" ht="13" x14ac:dyDescent="0.15">
      <c r="A98" s="13">
        <v>42844</v>
      </c>
      <c r="B98" s="3" t="s">
        <v>244</v>
      </c>
      <c r="C98" s="3">
        <v>21.310611999999999</v>
      </c>
      <c r="D98" s="3">
        <v>-158.00441000000001</v>
      </c>
      <c r="E98" s="3" t="s">
        <v>278</v>
      </c>
      <c r="F98" s="14">
        <v>0.38541666666666669</v>
      </c>
      <c r="G98" s="14">
        <v>0.46875</v>
      </c>
      <c r="H98" s="3">
        <v>6</v>
      </c>
      <c r="I98" s="3">
        <v>6</v>
      </c>
      <c r="J98" s="3" t="s">
        <v>198</v>
      </c>
      <c r="K98" s="3">
        <v>5</v>
      </c>
      <c r="L98" s="3">
        <v>24</v>
      </c>
      <c r="M98" s="3" t="s">
        <v>365</v>
      </c>
      <c r="N98" s="3" t="s">
        <v>295</v>
      </c>
      <c r="Q98" s="3">
        <v>1</v>
      </c>
      <c r="AD98" s="3">
        <v>1</v>
      </c>
      <c r="AH98" s="3">
        <v>1</v>
      </c>
      <c r="AV98" s="3">
        <v>1</v>
      </c>
      <c r="AZ98" s="3"/>
      <c r="BA98" s="3">
        <v>1</v>
      </c>
      <c r="BL98" s="3">
        <v>1</v>
      </c>
      <c r="BU98" s="3">
        <v>1</v>
      </c>
      <c r="BY98" s="3">
        <v>1</v>
      </c>
      <c r="DE98" s="3"/>
      <c r="DF98" s="3">
        <v>1</v>
      </c>
      <c r="DL98" s="3">
        <v>1</v>
      </c>
      <c r="DQ98" s="3"/>
      <c r="DR98" s="3">
        <v>1</v>
      </c>
      <c r="EB98" s="3">
        <v>1</v>
      </c>
      <c r="EI98" s="3">
        <v>1</v>
      </c>
      <c r="EW98" s="3">
        <v>1</v>
      </c>
      <c r="FC98" s="3"/>
      <c r="FE98" s="3">
        <v>1</v>
      </c>
      <c r="FH98" s="3">
        <v>1</v>
      </c>
      <c r="FQ98" s="3">
        <v>1</v>
      </c>
      <c r="FT98" s="3"/>
      <c r="FU98" s="3">
        <v>1</v>
      </c>
    </row>
    <row r="99" spans="1:184" ht="13" x14ac:dyDescent="0.15">
      <c r="A99" s="13">
        <v>42844</v>
      </c>
      <c r="B99" s="3" t="s">
        <v>369</v>
      </c>
      <c r="C99" s="3">
        <v>21.888725000000001</v>
      </c>
      <c r="D99" s="3">
        <v>-159.41641200000001</v>
      </c>
      <c r="E99" s="3" t="s">
        <v>321</v>
      </c>
      <c r="F99" s="14">
        <v>0.35416666666666669</v>
      </c>
      <c r="G99" s="14">
        <v>0.5</v>
      </c>
      <c r="H99" s="3">
        <v>5</v>
      </c>
      <c r="I99" s="3">
        <v>18</v>
      </c>
      <c r="J99" s="3" t="s">
        <v>217</v>
      </c>
      <c r="K99" s="3">
        <v>5</v>
      </c>
      <c r="L99" s="3">
        <v>19</v>
      </c>
      <c r="M99" s="3" t="s">
        <v>370</v>
      </c>
      <c r="AA99" s="3">
        <v>1</v>
      </c>
      <c r="AH99" s="3">
        <v>1</v>
      </c>
      <c r="AM99" s="3">
        <v>1</v>
      </c>
      <c r="BG99" s="3">
        <v>1</v>
      </c>
      <c r="BN99" s="3"/>
      <c r="BO99" s="3">
        <v>1</v>
      </c>
      <c r="BU99" s="3">
        <v>1</v>
      </c>
      <c r="BY99" s="3">
        <v>1</v>
      </c>
      <c r="CR99" s="3">
        <v>1</v>
      </c>
      <c r="DQ99" s="3"/>
      <c r="DR99" s="3">
        <v>1</v>
      </c>
      <c r="DT99" s="3"/>
      <c r="DU99" s="3">
        <v>1</v>
      </c>
      <c r="EI99" s="3">
        <v>1</v>
      </c>
      <c r="FH99" s="3">
        <v>1</v>
      </c>
      <c r="FQ99" s="3">
        <v>1</v>
      </c>
    </row>
    <row r="100" spans="1:184" ht="13" x14ac:dyDescent="0.15">
      <c r="A100" s="13">
        <v>42850</v>
      </c>
      <c r="B100" s="3" t="s">
        <v>244</v>
      </c>
      <c r="C100" s="3">
        <v>21.310611999999999</v>
      </c>
      <c r="D100" s="3">
        <v>-158.00441000000001</v>
      </c>
      <c r="E100" s="3" t="s">
        <v>326</v>
      </c>
      <c r="F100" s="14">
        <v>0.39583333333333331</v>
      </c>
      <c r="G100" s="14">
        <v>0.45833333333333331</v>
      </c>
      <c r="H100" s="3">
        <v>7</v>
      </c>
      <c r="I100" s="3">
        <v>10</v>
      </c>
      <c r="J100" s="3" t="s">
        <v>318</v>
      </c>
      <c r="K100" s="3">
        <v>5</v>
      </c>
      <c r="L100" s="3">
        <v>34</v>
      </c>
      <c r="M100" s="3" t="s">
        <v>371</v>
      </c>
      <c r="Q100" s="3">
        <v>1</v>
      </c>
      <c r="AA100" s="3">
        <v>1</v>
      </c>
      <c r="AB100" s="3">
        <v>1</v>
      </c>
      <c r="AD100" s="3">
        <v>1</v>
      </c>
      <c r="AH100" s="3">
        <v>1</v>
      </c>
      <c r="AL100" s="3">
        <v>1</v>
      </c>
      <c r="AM100" s="3">
        <v>1</v>
      </c>
      <c r="AS100" s="3">
        <v>1</v>
      </c>
      <c r="AZ100" s="3"/>
      <c r="BA100" s="3">
        <v>1</v>
      </c>
      <c r="BL100" s="3">
        <v>1</v>
      </c>
      <c r="BU100" s="3">
        <v>1</v>
      </c>
      <c r="BY100" s="3">
        <v>1</v>
      </c>
      <c r="CO100" s="3"/>
      <c r="CP100" s="3"/>
      <c r="CQ100" s="3">
        <v>1</v>
      </c>
      <c r="CV100" s="3"/>
      <c r="CW100" s="3"/>
      <c r="CX100" s="3">
        <v>1</v>
      </c>
      <c r="DE100" s="3"/>
      <c r="DF100" s="3">
        <v>1</v>
      </c>
      <c r="DL100" s="3">
        <v>1</v>
      </c>
      <c r="DN100" s="3">
        <v>1</v>
      </c>
      <c r="DT100" s="3"/>
      <c r="DU100" s="3">
        <v>1</v>
      </c>
      <c r="EI100" s="3">
        <v>1</v>
      </c>
      <c r="EJ100" s="3">
        <v>1</v>
      </c>
      <c r="EN100" s="3">
        <v>1</v>
      </c>
      <c r="FA100" s="3">
        <v>1</v>
      </c>
      <c r="FQ100" s="3">
        <v>1</v>
      </c>
      <c r="FT100" s="3"/>
      <c r="FU100" s="3">
        <v>1</v>
      </c>
    </row>
    <row r="101" spans="1:184" ht="13" x14ac:dyDescent="0.15">
      <c r="A101" s="13">
        <v>42850</v>
      </c>
      <c r="B101" s="3" t="s">
        <v>250</v>
      </c>
      <c r="C101" s="3">
        <v>21.410399999999999</v>
      </c>
      <c r="D101" s="3">
        <v>-158.17770400000001</v>
      </c>
      <c r="E101" s="3" t="s">
        <v>372</v>
      </c>
      <c r="F101" s="14">
        <v>0.3888888888888889</v>
      </c>
      <c r="G101" s="14">
        <v>0.47916666666666669</v>
      </c>
      <c r="H101" s="3">
        <v>6</v>
      </c>
      <c r="I101" s="3">
        <v>20</v>
      </c>
      <c r="J101" s="3" t="s">
        <v>198</v>
      </c>
      <c r="K101" s="3">
        <v>5</v>
      </c>
      <c r="L101" s="3">
        <v>23</v>
      </c>
      <c r="M101" s="3" t="s">
        <v>373</v>
      </c>
      <c r="Q101" s="3">
        <v>1</v>
      </c>
      <c r="AB101" s="3">
        <v>1</v>
      </c>
      <c r="BR101" s="3">
        <v>1</v>
      </c>
      <c r="BY101" s="3">
        <v>1</v>
      </c>
      <c r="CB101" s="3">
        <v>1</v>
      </c>
      <c r="CJ101" s="3">
        <v>1</v>
      </c>
      <c r="CM101" s="3">
        <v>1</v>
      </c>
      <c r="CN101" s="3">
        <v>1</v>
      </c>
      <c r="DE101" s="3"/>
      <c r="DF101" s="3">
        <v>1</v>
      </c>
      <c r="DI101" s="3">
        <v>1</v>
      </c>
      <c r="DK101" s="3">
        <v>1</v>
      </c>
      <c r="DL101" s="3">
        <v>1</v>
      </c>
      <c r="DQ101" s="3"/>
      <c r="DR101" s="3">
        <v>1</v>
      </c>
      <c r="EJ101" s="3">
        <v>1</v>
      </c>
      <c r="EW101" s="3">
        <v>1</v>
      </c>
      <c r="EX101" s="3">
        <v>1</v>
      </c>
      <c r="FP101" s="3">
        <v>1</v>
      </c>
      <c r="FQ101" s="3">
        <v>1</v>
      </c>
      <c r="FY101" s="3">
        <v>1</v>
      </c>
      <c r="GB101" s="3">
        <v>1</v>
      </c>
    </row>
    <row r="102" spans="1:184" ht="13" x14ac:dyDescent="0.15">
      <c r="A102" s="13">
        <v>42850</v>
      </c>
      <c r="B102" s="3" t="s">
        <v>374</v>
      </c>
      <c r="C102" s="3">
        <v>20.738001000000001</v>
      </c>
      <c r="D102" s="3">
        <v>-156.895004</v>
      </c>
      <c r="E102" s="3" t="s">
        <v>375</v>
      </c>
      <c r="F102" s="14">
        <v>0.40625</v>
      </c>
      <c r="G102" s="14">
        <v>0.46875</v>
      </c>
      <c r="H102" s="3">
        <v>5</v>
      </c>
      <c r="I102" s="3">
        <v>20</v>
      </c>
      <c r="J102" s="3" t="s">
        <v>318</v>
      </c>
      <c r="K102" s="3">
        <v>5</v>
      </c>
      <c r="L102" s="3">
        <v>20</v>
      </c>
      <c r="M102" s="3" t="s">
        <v>376</v>
      </c>
      <c r="Q102" s="3">
        <v>1</v>
      </c>
      <c r="R102" s="3">
        <v>1</v>
      </c>
      <c r="AA102" s="3">
        <v>1</v>
      </c>
      <c r="AC102" s="3">
        <v>1</v>
      </c>
      <c r="AG102" s="3">
        <v>1</v>
      </c>
      <c r="AL102" s="3">
        <v>1</v>
      </c>
      <c r="AY102" s="3">
        <v>1</v>
      </c>
      <c r="BD102" s="3">
        <v>1</v>
      </c>
      <c r="BL102" s="3">
        <v>1</v>
      </c>
      <c r="BU102" s="3">
        <v>1</v>
      </c>
      <c r="BV102" s="3">
        <v>1</v>
      </c>
      <c r="BX102" s="3">
        <v>1</v>
      </c>
      <c r="BY102" s="3">
        <v>1</v>
      </c>
      <c r="CB102" s="3">
        <v>1</v>
      </c>
      <c r="CO102" s="3">
        <v>1</v>
      </c>
      <c r="CY102" s="3">
        <v>1</v>
      </c>
      <c r="DA102" s="3">
        <v>1</v>
      </c>
      <c r="DE102" s="3"/>
      <c r="DF102" s="3">
        <v>1</v>
      </c>
      <c r="DI102" s="3">
        <v>1</v>
      </c>
      <c r="DO102" s="3">
        <v>1</v>
      </c>
      <c r="DV102" s="3">
        <v>1</v>
      </c>
      <c r="EC102" s="3">
        <v>1</v>
      </c>
      <c r="EI102" s="3">
        <v>1</v>
      </c>
      <c r="EY102" s="3">
        <v>1</v>
      </c>
      <c r="FA102" s="3">
        <v>1</v>
      </c>
      <c r="FC102" s="3"/>
      <c r="FE102" s="3">
        <v>1</v>
      </c>
      <c r="FP102" s="3">
        <v>1</v>
      </c>
      <c r="FQ102" s="3">
        <v>1</v>
      </c>
    </row>
    <row r="103" spans="1:184" ht="13" x14ac:dyDescent="0.15">
      <c r="A103" s="13">
        <v>42851</v>
      </c>
      <c r="B103" s="3" t="s">
        <v>369</v>
      </c>
      <c r="C103" s="3">
        <v>21.888725000000001</v>
      </c>
      <c r="D103" s="3">
        <v>-159.41641200000001</v>
      </c>
      <c r="E103" s="3" t="s">
        <v>321</v>
      </c>
      <c r="F103" s="14">
        <v>0.375</v>
      </c>
      <c r="G103" s="14">
        <v>0.5625</v>
      </c>
      <c r="H103" s="3">
        <v>5</v>
      </c>
      <c r="I103" s="3">
        <v>10</v>
      </c>
      <c r="J103" s="3" t="s">
        <v>217</v>
      </c>
      <c r="K103" s="3">
        <v>5</v>
      </c>
      <c r="L103" s="3">
        <v>23</v>
      </c>
      <c r="M103" s="3" t="s">
        <v>380</v>
      </c>
      <c r="AA103" s="3">
        <v>1</v>
      </c>
      <c r="AB103" s="3">
        <v>1</v>
      </c>
      <c r="AG103" s="3">
        <v>1</v>
      </c>
      <c r="AH103" s="3">
        <v>1</v>
      </c>
      <c r="AZ103" s="3"/>
      <c r="BA103" s="3">
        <v>1</v>
      </c>
      <c r="BG103" s="3">
        <v>1</v>
      </c>
      <c r="BL103" s="3">
        <v>1</v>
      </c>
      <c r="BN103" s="3"/>
      <c r="BO103" s="3">
        <v>1</v>
      </c>
      <c r="BU103" s="3">
        <v>1</v>
      </c>
      <c r="BY103" s="3">
        <v>1</v>
      </c>
      <c r="CR103" s="3">
        <v>1</v>
      </c>
      <c r="DE103" s="3"/>
      <c r="DF103" s="3">
        <v>1</v>
      </c>
      <c r="DL103" s="3">
        <v>1</v>
      </c>
      <c r="DQ103" s="3"/>
      <c r="DR103" s="3">
        <v>1</v>
      </c>
      <c r="DT103" s="3"/>
      <c r="DU103" s="3">
        <v>1</v>
      </c>
      <c r="EI103" s="3">
        <v>1</v>
      </c>
      <c r="FA103" s="3">
        <v>1</v>
      </c>
      <c r="FH103" s="3">
        <v>1</v>
      </c>
      <c r="FQ103" s="3">
        <v>1</v>
      </c>
    </row>
    <row r="104" spans="1:184" ht="13" x14ac:dyDescent="0.15">
      <c r="A104" s="13">
        <v>42851</v>
      </c>
      <c r="B104" s="3" t="s">
        <v>340</v>
      </c>
      <c r="C104" s="3">
        <v>19.643276</v>
      </c>
      <c r="D104" s="3">
        <v>-156.01019299999999</v>
      </c>
      <c r="E104" s="3" t="s">
        <v>381</v>
      </c>
      <c r="F104" s="14">
        <v>0.38541666666666669</v>
      </c>
      <c r="G104" s="14">
        <v>0.45833333333333331</v>
      </c>
      <c r="H104" s="3">
        <v>7</v>
      </c>
      <c r="I104" s="3">
        <v>21</v>
      </c>
      <c r="J104" s="3" t="s">
        <v>198</v>
      </c>
      <c r="K104" s="3">
        <v>11</v>
      </c>
      <c r="L104" s="3">
        <v>75</v>
      </c>
      <c r="M104" s="3" t="s">
        <v>382</v>
      </c>
      <c r="S104" s="3">
        <v>1</v>
      </c>
      <c r="AF104" s="3">
        <v>1</v>
      </c>
      <c r="AL104" s="3">
        <v>1</v>
      </c>
      <c r="BL104" s="3">
        <v>1</v>
      </c>
      <c r="BQ104" s="3">
        <v>1</v>
      </c>
      <c r="CB104" s="3">
        <v>1</v>
      </c>
      <c r="EI104" s="3">
        <v>1</v>
      </c>
      <c r="EY104" s="3">
        <v>1</v>
      </c>
      <c r="FC104" s="3"/>
      <c r="FE104" s="3">
        <v>1</v>
      </c>
      <c r="FL104" s="3">
        <v>1</v>
      </c>
      <c r="FP104" s="3">
        <v>1</v>
      </c>
      <c r="FQ104" s="3">
        <v>1</v>
      </c>
      <c r="FY104" s="3">
        <v>1</v>
      </c>
    </row>
    <row r="105" spans="1:184" ht="13" x14ac:dyDescent="0.15">
      <c r="A105" s="13">
        <v>42851</v>
      </c>
      <c r="B105" s="3" t="s">
        <v>293</v>
      </c>
      <c r="C105" s="3">
        <v>19.738602</v>
      </c>
      <c r="D105" s="3">
        <v>-155.03887900000001</v>
      </c>
      <c r="E105" s="3" t="s">
        <v>383</v>
      </c>
      <c r="F105" s="14">
        <v>0.39930555555555558</v>
      </c>
      <c r="G105" s="14">
        <v>0.4548611111111111</v>
      </c>
      <c r="H105" s="3">
        <v>5</v>
      </c>
      <c r="I105" s="3">
        <v>22</v>
      </c>
      <c r="J105" s="3" t="s">
        <v>198</v>
      </c>
      <c r="K105" s="3">
        <v>6</v>
      </c>
      <c r="L105" s="3">
        <v>28</v>
      </c>
      <c r="M105" s="3" t="s">
        <v>384</v>
      </c>
      <c r="BJ105" s="3">
        <v>1</v>
      </c>
      <c r="BL105" s="3">
        <v>1</v>
      </c>
      <c r="CB105" s="3">
        <v>1</v>
      </c>
      <c r="CN105" s="3">
        <v>1</v>
      </c>
      <c r="EI105" s="3">
        <v>1</v>
      </c>
      <c r="EO105" s="3">
        <v>1</v>
      </c>
      <c r="FQ105" s="3">
        <v>1</v>
      </c>
      <c r="FR105" s="3">
        <v>1</v>
      </c>
    </row>
    <row r="106" spans="1:184" ht="13" x14ac:dyDescent="0.15">
      <c r="A106" s="13">
        <v>42851</v>
      </c>
      <c r="B106" s="3" t="s">
        <v>216</v>
      </c>
      <c r="C106" s="3">
        <v>21.3002</v>
      </c>
      <c r="D106" s="3">
        <v>-157.882599</v>
      </c>
      <c r="E106" s="3" t="s">
        <v>385</v>
      </c>
      <c r="F106" s="14">
        <v>0.40277777777777779</v>
      </c>
      <c r="G106" s="14">
        <v>0.44791666666666669</v>
      </c>
      <c r="H106" s="3">
        <v>7</v>
      </c>
      <c r="I106" s="3">
        <v>16</v>
      </c>
      <c r="J106" s="3" t="s">
        <v>217</v>
      </c>
      <c r="K106" s="3">
        <v>5</v>
      </c>
      <c r="L106" s="3">
        <v>28</v>
      </c>
      <c r="M106" s="3" t="s">
        <v>386</v>
      </c>
      <c r="N106" s="3" t="s">
        <v>387</v>
      </c>
      <c r="AA106" s="3">
        <v>2</v>
      </c>
      <c r="AL106" s="3">
        <v>1</v>
      </c>
      <c r="BL106" s="3">
        <v>1</v>
      </c>
      <c r="BV106" s="3">
        <v>1</v>
      </c>
      <c r="CB106" s="3">
        <v>1</v>
      </c>
      <c r="CC106" s="3">
        <v>1</v>
      </c>
      <c r="DH106" s="3">
        <v>1</v>
      </c>
      <c r="DN106" s="3">
        <v>1</v>
      </c>
      <c r="DQ106" s="3"/>
      <c r="DR106" s="3">
        <v>1</v>
      </c>
      <c r="EB106" s="3">
        <v>1</v>
      </c>
      <c r="EI106" s="3">
        <v>1</v>
      </c>
      <c r="FH106" s="3">
        <v>1</v>
      </c>
      <c r="FQ106" s="3">
        <v>1</v>
      </c>
    </row>
    <row r="107" spans="1:184" ht="13" x14ac:dyDescent="0.15">
      <c r="A107" s="13">
        <v>42852</v>
      </c>
      <c r="B107" s="3" t="s">
        <v>293</v>
      </c>
      <c r="C107" s="3">
        <v>19.738602</v>
      </c>
      <c r="D107" s="3">
        <v>-155.03887900000001</v>
      </c>
      <c r="F107" s="14">
        <v>0.3611111111111111</v>
      </c>
      <c r="G107" s="14">
        <v>0.45833333333333331</v>
      </c>
      <c r="H107" s="3">
        <v>3</v>
      </c>
      <c r="I107" s="3">
        <v>10</v>
      </c>
      <c r="J107" s="3" t="s">
        <v>198</v>
      </c>
      <c r="K107" s="3">
        <v>5</v>
      </c>
      <c r="L107" s="3">
        <v>8</v>
      </c>
      <c r="M107" s="3" t="s">
        <v>388</v>
      </c>
      <c r="N107" s="3" t="s">
        <v>295</v>
      </c>
      <c r="BJ107" s="3">
        <v>1</v>
      </c>
      <c r="BL107" s="3">
        <v>1</v>
      </c>
      <c r="CB107" s="3">
        <v>1</v>
      </c>
      <c r="CN107" s="3">
        <v>1</v>
      </c>
      <c r="DL107" s="3">
        <v>1</v>
      </c>
      <c r="DQ107" s="3">
        <v>1</v>
      </c>
      <c r="ES107" s="3"/>
      <c r="ET107" s="3"/>
      <c r="EU107" s="3">
        <v>1</v>
      </c>
      <c r="FA107" s="3">
        <v>1</v>
      </c>
      <c r="FQ107" s="3">
        <v>1</v>
      </c>
      <c r="FT107" s="3"/>
      <c r="FU107" s="3">
        <v>1</v>
      </c>
    </row>
    <row r="108" spans="1:184" ht="13" x14ac:dyDescent="0.15">
      <c r="A108" s="13">
        <v>42852</v>
      </c>
      <c r="B108" s="3" t="s">
        <v>201</v>
      </c>
      <c r="C108" s="3">
        <v>21.25544</v>
      </c>
      <c r="D108" s="3">
        <v>-157.810303</v>
      </c>
      <c r="E108" s="3" t="s">
        <v>389</v>
      </c>
      <c r="F108" s="14">
        <v>0.37847222222222221</v>
      </c>
      <c r="G108" s="14">
        <v>0.4236111111111111</v>
      </c>
      <c r="H108" s="3">
        <v>7</v>
      </c>
      <c r="I108" s="3">
        <v>12</v>
      </c>
      <c r="J108" s="3" t="s">
        <v>198</v>
      </c>
      <c r="K108" s="3">
        <v>6</v>
      </c>
      <c r="L108" s="3">
        <v>31</v>
      </c>
      <c r="M108" s="3" t="s">
        <v>390</v>
      </c>
      <c r="AE108" s="3">
        <v>1</v>
      </c>
      <c r="AY108" s="3">
        <v>1</v>
      </c>
      <c r="BU108" s="3">
        <v>1</v>
      </c>
      <c r="BY108" s="3">
        <v>1</v>
      </c>
      <c r="DE108" s="3"/>
      <c r="DF108" s="3">
        <v>1</v>
      </c>
      <c r="DR108" s="3">
        <v>1</v>
      </c>
      <c r="EI108" s="3">
        <v>1</v>
      </c>
      <c r="FA108" s="3">
        <v>1</v>
      </c>
      <c r="FD108" s="3">
        <v>1</v>
      </c>
      <c r="FP108" s="3">
        <v>1</v>
      </c>
      <c r="FQ108" s="3">
        <v>1</v>
      </c>
    </row>
    <row r="109" spans="1:184" ht="13" x14ac:dyDescent="0.15">
      <c r="A109" s="13">
        <v>42853</v>
      </c>
      <c r="B109" s="3" t="s">
        <v>374</v>
      </c>
      <c r="C109" s="3">
        <v>20.738001000000001</v>
      </c>
      <c r="D109" s="3">
        <v>-156.895004</v>
      </c>
      <c r="E109" s="3" t="s">
        <v>391</v>
      </c>
      <c r="F109" s="14">
        <v>0.47083333333333333</v>
      </c>
      <c r="G109" s="14">
        <v>0.49861111111111112</v>
      </c>
      <c r="H109" s="3">
        <v>2</v>
      </c>
      <c r="I109" s="3">
        <v>25</v>
      </c>
      <c r="J109" s="3" t="s">
        <v>198</v>
      </c>
      <c r="K109" s="3">
        <v>13</v>
      </c>
      <c r="L109" s="3">
        <v>11</v>
      </c>
      <c r="M109" s="3" t="s">
        <v>392</v>
      </c>
      <c r="BL109" s="3">
        <v>1</v>
      </c>
      <c r="CF109" s="3"/>
      <c r="CG109" s="3">
        <v>1</v>
      </c>
      <c r="CT109" s="3">
        <v>1</v>
      </c>
      <c r="EI109" s="3">
        <v>1</v>
      </c>
      <c r="FL109" s="3">
        <v>1</v>
      </c>
      <c r="FQ109" s="3">
        <v>1</v>
      </c>
      <c r="FS109" s="3">
        <v>1</v>
      </c>
    </row>
    <row r="110" spans="1:184" ht="13" x14ac:dyDescent="0.15">
      <c r="A110" s="13">
        <v>42860</v>
      </c>
      <c r="B110" s="3" t="s">
        <v>244</v>
      </c>
      <c r="C110" s="3">
        <v>21.310611999999999</v>
      </c>
      <c r="D110" s="3">
        <v>-158.00441000000001</v>
      </c>
      <c r="E110" s="3" t="s">
        <v>278</v>
      </c>
      <c r="F110" s="14">
        <v>0.38541666666666669</v>
      </c>
      <c r="G110" s="14">
        <v>0.45833333333333331</v>
      </c>
      <c r="H110" s="3">
        <v>6</v>
      </c>
      <c r="I110" s="3">
        <v>12</v>
      </c>
      <c r="J110" s="3" t="s">
        <v>198</v>
      </c>
      <c r="K110" s="3">
        <v>5</v>
      </c>
      <c r="L110" s="3">
        <v>25</v>
      </c>
      <c r="M110" s="3" t="s">
        <v>393</v>
      </c>
      <c r="Q110" s="3">
        <v>1</v>
      </c>
      <c r="AA110" s="3">
        <v>1</v>
      </c>
      <c r="AB110" s="3">
        <v>1</v>
      </c>
      <c r="AD110" s="3">
        <v>1</v>
      </c>
      <c r="AH110" s="3">
        <v>1</v>
      </c>
      <c r="AZ110" s="3"/>
      <c r="BA110" s="3">
        <v>1</v>
      </c>
      <c r="BD110" s="3">
        <v>1</v>
      </c>
      <c r="BE110" s="3">
        <v>1</v>
      </c>
      <c r="BL110" s="3">
        <v>1</v>
      </c>
      <c r="BR110" s="3">
        <v>1</v>
      </c>
      <c r="BU110" s="3">
        <v>1</v>
      </c>
      <c r="BY110" s="3">
        <v>1</v>
      </c>
      <c r="CR110" s="3">
        <v>1</v>
      </c>
      <c r="DE110" s="3"/>
      <c r="DF110" s="3">
        <v>1</v>
      </c>
      <c r="DL110" s="3">
        <v>1</v>
      </c>
      <c r="DN110" s="3">
        <v>1</v>
      </c>
      <c r="DT110" s="3"/>
      <c r="DU110" s="3">
        <v>1</v>
      </c>
      <c r="EI110" s="3">
        <v>1</v>
      </c>
      <c r="FH110" s="3">
        <v>1</v>
      </c>
      <c r="FM110" s="3">
        <v>1</v>
      </c>
      <c r="FQ110" s="3">
        <v>1</v>
      </c>
    </row>
    <row r="111" spans="1:184" ht="13" x14ac:dyDescent="0.15">
      <c r="A111" s="13">
        <v>42860</v>
      </c>
      <c r="B111" s="3" t="s">
        <v>394</v>
      </c>
      <c r="C111" s="3">
        <v>19.637501</v>
      </c>
      <c r="D111" s="3">
        <v>-155.99389600000001</v>
      </c>
      <c r="E111" s="3" t="s">
        <v>367</v>
      </c>
      <c r="F111" s="14">
        <v>0.51041666666666663</v>
      </c>
      <c r="G111" s="14">
        <v>0.51041666666666663</v>
      </c>
      <c r="H111" s="3">
        <v>5</v>
      </c>
      <c r="I111" s="3">
        <v>25</v>
      </c>
      <c r="J111" s="3" t="s">
        <v>198</v>
      </c>
      <c r="K111" s="3">
        <v>10</v>
      </c>
      <c r="L111" s="3">
        <v>44</v>
      </c>
      <c r="M111" s="3" t="s">
        <v>395</v>
      </c>
      <c r="N111" s="3" t="s">
        <v>396</v>
      </c>
      <c r="R111" s="3">
        <v>1</v>
      </c>
      <c r="AL111" s="3">
        <v>1</v>
      </c>
      <c r="AW111" s="3">
        <v>1</v>
      </c>
      <c r="AZ111" s="3"/>
      <c r="BA111" s="3">
        <v>1</v>
      </c>
      <c r="BL111" s="3">
        <v>1</v>
      </c>
      <c r="BQ111" s="3">
        <v>1</v>
      </c>
      <c r="CB111" s="3">
        <v>1</v>
      </c>
      <c r="CC111" s="3">
        <v>1</v>
      </c>
      <c r="CR111" s="3">
        <v>1</v>
      </c>
      <c r="EI111" s="3">
        <v>1</v>
      </c>
      <c r="EW111" s="3">
        <v>1</v>
      </c>
      <c r="EY111" s="3">
        <v>1</v>
      </c>
      <c r="FA111" s="3">
        <v>1</v>
      </c>
      <c r="FQ111" s="3">
        <v>1</v>
      </c>
      <c r="FT111" s="3"/>
      <c r="FU111" s="3">
        <v>1</v>
      </c>
      <c r="FW111" s="3">
        <v>1</v>
      </c>
      <c r="FZ111" s="3">
        <v>1</v>
      </c>
    </row>
    <row r="112" spans="1:184" ht="13" x14ac:dyDescent="0.15">
      <c r="A112" s="13">
        <v>42865</v>
      </c>
      <c r="B112" s="3" t="s">
        <v>230</v>
      </c>
      <c r="C112" s="3">
        <v>20.753699999999998</v>
      </c>
      <c r="D112" s="3">
        <v>-156.46090699999999</v>
      </c>
      <c r="E112" s="3" t="s">
        <v>397</v>
      </c>
      <c r="F112" s="14">
        <v>0.39583333333333331</v>
      </c>
      <c r="G112" s="14">
        <v>0.46527777777777779</v>
      </c>
      <c r="H112" s="3">
        <v>4</v>
      </c>
      <c r="I112" s="3">
        <v>15</v>
      </c>
      <c r="J112" s="3" t="s">
        <v>398</v>
      </c>
      <c r="K112" s="3">
        <v>7</v>
      </c>
      <c r="L112" s="3">
        <v>24</v>
      </c>
      <c r="M112" s="3" t="s">
        <v>399</v>
      </c>
      <c r="Q112" s="3">
        <v>1</v>
      </c>
      <c r="BL112" s="3">
        <v>1</v>
      </c>
      <c r="CT112" s="3">
        <v>1</v>
      </c>
      <c r="DE112" s="3">
        <v>1</v>
      </c>
      <c r="DF112" s="3">
        <v>1</v>
      </c>
      <c r="DN112" s="3">
        <v>1</v>
      </c>
      <c r="ES112" s="3"/>
      <c r="ET112" s="3"/>
      <c r="EU112" s="3">
        <v>1</v>
      </c>
      <c r="FQ112" s="3">
        <v>1</v>
      </c>
      <c r="FT112" s="3"/>
      <c r="FU112" s="3">
        <v>1</v>
      </c>
    </row>
    <row r="113" spans="1:186" ht="13" x14ac:dyDescent="0.15">
      <c r="A113" s="13">
        <v>42866</v>
      </c>
      <c r="B113" s="3" t="s">
        <v>400</v>
      </c>
      <c r="C113" s="3">
        <v>21.900562000000001</v>
      </c>
      <c r="D113" s="3">
        <v>-159.60981799999999</v>
      </c>
      <c r="E113" s="3" t="s">
        <v>401</v>
      </c>
      <c r="F113" s="14">
        <v>0.36805555555555558</v>
      </c>
      <c r="G113" s="14">
        <v>0.41319444444444442</v>
      </c>
      <c r="H113" s="3">
        <v>6</v>
      </c>
      <c r="I113" s="3">
        <v>15</v>
      </c>
      <c r="J113" s="3" t="s">
        <v>198</v>
      </c>
      <c r="K113" s="3">
        <v>5</v>
      </c>
      <c r="L113" s="3">
        <v>25</v>
      </c>
      <c r="M113" s="3" t="s">
        <v>402</v>
      </c>
      <c r="AA113" s="3">
        <v>1</v>
      </c>
      <c r="AB113" s="3">
        <v>1</v>
      </c>
      <c r="BL113" s="3">
        <v>1</v>
      </c>
      <c r="BU113" s="3">
        <v>1</v>
      </c>
      <c r="BV113" s="3">
        <v>1</v>
      </c>
      <c r="CJ113" s="3">
        <v>1</v>
      </c>
      <c r="DD113" s="3">
        <v>1</v>
      </c>
      <c r="DI113" s="3">
        <v>1</v>
      </c>
      <c r="DM113" s="3">
        <v>1</v>
      </c>
      <c r="DR113" s="3">
        <v>1</v>
      </c>
      <c r="EI113" s="3">
        <v>1</v>
      </c>
      <c r="FA113" s="3">
        <v>1</v>
      </c>
      <c r="FB113" s="3">
        <v>1</v>
      </c>
      <c r="FQ113" s="3">
        <v>1</v>
      </c>
      <c r="FS113" s="3">
        <v>1</v>
      </c>
    </row>
    <row r="114" spans="1:186" ht="13" x14ac:dyDescent="0.15">
      <c r="A114" s="13">
        <v>42866</v>
      </c>
      <c r="B114" s="3" t="s">
        <v>244</v>
      </c>
      <c r="C114" s="3">
        <v>21.310611999999999</v>
      </c>
      <c r="D114" s="3">
        <v>-158.00441000000001</v>
      </c>
      <c r="E114" s="3" t="s">
        <v>278</v>
      </c>
      <c r="F114" s="14">
        <v>0.38541666666666669</v>
      </c>
      <c r="G114" s="14">
        <v>0.45833333333333331</v>
      </c>
      <c r="H114" s="3">
        <v>6</v>
      </c>
      <c r="I114" s="3">
        <v>11</v>
      </c>
      <c r="J114" s="3" t="s">
        <v>198</v>
      </c>
      <c r="K114" s="3">
        <v>5</v>
      </c>
      <c r="L114" s="3">
        <v>24</v>
      </c>
      <c r="M114" s="3" t="s">
        <v>403</v>
      </c>
      <c r="Q114" s="3">
        <v>1</v>
      </c>
      <c r="AA114" s="3">
        <v>1</v>
      </c>
      <c r="AD114" s="3">
        <v>1</v>
      </c>
      <c r="AH114" s="3">
        <v>1</v>
      </c>
      <c r="AM114" s="3">
        <v>1</v>
      </c>
      <c r="AZ114" s="3"/>
      <c r="BA114" s="3">
        <v>1</v>
      </c>
      <c r="BD114" s="3">
        <v>1</v>
      </c>
      <c r="BL114" s="3">
        <v>1</v>
      </c>
      <c r="BN114" s="3"/>
      <c r="BO114" s="3">
        <v>1</v>
      </c>
      <c r="BP114" s="3">
        <v>1</v>
      </c>
      <c r="BU114" s="3">
        <v>1</v>
      </c>
      <c r="BY114" s="3">
        <v>1</v>
      </c>
      <c r="CJ114" s="3">
        <v>1</v>
      </c>
      <c r="CN114" s="3">
        <v>1</v>
      </c>
      <c r="DF114" s="3">
        <v>1</v>
      </c>
      <c r="DL114" s="3">
        <v>1</v>
      </c>
      <c r="DN114" s="3">
        <v>1</v>
      </c>
      <c r="DT114" s="3"/>
      <c r="DU114" s="3">
        <v>1</v>
      </c>
      <c r="EB114" s="3">
        <v>1</v>
      </c>
      <c r="EI114" s="3">
        <v>1</v>
      </c>
      <c r="EW114" s="3">
        <v>1</v>
      </c>
      <c r="FA114" s="3">
        <v>1</v>
      </c>
      <c r="FG114" s="3">
        <v>1</v>
      </c>
      <c r="FH114" s="3">
        <v>1</v>
      </c>
      <c r="FQ114" s="3">
        <v>1</v>
      </c>
      <c r="FT114" s="3"/>
      <c r="FU114" s="3">
        <v>1</v>
      </c>
      <c r="GC114" s="3">
        <v>1</v>
      </c>
    </row>
    <row r="115" spans="1:186" ht="13" x14ac:dyDescent="0.15">
      <c r="A115" s="13">
        <v>42867</v>
      </c>
      <c r="B115" s="3" t="s">
        <v>216</v>
      </c>
      <c r="C115" s="3">
        <v>21.3002</v>
      </c>
      <c r="D115" s="3">
        <v>-157.882599</v>
      </c>
      <c r="E115" s="3" t="s">
        <v>299</v>
      </c>
      <c r="F115" s="14">
        <v>0.45833333333333331</v>
      </c>
      <c r="G115" s="14">
        <v>0.51041666666666663</v>
      </c>
      <c r="H115" s="3">
        <v>4</v>
      </c>
      <c r="I115" s="3">
        <v>20</v>
      </c>
      <c r="J115" s="3" t="s">
        <v>217</v>
      </c>
      <c r="K115" s="3">
        <v>10</v>
      </c>
      <c r="L115" s="3">
        <v>32</v>
      </c>
      <c r="M115" s="3" t="s">
        <v>404</v>
      </c>
      <c r="R115" s="3">
        <v>1</v>
      </c>
      <c r="AH115" s="3">
        <v>1</v>
      </c>
      <c r="AL115" s="3">
        <v>1</v>
      </c>
      <c r="BL115" s="3">
        <v>1</v>
      </c>
      <c r="BM115" s="3">
        <v>1</v>
      </c>
      <c r="BP115" s="3">
        <v>1</v>
      </c>
      <c r="CB115" s="3">
        <v>1</v>
      </c>
      <c r="DR115" s="3">
        <v>1</v>
      </c>
      <c r="EB115" s="3">
        <v>1</v>
      </c>
      <c r="EI115" s="3">
        <v>1</v>
      </c>
      <c r="FI115" s="3"/>
      <c r="FJ115" s="3"/>
      <c r="FK115" s="3">
        <v>1</v>
      </c>
      <c r="FP115" s="3">
        <v>1</v>
      </c>
      <c r="FQ115" s="3">
        <v>1</v>
      </c>
    </row>
    <row r="116" spans="1:186" ht="13" x14ac:dyDescent="0.15">
      <c r="A116" s="13">
        <v>42879</v>
      </c>
      <c r="B116" s="3" t="s">
        <v>247</v>
      </c>
      <c r="C116" s="3">
        <v>19.488199000000002</v>
      </c>
      <c r="D116" s="3">
        <v>-154.81930500000001</v>
      </c>
      <c r="E116" s="3" t="s">
        <v>289</v>
      </c>
      <c r="F116" s="14">
        <v>0.38541666666666669</v>
      </c>
      <c r="G116" s="14">
        <v>0.46875</v>
      </c>
      <c r="H116" s="3">
        <v>5</v>
      </c>
      <c r="I116" s="3">
        <v>20</v>
      </c>
      <c r="J116" s="3" t="s">
        <v>198</v>
      </c>
      <c r="K116" s="3">
        <v>5</v>
      </c>
      <c r="L116" s="3">
        <v>25</v>
      </c>
      <c r="AE116" s="3">
        <v>1</v>
      </c>
      <c r="AH116" s="3">
        <v>1</v>
      </c>
      <c r="AL116" s="3">
        <v>1</v>
      </c>
      <c r="BL116" s="3">
        <v>1</v>
      </c>
      <c r="BM116" s="3">
        <v>1</v>
      </c>
      <c r="CB116" s="3">
        <v>1</v>
      </c>
      <c r="EJ116" s="3">
        <v>1</v>
      </c>
      <c r="EO116" s="3">
        <v>1</v>
      </c>
      <c r="EQ116" s="3">
        <v>1</v>
      </c>
      <c r="FC116" s="3"/>
      <c r="FE116" s="3">
        <v>1</v>
      </c>
      <c r="FH116" s="3">
        <v>1</v>
      </c>
      <c r="FL116" s="3">
        <v>1</v>
      </c>
      <c r="FQ116" s="3">
        <v>1</v>
      </c>
    </row>
    <row r="117" spans="1:186" ht="13" x14ac:dyDescent="0.15">
      <c r="A117" s="13">
        <v>42908</v>
      </c>
      <c r="B117" s="3" t="s">
        <v>246</v>
      </c>
      <c r="C117" s="3">
        <v>21.2882</v>
      </c>
      <c r="D117" s="3">
        <v>-157.66799900000001</v>
      </c>
      <c r="E117" s="3" t="s">
        <v>197</v>
      </c>
      <c r="F117" s="14">
        <v>0.31944444444444442</v>
      </c>
      <c r="G117" s="14">
        <v>0.39583333333333331</v>
      </c>
      <c r="H117" s="3">
        <v>3</v>
      </c>
      <c r="I117" s="3">
        <v>20</v>
      </c>
      <c r="J117" s="3" t="s">
        <v>217</v>
      </c>
      <c r="K117" s="3">
        <v>10</v>
      </c>
      <c r="L117" s="3">
        <v>26</v>
      </c>
      <c r="M117" s="3" t="s">
        <v>405</v>
      </c>
      <c r="T117" s="3">
        <v>1</v>
      </c>
      <c r="V117" s="3"/>
      <c r="W117" s="3">
        <v>1</v>
      </c>
      <c r="AA117" s="3">
        <v>1</v>
      </c>
      <c r="AG117" s="3">
        <v>1</v>
      </c>
      <c r="AL117" s="3">
        <v>1</v>
      </c>
      <c r="AV117" s="3">
        <v>1</v>
      </c>
      <c r="AZ117" s="3"/>
      <c r="BA117" s="3">
        <v>1</v>
      </c>
      <c r="BC117" s="3">
        <v>1</v>
      </c>
      <c r="BE117" s="3">
        <v>1</v>
      </c>
      <c r="BJ117" s="3">
        <v>1</v>
      </c>
      <c r="BL117" s="3">
        <v>1</v>
      </c>
      <c r="BM117" s="3">
        <v>1</v>
      </c>
      <c r="BP117" s="3">
        <v>1</v>
      </c>
      <c r="BY117" s="3">
        <v>1</v>
      </c>
      <c r="CB117" s="3">
        <v>1</v>
      </c>
      <c r="CF117" s="3"/>
      <c r="CG117" s="3">
        <v>1</v>
      </c>
      <c r="CJ117" s="3">
        <v>1</v>
      </c>
      <c r="CK117" s="3">
        <v>1</v>
      </c>
      <c r="CP117" s="3"/>
      <c r="CQ117" s="3">
        <v>1</v>
      </c>
      <c r="CT117" s="3">
        <v>1</v>
      </c>
      <c r="DD117" s="3">
        <v>1</v>
      </c>
      <c r="DF117" s="3">
        <v>1</v>
      </c>
      <c r="DL117" s="3">
        <v>1</v>
      </c>
      <c r="DM117" s="3">
        <v>1</v>
      </c>
      <c r="DN117" s="3">
        <v>1</v>
      </c>
      <c r="DT117" s="3"/>
      <c r="DU117" s="3">
        <v>1</v>
      </c>
      <c r="EI117" s="3">
        <v>1</v>
      </c>
      <c r="EJ117" s="3">
        <v>1</v>
      </c>
      <c r="EK117" s="3"/>
      <c r="EL117" s="3">
        <v>1</v>
      </c>
      <c r="ES117" s="3"/>
      <c r="ET117" s="3"/>
      <c r="EU117" s="3">
        <v>1</v>
      </c>
      <c r="FC117" s="3"/>
      <c r="FD117" s="3">
        <v>1</v>
      </c>
      <c r="FE117" s="3">
        <v>1</v>
      </c>
      <c r="FL117" s="3">
        <v>1</v>
      </c>
      <c r="FP117" s="3">
        <v>1</v>
      </c>
      <c r="FQ117" s="3">
        <v>1</v>
      </c>
      <c r="GA117" s="3">
        <v>1</v>
      </c>
      <c r="GD117" s="3">
        <v>1</v>
      </c>
    </row>
    <row r="118" spans="1:186" ht="13" x14ac:dyDescent="0.15">
      <c r="A118" s="13">
        <v>42910</v>
      </c>
      <c r="B118" s="3" t="s">
        <v>219</v>
      </c>
      <c r="C118" s="3">
        <v>21.295798999999999</v>
      </c>
      <c r="D118" s="3">
        <v>-158.10369900000001</v>
      </c>
      <c r="E118" s="3" t="s">
        <v>197</v>
      </c>
      <c r="F118" s="14">
        <v>0.34722222222222221</v>
      </c>
      <c r="G118" s="14">
        <v>0.45833333333333331</v>
      </c>
      <c r="H118" s="3">
        <v>4</v>
      </c>
      <c r="I118" s="3">
        <v>24</v>
      </c>
      <c r="J118" s="3" t="s">
        <v>227</v>
      </c>
      <c r="K118" s="3">
        <v>8</v>
      </c>
      <c r="L118" s="3">
        <v>27</v>
      </c>
      <c r="M118" s="3" t="s">
        <v>406</v>
      </c>
      <c r="Q118" s="3">
        <v>1</v>
      </c>
      <c r="V118" s="3"/>
      <c r="W118" s="3">
        <v>1</v>
      </c>
      <c r="AA118" s="3">
        <v>1</v>
      </c>
      <c r="AD118" s="3">
        <v>1</v>
      </c>
      <c r="AH118" s="3">
        <v>1</v>
      </c>
      <c r="AL118" s="3">
        <v>1</v>
      </c>
      <c r="AV118" s="3">
        <v>1</v>
      </c>
      <c r="AZ118" s="3">
        <v>1</v>
      </c>
      <c r="BA118" s="3">
        <v>1</v>
      </c>
      <c r="BB118" s="3">
        <v>1</v>
      </c>
      <c r="BC118" s="3">
        <v>1</v>
      </c>
      <c r="BD118" s="3">
        <v>1</v>
      </c>
      <c r="BG118" s="3">
        <v>1</v>
      </c>
      <c r="BL118" s="3">
        <v>1</v>
      </c>
      <c r="BM118" s="3">
        <v>1</v>
      </c>
      <c r="BP118" s="3">
        <v>1</v>
      </c>
      <c r="BU118" s="3">
        <v>1</v>
      </c>
      <c r="BV118" s="3">
        <v>1</v>
      </c>
      <c r="BW118" s="3">
        <v>1</v>
      </c>
      <c r="BX118" s="3">
        <v>1</v>
      </c>
      <c r="BY118" s="3">
        <v>1</v>
      </c>
      <c r="CP118" s="3"/>
      <c r="CQ118" s="3">
        <v>1</v>
      </c>
      <c r="CR118" s="3">
        <v>1</v>
      </c>
      <c r="CZ118" s="3">
        <v>1</v>
      </c>
      <c r="DC118" s="3">
        <v>1</v>
      </c>
      <c r="DD118" s="3">
        <v>1</v>
      </c>
      <c r="DF118" s="3">
        <v>1</v>
      </c>
      <c r="DI118" s="3">
        <v>1</v>
      </c>
      <c r="DJ118" s="3">
        <v>1</v>
      </c>
      <c r="DK118" s="3">
        <v>1</v>
      </c>
      <c r="DL118" s="3">
        <v>1</v>
      </c>
      <c r="DN118" s="3">
        <v>1</v>
      </c>
      <c r="DP118" s="3">
        <v>1</v>
      </c>
      <c r="DR118" s="3">
        <v>1</v>
      </c>
      <c r="DT118" s="3"/>
      <c r="DU118" s="3">
        <v>1</v>
      </c>
      <c r="EB118" s="3">
        <v>1</v>
      </c>
      <c r="EI118" s="3">
        <v>1</v>
      </c>
      <c r="EJ118" s="3">
        <v>1</v>
      </c>
      <c r="EK118" s="3">
        <v>1</v>
      </c>
      <c r="ES118" s="3">
        <v>1</v>
      </c>
      <c r="EZ118" s="3">
        <v>1</v>
      </c>
      <c r="FA118" s="3">
        <v>1</v>
      </c>
      <c r="FC118" s="3"/>
      <c r="FD118" s="3">
        <v>1</v>
      </c>
      <c r="FE118" s="3">
        <v>1</v>
      </c>
      <c r="FH118" s="3">
        <v>1</v>
      </c>
      <c r="FL118" s="3">
        <v>1</v>
      </c>
      <c r="FP118" s="3">
        <v>1</v>
      </c>
      <c r="FQ118" s="3">
        <v>1</v>
      </c>
      <c r="GD118" s="3">
        <v>1</v>
      </c>
    </row>
    <row r="119" spans="1:186" ht="13" x14ac:dyDescent="0.15">
      <c r="A119" s="13">
        <v>42911</v>
      </c>
      <c r="B119" s="3" t="s">
        <v>250</v>
      </c>
      <c r="C119" s="3">
        <v>21.410399999999999</v>
      </c>
      <c r="D119" s="3">
        <v>-158.17770400000001</v>
      </c>
      <c r="E119" s="3" t="s">
        <v>197</v>
      </c>
      <c r="F119" s="14">
        <v>0.375</v>
      </c>
      <c r="G119" s="14">
        <v>0.45833333333333331</v>
      </c>
      <c r="H119" s="3">
        <v>3</v>
      </c>
      <c r="I119" s="3">
        <v>33</v>
      </c>
      <c r="J119" s="3" t="s">
        <v>227</v>
      </c>
      <c r="K119" s="3">
        <v>12</v>
      </c>
      <c r="L119" s="3">
        <v>26</v>
      </c>
      <c r="M119" s="3" t="s">
        <v>407</v>
      </c>
      <c r="Q119" s="3">
        <v>1</v>
      </c>
      <c r="AA119" s="3">
        <v>1</v>
      </c>
      <c r="AC119" s="3">
        <v>1</v>
      </c>
      <c r="AL119" s="3">
        <v>1</v>
      </c>
      <c r="AV119" s="3">
        <v>1</v>
      </c>
      <c r="AX119" s="3">
        <v>1</v>
      </c>
      <c r="BA119" s="3">
        <v>1</v>
      </c>
      <c r="BJ119" s="3">
        <v>1</v>
      </c>
      <c r="BL119" s="3">
        <v>1</v>
      </c>
      <c r="BM119" s="3">
        <v>1</v>
      </c>
      <c r="BP119" s="3">
        <v>1</v>
      </c>
      <c r="BY119" s="3">
        <v>1</v>
      </c>
      <c r="CB119" s="3">
        <v>1</v>
      </c>
      <c r="CC119" s="3">
        <v>1</v>
      </c>
      <c r="CI119" s="3">
        <v>1</v>
      </c>
      <c r="CJ119" s="3">
        <v>1</v>
      </c>
      <c r="CK119" s="3">
        <v>1</v>
      </c>
      <c r="CM119" s="3">
        <v>1</v>
      </c>
      <c r="CN119" s="3">
        <v>1</v>
      </c>
      <c r="CP119" s="3">
        <v>1</v>
      </c>
      <c r="CZ119" s="3">
        <v>1</v>
      </c>
      <c r="DD119" s="3">
        <v>1</v>
      </c>
      <c r="DE119" s="3">
        <v>1</v>
      </c>
      <c r="DF119" s="3">
        <v>1</v>
      </c>
      <c r="DL119" s="3">
        <v>1</v>
      </c>
      <c r="EJ119" s="3">
        <v>1</v>
      </c>
      <c r="EK119" s="3">
        <v>1</v>
      </c>
      <c r="ET119" s="3"/>
      <c r="EU119" s="3">
        <v>1</v>
      </c>
      <c r="EW119" s="3">
        <v>1</v>
      </c>
      <c r="FI119" s="3"/>
      <c r="FJ119" s="3"/>
      <c r="FK119" s="3">
        <v>1</v>
      </c>
      <c r="FQ119" s="3">
        <v>1</v>
      </c>
      <c r="FR119" s="3">
        <v>1</v>
      </c>
    </row>
    <row r="120" spans="1:186" ht="13" x14ac:dyDescent="0.15">
      <c r="A120" s="13">
        <v>43147</v>
      </c>
      <c r="B120" s="3" t="s">
        <v>201</v>
      </c>
      <c r="C120" s="3">
        <v>21.25544</v>
      </c>
      <c r="D120" s="3">
        <v>-157.810303</v>
      </c>
      <c r="E120" s="3" t="s">
        <v>389</v>
      </c>
      <c r="F120" s="14">
        <v>0.45833333333333331</v>
      </c>
      <c r="G120" s="14">
        <v>0.52083333333333337</v>
      </c>
      <c r="H120" s="3">
        <v>10</v>
      </c>
      <c r="I120" s="3">
        <v>15</v>
      </c>
      <c r="J120" s="3" t="s">
        <v>198</v>
      </c>
      <c r="K120" s="3">
        <v>5</v>
      </c>
      <c r="L120" s="3">
        <v>35</v>
      </c>
      <c r="M120" s="3" t="s">
        <v>408</v>
      </c>
      <c r="Q120" s="3">
        <v>1</v>
      </c>
      <c r="AD120" s="3">
        <v>1</v>
      </c>
      <c r="AE120" s="3">
        <v>1</v>
      </c>
      <c r="AH120" s="3">
        <v>1</v>
      </c>
      <c r="BD120" s="3">
        <v>1</v>
      </c>
      <c r="BL120" s="3">
        <v>1</v>
      </c>
      <c r="BP120" s="3">
        <v>1</v>
      </c>
      <c r="BU120" s="3">
        <v>1</v>
      </c>
      <c r="BX120" s="3">
        <v>1</v>
      </c>
      <c r="BY120" s="3">
        <v>1</v>
      </c>
      <c r="CO120" s="3"/>
      <c r="CP120" s="3"/>
      <c r="CQ120" s="3"/>
      <c r="CR120" s="3">
        <v>1</v>
      </c>
      <c r="DE120" s="3"/>
      <c r="DF120" s="3">
        <v>1</v>
      </c>
      <c r="DL120" s="3">
        <v>1</v>
      </c>
      <c r="DQ120" s="3"/>
      <c r="DR120" s="3">
        <v>1</v>
      </c>
      <c r="DT120" s="3"/>
      <c r="DU120" s="3">
        <v>1</v>
      </c>
      <c r="DZ120" s="3">
        <v>1</v>
      </c>
      <c r="EB120" s="3">
        <v>1</v>
      </c>
      <c r="ED120" s="3"/>
      <c r="EE120" s="3"/>
      <c r="EF120" s="3"/>
      <c r="EG120" s="3"/>
      <c r="EH120" s="3"/>
      <c r="EI120" s="3">
        <v>1</v>
      </c>
      <c r="EK120" s="3"/>
      <c r="EL120" s="3"/>
      <c r="EM120" s="3">
        <v>1</v>
      </c>
      <c r="FA120" s="3">
        <v>1</v>
      </c>
      <c r="FB120" s="3">
        <v>1</v>
      </c>
      <c r="FH120" s="3">
        <v>1</v>
      </c>
      <c r="FP120" s="3">
        <v>1</v>
      </c>
      <c r="FQ120" s="3">
        <v>1</v>
      </c>
      <c r="GC120" s="3">
        <v>1</v>
      </c>
    </row>
    <row r="121" spans="1:186" ht="13" x14ac:dyDescent="0.15">
      <c r="A121" s="13">
        <v>43148</v>
      </c>
      <c r="B121" s="3" t="s">
        <v>244</v>
      </c>
      <c r="C121" s="3">
        <v>21.310611999999999</v>
      </c>
      <c r="D121" s="3">
        <v>-158.00441000000001</v>
      </c>
      <c r="E121" s="3" t="s">
        <v>197</v>
      </c>
      <c r="F121" s="14">
        <v>0.49861111111111112</v>
      </c>
      <c r="G121" s="14">
        <v>0.56874999999999998</v>
      </c>
      <c r="H121" s="3">
        <v>3</v>
      </c>
      <c r="I121" s="3">
        <v>11</v>
      </c>
      <c r="J121" s="3" t="s">
        <v>198</v>
      </c>
      <c r="K121" s="3">
        <v>11</v>
      </c>
      <c r="L121" s="3">
        <v>29</v>
      </c>
      <c r="M121" s="3" t="s">
        <v>409</v>
      </c>
      <c r="Q121" s="3">
        <v>1</v>
      </c>
      <c r="X121" s="3"/>
      <c r="Y121" s="3"/>
      <c r="Z121" s="3"/>
      <c r="AA121" s="3">
        <v>1</v>
      </c>
      <c r="AD121" s="3">
        <v>1</v>
      </c>
      <c r="AH121" s="3">
        <v>1</v>
      </c>
      <c r="AI121" s="3"/>
      <c r="AJ121" s="3"/>
      <c r="AK121" s="3"/>
      <c r="AL121" s="3">
        <v>1</v>
      </c>
      <c r="AP121" s="3"/>
      <c r="AQ121" s="3">
        <v>1</v>
      </c>
      <c r="AR121" s="3">
        <v>1</v>
      </c>
      <c r="AZ121" s="3"/>
      <c r="BA121" s="3">
        <v>1</v>
      </c>
      <c r="BB121" s="3">
        <v>1</v>
      </c>
      <c r="BD121" s="3">
        <v>1</v>
      </c>
      <c r="BL121" s="3">
        <v>1</v>
      </c>
      <c r="BP121" s="3">
        <v>1</v>
      </c>
      <c r="BT121" s="3">
        <v>1</v>
      </c>
      <c r="BU121" s="3">
        <v>1</v>
      </c>
      <c r="BV121" s="3">
        <v>1</v>
      </c>
      <c r="BW121" s="3">
        <v>1</v>
      </c>
      <c r="BX121" s="3">
        <v>1</v>
      </c>
      <c r="BY121" s="3">
        <v>1</v>
      </c>
      <c r="CO121" s="3"/>
      <c r="CP121" s="3"/>
      <c r="CQ121" s="3">
        <v>1</v>
      </c>
      <c r="CR121" s="3">
        <v>1</v>
      </c>
      <c r="CS121" s="3">
        <v>1</v>
      </c>
      <c r="CU121" s="3">
        <v>1</v>
      </c>
      <c r="DC121" s="3">
        <v>1</v>
      </c>
      <c r="DE121" s="3"/>
      <c r="DF121" s="3">
        <v>1</v>
      </c>
      <c r="DJ121" s="3"/>
      <c r="DK121" s="3">
        <v>1</v>
      </c>
      <c r="DL121" s="3">
        <v>1</v>
      </c>
      <c r="DN121" s="3">
        <v>1</v>
      </c>
      <c r="DT121" s="3"/>
      <c r="DU121" s="3">
        <v>1</v>
      </c>
      <c r="EB121" s="3">
        <v>1</v>
      </c>
      <c r="ED121" s="3"/>
      <c r="EE121" s="3"/>
      <c r="EF121" s="3"/>
      <c r="EG121" s="3"/>
      <c r="EH121" s="3"/>
      <c r="EI121" s="3">
        <v>1</v>
      </c>
      <c r="EN121" s="3">
        <v>1</v>
      </c>
      <c r="FQ121" s="3">
        <v>1</v>
      </c>
      <c r="FT121" s="3"/>
      <c r="FU121" s="3">
        <v>1</v>
      </c>
    </row>
    <row r="122" spans="1:186" ht="13" x14ac:dyDescent="0.15">
      <c r="A122" s="13">
        <v>43160</v>
      </c>
      <c r="B122" s="3" t="s">
        <v>219</v>
      </c>
      <c r="C122" s="3">
        <v>21.295798999999999</v>
      </c>
      <c r="D122" s="3">
        <v>-158.10369900000001</v>
      </c>
      <c r="E122" s="3" t="s">
        <v>333</v>
      </c>
      <c r="F122" s="14">
        <v>0.375</v>
      </c>
      <c r="G122" s="14">
        <v>0.4513888888888889</v>
      </c>
      <c r="H122" s="3">
        <v>10</v>
      </c>
      <c r="I122" s="3">
        <v>10</v>
      </c>
      <c r="J122" s="3" t="s">
        <v>318</v>
      </c>
      <c r="K122" s="3">
        <v>5</v>
      </c>
      <c r="L122" s="3">
        <v>46</v>
      </c>
      <c r="M122" s="3" t="s">
        <v>410</v>
      </c>
      <c r="N122" s="3" t="s">
        <v>411</v>
      </c>
      <c r="Q122" s="3">
        <v>1</v>
      </c>
      <c r="T122" s="3"/>
      <c r="U122" s="3"/>
      <c r="V122" s="3"/>
      <c r="W122" s="3">
        <v>1</v>
      </c>
      <c r="X122" s="3"/>
      <c r="Y122" s="3">
        <v>1</v>
      </c>
      <c r="Z122" s="3"/>
      <c r="AA122" s="3">
        <v>1</v>
      </c>
      <c r="AB122" s="3">
        <v>1</v>
      </c>
      <c r="AD122" s="3">
        <v>1</v>
      </c>
      <c r="AH122" s="3">
        <v>1</v>
      </c>
      <c r="AM122" s="3">
        <v>1</v>
      </c>
      <c r="BB122" s="3">
        <v>1</v>
      </c>
      <c r="BC122" s="3">
        <v>1</v>
      </c>
      <c r="BD122" s="3">
        <v>1</v>
      </c>
      <c r="BL122" s="3">
        <v>1</v>
      </c>
      <c r="BM122" s="3">
        <v>1</v>
      </c>
      <c r="BP122" s="3">
        <v>1</v>
      </c>
      <c r="BU122" s="3">
        <v>1</v>
      </c>
      <c r="BY122" s="3">
        <v>1</v>
      </c>
      <c r="CR122" s="3">
        <v>1</v>
      </c>
      <c r="CT122" s="3">
        <v>1</v>
      </c>
      <c r="DC122" s="3">
        <v>1</v>
      </c>
      <c r="DE122" s="3"/>
      <c r="DF122" s="3">
        <v>1</v>
      </c>
      <c r="DL122" s="3">
        <v>1</v>
      </c>
      <c r="DM122" s="3">
        <v>1</v>
      </c>
      <c r="DN122" s="3">
        <v>1</v>
      </c>
      <c r="DO122" s="3">
        <v>1</v>
      </c>
      <c r="DQ122" s="3"/>
      <c r="DR122" s="3">
        <v>1</v>
      </c>
      <c r="DT122" s="3"/>
      <c r="DU122" s="3">
        <v>1</v>
      </c>
      <c r="EB122" s="3">
        <v>1</v>
      </c>
      <c r="ED122" s="3"/>
      <c r="EE122" s="3"/>
      <c r="EF122" s="3"/>
      <c r="EG122" s="3"/>
      <c r="EH122" s="3"/>
      <c r="EI122" s="3">
        <v>1</v>
      </c>
      <c r="FA122" s="3">
        <v>1</v>
      </c>
      <c r="FC122" s="3"/>
      <c r="FE122" s="3">
        <v>1</v>
      </c>
      <c r="FH122" s="3">
        <v>1</v>
      </c>
      <c r="FQ122" s="3">
        <v>1</v>
      </c>
      <c r="GC122" s="3">
        <v>1</v>
      </c>
    </row>
    <row r="123" spans="1:186" ht="13" x14ac:dyDescent="0.15">
      <c r="A123" s="13">
        <v>43160</v>
      </c>
      <c r="B123" s="3" t="s">
        <v>233</v>
      </c>
      <c r="C123" s="23">
        <v>21.066799</v>
      </c>
      <c r="D123" s="23">
        <v>-156.804993</v>
      </c>
      <c r="E123" s="3" t="s">
        <v>286</v>
      </c>
      <c r="F123" s="14">
        <v>0.39583333333333331</v>
      </c>
      <c r="G123" s="14">
        <v>0.43888888888888888</v>
      </c>
      <c r="H123" s="3">
        <v>4</v>
      </c>
      <c r="I123" s="3">
        <v>9</v>
      </c>
      <c r="J123" s="3" t="s">
        <v>198</v>
      </c>
      <c r="K123" s="3">
        <v>9</v>
      </c>
      <c r="L123" s="3">
        <v>28</v>
      </c>
      <c r="M123" s="3" t="s">
        <v>412</v>
      </c>
      <c r="X123" s="3"/>
      <c r="Y123" s="3">
        <v>1</v>
      </c>
      <c r="AP123" s="3"/>
      <c r="AZ123" s="3"/>
      <c r="BA123" s="3">
        <v>1</v>
      </c>
      <c r="BH123" s="3"/>
      <c r="BI123" s="3"/>
      <c r="BJ123" s="3"/>
      <c r="BL123" s="3">
        <v>1</v>
      </c>
      <c r="BU123" s="3"/>
      <c r="BY123" s="3">
        <v>1</v>
      </c>
      <c r="CB123" s="3"/>
      <c r="CC123" s="3"/>
      <c r="CD123" s="3"/>
      <c r="CE123" s="3"/>
      <c r="CH123" s="3"/>
      <c r="CN123" s="3">
        <v>1</v>
      </c>
      <c r="DL123" s="3">
        <v>1</v>
      </c>
      <c r="DW123" s="3"/>
      <c r="ED123" s="3"/>
      <c r="EE123" s="3"/>
      <c r="EH123" s="3"/>
      <c r="EI123" s="3">
        <v>1</v>
      </c>
      <c r="EO123" s="3"/>
      <c r="ER123" s="3"/>
      <c r="FA123" s="3">
        <v>1</v>
      </c>
      <c r="FC123" s="3"/>
      <c r="FE123" s="3">
        <v>1</v>
      </c>
      <c r="FF123" s="3"/>
      <c r="FG123" s="3">
        <v>1</v>
      </c>
      <c r="FL123" s="3"/>
      <c r="FQ123" s="3">
        <v>1</v>
      </c>
    </row>
    <row r="124" spans="1:186" ht="13" x14ac:dyDescent="0.15">
      <c r="A124" s="13">
        <v>43163</v>
      </c>
      <c r="B124" s="3" t="s">
        <v>293</v>
      </c>
      <c r="C124" s="3">
        <v>19.738602</v>
      </c>
      <c r="D124" s="3">
        <v>-155.03887900000001</v>
      </c>
      <c r="E124" s="3" t="s">
        <v>197</v>
      </c>
      <c r="F124" s="14">
        <v>0.42708333333333331</v>
      </c>
      <c r="G124" s="14">
        <v>0.53125</v>
      </c>
      <c r="H124" s="3">
        <v>3</v>
      </c>
      <c r="I124" s="3">
        <v>21</v>
      </c>
      <c r="J124" s="3" t="s">
        <v>415</v>
      </c>
      <c r="K124" s="3">
        <v>14</v>
      </c>
      <c r="L124" s="3">
        <v>25</v>
      </c>
      <c r="M124" s="3" t="s">
        <v>416</v>
      </c>
      <c r="AP124" s="3">
        <v>1</v>
      </c>
      <c r="BH124" s="3"/>
      <c r="BI124" s="3"/>
      <c r="BJ124" s="3">
        <v>1</v>
      </c>
      <c r="BL124" s="3">
        <v>1</v>
      </c>
      <c r="BU124" s="3">
        <v>1</v>
      </c>
      <c r="CB124" s="3">
        <v>1</v>
      </c>
      <c r="CC124" s="3">
        <v>1</v>
      </c>
      <c r="CD124" s="3">
        <v>1</v>
      </c>
      <c r="CE124" s="3">
        <v>1</v>
      </c>
      <c r="CH124" s="3">
        <v>1</v>
      </c>
      <c r="CN124" s="3">
        <v>1</v>
      </c>
      <c r="DW124" s="3">
        <v>1</v>
      </c>
      <c r="ED124" s="3"/>
      <c r="EE124" s="3">
        <v>1</v>
      </c>
      <c r="EO124" s="3">
        <v>1</v>
      </c>
      <c r="ER124" s="3">
        <v>1</v>
      </c>
      <c r="FF124" s="3">
        <v>1</v>
      </c>
      <c r="FL124" s="3">
        <v>1</v>
      </c>
      <c r="FQ124" s="3">
        <v>1</v>
      </c>
    </row>
    <row r="125" spans="1:186" ht="13" x14ac:dyDescent="0.15">
      <c r="A125" s="13">
        <v>43207</v>
      </c>
      <c r="B125" s="3" t="s">
        <v>244</v>
      </c>
      <c r="C125" s="3">
        <v>21.310611999999999</v>
      </c>
      <c r="D125" s="3">
        <v>-158.00441000000001</v>
      </c>
      <c r="E125" s="3" t="s">
        <v>326</v>
      </c>
      <c r="F125" s="14">
        <v>0.38541666666666669</v>
      </c>
      <c r="G125" s="14">
        <v>0.44444444444444442</v>
      </c>
      <c r="H125" s="3">
        <v>9</v>
      </c>
      <c r="I125" s="3">
        <v>8</v>
      </c>
      <c r="J125" s="3" t="s">
        <v>198</v>
      </c>
      <c r="K125" s="3">
        <v>5</v>
      </c>
      <c r="L125" s="3">
        <v>30</v>
      </c>
      <c r="M125" s="3" t="s">
        <v>417</v>
      </c>
      <c r="N125" s="3" t="s">
        <v>396</v>
      </c>
      <c r="T125" s="3"/>
      <c r="U125" s="3"/>
      <c r="V125" s="3"/>
      <c r="W125" s="3">
        <v>1</v>
      </c>
      <c r="Z125" s="3"/>
      <c r="AA125" s="3">
        <v>1</v>
      </c>
      <c r="AD125" s="3">
        <v>1</v>
      </c>
      <c r="AH125" s="3">
        <v>1</v>
      </c>
      <c r="BB125" s="3">
        <v>1</v>
      </c>
      <c r="BD125" s="3">
        <v>1</v>
      </c>
      <c r="BL125" s="3">
        <v>1</v>
      </c>
      <c r="BU125" s="3">
        <v>1</v>
      </c>
      <c r="BY125" s="3">
        <v>1</v>
      </c>
      <c r="CI125" s="3"/>
      <c r="CJ125" s="3">
        <v>1</v>
      </c>
      <c r="CR125" s="3">
        <v>1</v>
      </c>
      <c r="DL125" s="3">
        <v>1</v>
      </c>
      <c r="DN125" s="3">
        <v>1</v>
      </c>
      <c r="DT125" s="3"/>
      <c r="DU125" s="3">
        <v>1</v>
      </c>
      <c r="DY125" s="3">
        <v>1</v>
      </c>
      <c r="EB125" s="3">
        <v>1</v>
      </c>
      <c r="EF125" s="3"/>
      <c r="EG125" s="3"/>
      <c r="EH125" s="3"/>
      <c r="EI125" s="3">
        <v>1</v>
      </c>
      <c r="FA125" s="3">
        <v>1</v>
      </c>
      <c r="FH125" s="3">
        <v>1</v>
      </c>
      <c r="FQ125" s="3">
        <v>1</v>
      </c>
      <c r="FT125" s="3"/>
      <c r="FU125" s="3">
        <v>1</v>
      </c>
    </row>
    <row r="126" spans="1:186" ht="13" x14ac:dyDescent="0.15">
      <c r="A126" s="13">
        <v>43212</v>
      </c>
      <c r="B126" s="3" t="s">
        <v>293</v>
      </c>
      <c r="C126" s="3">
        <v>19.738602</v>
      </c>
      <c r="D126" s="3">
        <v>-155.03887900000001</v>
      </c>
      <c r="E126" s="3" t="s">
        <v>418</v>
      </c>
      <c r="F126" s="14">
        <v>0.5541666666666667</v>
      </c>
      <c r="G126" s="14">
        <v>0.64583333333333337</v>
      </c>
      <c r="H126" s="3">
        <v>3</v>
      </c>
      <c r="I126" s="3">
        <v>18</v>
      </c>
      <c r="J126" s="3" t="s">
        <v>415</v>
      </c>
      <c r="K126" s="3">
        <v>10</v>
      </c>
      <c r="L126" s="3">
        <v>23</v>
      </c>
      <c r="M126" s="3" t="s">
        <v>419</v>
      </c>
      <c r="BH126" s="3"/>
      <c r="BI126" s="3"/>
      <c r="BJ126" s="3">
        <v>1</v>
      </c>
      <c r="BL126" s="3">
        <v>1</v>
      </c>
      <c r="CB126" s="3">
        <v>1</v>
      </c>
      <c r="CC126" s="3">
        <v>1</v>
      </c>
      <c r="CU126" s="3">
        <v>1</v>
      </c>
      <c r="FL126" s="3">
        <v>1</v>
      </c>
      <c r="FM126" s="3"/>
      <c r="FN126" s="3">
        <v>1</v>
      </c>
      <c r="FQ126" s="3">
        <v>1</v>
      </c>
    </row>
    <row r="127" spans="1:186" ht="13" x14ac:dyDescent="0.15">
      <c r="A127" s="13">
        <v>43214</v>
      </c>
      <c r="B127" s="3" t="s">
        <v>244</v>
      </c>
      <c r="C127" s="3">
        <v>21.310611999999999</v>
      </c>
      <c r="D127" s="3">
        <v>-158.00441000000001</v>
      </c>
      <c r="E127" s="3" t="s">
        <v>326</v>
      </c>
      <c r="F127" s="14">
        <v>0.375</v>
      </c>
      <c r="G127" s="14">
        <v>0.44444444444444442</v>
      </c>
      <c r="H127" s="3">
        <v>6</v>
      </c>
      <c r="I127" s="3">
        <v>8</v>
      </c>
      <c r="J127" s="3" t="s">
        <v>217</v>
      </c>
      <c r="K127" s="3">
        <v>4</v>
      </c>
      <c r="L127" s="3">
        <v>20</v>
      </c>
      <c r="M127" s="3" t="s">
        <v>421</v>
      </c>
      <c r="Q127" s="3">
        <v>1</v>
      </c>
      <c r="Z127" s="3"/>
      <c r="AA127" s="3">
        <v>1</v>
      </c>
      <c r="AB127" s="3">
        <v>1</v>
      </c>
      <c r="AD127" s="3">
        <v>1</v>
      </c>
      <c r="AH127" s="3">
        <v>1</v>
      </c>
      <c r="BD127" s="3">
        <v>1</v>
      </c>
      <c r="BU127" s="3">
        <v>1</v>
      </c>
      <c r="BY127" s="3">
        <v>1</v>
      </c>
      <c r="CN127" s="3">
        <v>1</v>
      </c>
      <c r="CR127" s="3">
        <v>1</v>
      </c>
      <c r="DE127" s="3"/>
      <c r="DF127" s="3">
        <v>1</v>
      </c>
      <c r="DL127" s="3">
        <v>1</v>
      </c>
      <c r="DN127" s="3">
        <v>1</v>
      </c>
      <c r="DT127" s="3"/>
      <c r="DU127" s="3">
        <v>1</v>
      </c>
      <c r="EB127" s="3">
        <v>1</v>
      </c>
      <c r="EF127" s="3"/>
      <c r="EG127" s="3">
        <v>1</v>
      </c>
      <c r="EH127" s="3"/>
      <c r="EI127" s="3">
        <v>1</v>
      </c>
      <c r="ES127" s="3"/>
      <c r="ET127" s="3"/>
      <c r="EU127" s="3">
        <v>1</v>
      </c>
      <c r="EV127" s="3">
        <v>1</v>
      </c>
      <c r="FA127" s="3">
        <v>1</v>
      </c>
      <c r="FC127" s="3"/>
      <c r="FE127" s="3">
        <v>1</v>
      </c>
      <c r="FP127" s="3">
        <v>1</v>
      </c>
      <c r="FQ127" s="3">
        <v>1</v>
      </c>
      <c r="GC127" s="3">
        <v>1</v>
      </c>
    </row>
    <row r="128" spans="1:186" ht="13" x14ac:dyDescent="0.15">
      <c r="A128" s="13">
        <v>43214</v>
      </c>
      <c r="B128" s="3" t="s">
        <v>201</v>
      </c>
      <c r="C128" s="3">
        <v>21.25544</v>
      </c>
      <c r="D128" s="3">
        <v>-157.810303</v>
      </c>
      <c r="E128" s="3" t="s">
        <v>422</v>
      </c>
      <c r="F128" s="14">
        <v>0.38541666666666669</v>
      </c>
      <c r="G128" s="14">
        <v>0.40972222222222221</v>
      </c>
      <c r="H128" s="3">
        <v>7</v>
      </c>
      <c r="I128" s="3">
        <v>12</v>
      </c>
      <c r="J128" s="3" t="s">
        <v>198</v>
      </c>
      <c r="K128" s="3">
        <v>5</v>
      </c>
      <c r="L128" s="3">
        <v>25</v>
      </c>
      <c r="M128" s="3" t="s">
        <v>423</v>
      </c>
      <c r="N128" s="3" t="s">
        <v>424</v>
      </c>
      <c r="AD128" s="3">
        <v>1</v>
      </c>
      <c r="AH128" s="3">
        <v>1</v>
      </c>
      <c r="AU128" s="3">
        <v>1</v>
      </c>
      <c r="AZ128" s="3"/>
      <c r="BA128" s="3">
        <v>1</v>
      </c>
      <c r="BD128" s="3">
        <v>1</v>
      </c>
      <c r="BE128" s="3">
        <v>1</v>
      </c>
      <c r="BL128" s="3">
        <v>1</v>
      </c>
      <c r="BP128" s="3">
        <v>1</v>
      </c>
      <c r="BU128" s="3">
        <v>1</v>
      </c>
      <c r="BY128" s="3">
        <v>1</v>
      </c>
      <c r="CD128" s="3">
        <v>1</v>
      </c>
      <c r="DL128" s="3">
        <v>1</v>
      </c>
      <c r="DQ128" s="3"/>
      <c r="DR128" s="3">
        <v>1</v>
      </c>
      <c r="EH128" s="3"/>
      <c r="EI128" s="3">
        <v>1</v>
      </c>
      <c r="FA128" s="3">
        <v>1</v>
      </c>
      <c r="FC128" s="3"/>
      <c r="FE128" s="3">
        <v>1</v>
      </c>
      <c r="FP128" s="3">
        <v>1</v>
      </c>
      <c r="FQ128" s="3">
        <v>1</v>
      </c>
      <c r="FT128" s="3"/>
      <c r="FU128" s="3">
        <v>1</v>
      </c>
      <c r="FX128" s="3"/>
      <c r="FY128" s="3">
        <v>1</v>
      </c>
      <c r="GC128" s="3">
        <v>1</v>
      </c>
    </row>
    <row r="129" spans="1:187" ht="13" x14ac:dyDescent="0.15">
      <c r="A129" s="13">
        <v>43215</v>
      </c>
      <c r="B129" s="3" t="s">
        <v>340</v>
      </c>
      <c r="C129" s="3">
        <v>19.643276</v>
      </c>
      <c r="D129" s="3">
        <v>-156.01019299999999</v>
      </c>
      <c r="E129" s="3" t="s">
        <v>381</v>
      </c>
      <c r="F129" s="14">
        <v>0.31597222222222221</v>
      </c>
      <c r="G129" s="14">
        <v>0.34375</v>
      </c>
      <c r="H129" s="3">
        <v>5</v>
      </c>
      <c r="I129" s="3">
        <v>21</v>
      </c>
      <c r="J129" s="3" t="s">
        <v>198</v>
      </c>
      <c r="K129" s="3">
        <v>11</v>
      </c>
      <c r="L129" s="3">
        <v>50</v>
      </c>
      <c r="M129" s="3" t="s">
        <v>425</v>
      </c>
      <c r="R129" s="3">
        <v>1</v>
      </c>
      <c r="AI129" s="3"/>
      <c r="AJ129" s="3"/>
      <c r="AK129" s="3"/>
      <c r="AL129" s="3">
        <v>1</v>
      </c>
      <c r="BL129" s="3">
        <v>1</v>
      </c>
      <c r="CB129" s="3">
        <v>1</v>
      </c>
      <c r="CC129" s="3">
        <v>1</v>
      </c>
      <c r="EA129" s="3">
        <v>1</v>
      </c>
      <c r="FC129" s="3"/>
      <c r="FE129" s="3">
        <v>1</v>
      </c>
      <c r="FL129" s="3">
        <v>1</v>
      </c>
      <c r="FP129" s="3">
        <v>1</v>
      </c>
      <c r="FQ129" s="3">
        <v>1</v>
      </c>
      <c r="FR129" s="3">
        <v>1</v>
      </c>
    </row>
    <row r="130" spans="1:187" ht="13" x14ac:dyDescent="0.15">
      <c r="A130" s="13">
        <v>43216</v>
      </c>
      <c r="B130" s="3" t="s">
        <v>329</v>
      </c>
      <c r="C130" s="3">
        <v>21.140799999999999</v>
      </c>
      <c r="D130" s="3">
        <v>-157.29011499999999</v>
      </c>
      <c r="E130" s="3" t="s">
        <v>330</v>
      </c>
      <c r="F130" s="14">
        <v>0.39583333333333331</v>
      </c>
      <c r="G130" s="14">
        <v>0.4236111111111111</v>
      </c>
      <c r="H130" s="3">
        <v>5</v>
      </c>
      <c r="I130" s="3">
        <v>9.5</v>
      </c>
      <c r="J130" s="3" t="s">
        <v>318</v>
      </c>
      <c r="K130" s="3">
        <v>5</v>
      </c>
      <c r="L130" s="3">
        <v>23</v>
      </c>
      <c r="M130" s="3" t="s">
        <v>426</v>
      </c>
      <c r="R130" s="3">
        <v>1</v>
      </c>
      <c r="BD130" s="3">
        <v>1</v>
      </c>
      <c r="BY130" s="3">
        <v>1</v>
      </c>
      <c r="CR130" s="3">
        <v>1</v>
      </c>
      <c r="DL130" s="3">
        <v>1</v>
      </c>
      <c r="DN130" s="3">
        <v>1</v>
      </c>
      <c r="EH130" s="3"/>
      <c r="EI130" s="3">
        <v>1</v>
      </c>
      <c r="FD130" s="3">
        <v>1</v>
      </c>
      <c r="FO130" s="3">
        <v>1</v>
      </c>
      <c r="FQ130" s="3">
        <v>1</v>
      </c>
    </row>
    <row r="131" spans="1:187" ht="13" x14ac:dyDescent="0.15">
      <c r="A131" s="13">
        <v>43230</v>
      </c>
      <c r="B131" s="3" t="s">
        <v>201</v>
      </c>
      <c r="C131" s="3">
        <v>21.25544</v>
      </c>
      <c r="D131" s="3">
        <v>-157.810303</v>
      </c>
      <c r="E131" s="3" t="s">
        <v>299</v>
      </c>
      <c r="F131" s="14">
        <v>0.3611111111111111</v>
      </c>
      <c r="G131" s="14">
        <v>0.40277777777777779</v>
      </c>
      <c r="H131" s="3">
        <v>5</v>
      </c>
      <c r="I131" s="3">
        <v>16</v>
      </c>
      <c r="J131" s="3" t="s">
        <v>217</v>
      </c>
      <c r="K131" s="3">
        <v>8</v>
      </c>
      <c r="L131" s="3">
        <v>25</v>
      </c>
      <c r="M131" s="3" t="s">
        <v>427</v>
      </c>
      <c r="R131" s="3">
        <v>1</v>
      </c>
      <c r="AZ131" s="3"/>
      <c r="BA131" s="3">
        <v>1</v>
      </c>
      <c r="BM131" s="3">
        <v>1</v>
      </c>
      <c r="BP131" s="3">
        <v>1</v>
      </c>
      <c r="BY131" s="3">
        <v>1</v>
      </c>
      <c r="DE131" s="3"/>
      <c r="DF131" s="3">
        <v>1</v>
      </c>
      <c r="DL131" s="3">
        <v>1</v>
      </c>
      <c r="DO131" s="3">
        <v>1</v>
      </c>
      <c r="DT131" s="3"/>
      <c r="DU131" s="3">
        <v>1</v>
      </c>
      <c r="ED131" s="3"/>
      <c r="EE131" s="3">
        <v>1</v>
      </c>
      <c r="EH131" s="3"/>
      <c r="EI131" s="3">
        <v>1</v>
      </c>
      <c r="EX131" s="3"/>
      <c r="EY131" s="3">
        <v>1</v>
      </c>
      <c r="FA131" s="3">
        <v>1</v>
      </c>
      <c r="FP131" s="3">
        <v>1</v>
      </c>
      <c r="FQ131" s="3">
        <v>1</v>
      </c>
    </row>
    <row r="132" spans="1:187" ht="13" x14ac:dyDescent="0.15">
      <c r="A132" s="13">
        <v>43231</v>
      </c>
      <c r="B132" s="3" t="s">
        <v>201</v>
      </c>
      <c r="C132" s="3">
        <v>21.25544</v>
      </c>
      <c r="D132" s="3">
        <v>-157.810303</v>
      </c>
      <c r="E132" s="3" t="s">
        <v>299</v>
      </c>
      <c r="F132" s="14">
        <v>0.375</v>
      </c>
      <c r="G132" s="14">
        <v>0.40972222222222221</v>
      </c>
      <c r="H132" s="3">
        <v>5</v>
      </c>
      <c r="I132" s="3">
        <v>16</v>
      </c>
      <c r="J132" s="3" t="s">
        <v>198</v>
      </c>
      <c r="K132" s="3">
        <v>7</v>
      </c>
      <c r="L132" s="3">
        <v>26</v>
      </c>
      <c r="M132" s="3" t="s">
        <v>430</v>
      </c>
      <c r="Q132" s="3">
        <v>1</v>
      </c>
      <c r="Z132" s="3"/>
      <c r="AA132" s="3">
        <v>1</v>
      </c>
      <c r="AH132" s="3">
        <v>1</v>
      </c>
      <c r="AI132" s="3"/>
      <c r="AJ132" s="3">
        <v>1</v>
      </c>
      <c r="AT132" s="3">
        <v>1</v>
      </c>
      <c r="BH132" s="3"/>
      <c r="BI132" s="3"/>
      <c r="BJ132" s="3">
        <v>1</v>
      </c>
      <c r="BL132" s="3">
        <v>1</v>
      </c>
      <c r="BP132" s="3">
        <v>1</v>
      </c>
      <c r="BU132" s="3">
        <v>1</v>
      </c>
      <c r="BY132" s="3">
        <v>1</v>
      </c>
      <c r="DD132" s="3">
        <v>1</v>
      </c>
      <c r="DJ132" s="3">
        <v>1</v>
      </c>
      <c r="DL132" s="3">
        <v>1</v>
      </c>
      <c r="DN132" s="3">
        <v>1</v>
      </c>
      <c r="DQ132" s="3"/>
      <c r="DR132" s="3">
        <v>1</v>
      </c>
      <c r="EB132" s="3">
        <v>1</v>
      </c>
      <c r="ED132" s="3"/>
      <c r="EE132" s="3">
        <v>1</v>
      </c>
      <c r="EH132" s="3"/>
      <c r="EI132" s="3">
        <v>1</v>
      </c>
      <c r="EX132" s="3"/>
      <c r="EY132" s="3">
        <v>1</v>
      </c>
      <c r="FA132" s="3">
        <v>1</v>
      </c>
      <c r="FP132" s="3">
        <v>1</v>
      </c>
      <c r="FQ132" s="3">
        <v>1</v>
      </c>
      <c r="FT132" s="3"/>
      <c r="FU132" s="3">
        <v>1</v>
      </c>
      <c r="FX132" s="3">
        <v>1</v>
      </c>
    </row>
    <row r="133" spans="1:187" ht="13" x14ac:dyDescent="0.15">
      <c r="A133" s="13">
        <v>43234</v>
      </c>
      <c r="B133" s="3" t="s">
        <v>216</v>
      </c>
      <c r="C133" s="3">
        <v>21.3002</v>
      </c>
      <c r="D133" s="3">
        <v>-157.882599</v>
      </c>
      <c r="E133" s="3" t="s">
        <v>272</v>
      </c>
      <c r="F133" s="14">
        <v>0.38263888888888886</v>
      </c>
      <c r="G133" s="14">
        <v>0.41944444444444445</v>
      </c>
      <c r="H133" s="3">
        <v>6</v>
      </c>
      <c r="I133" s="3">
        <v>26</v>
      </c>
      <c r="J133" s="3" t="s">
        <v>198</v>
      </c>
      <c r="K133" s="3">
        <v>5</v>
      </c>
      <c r="L133" s="3">
        <v>27</v>
      </c>
      <c r="M133" s="3" t="s">
        <v>431</v>
      </c>
      <c r="N133" s="3" t="s">
        <v>432</v>
      </c>
      <c r="AH133" s="3">
        <v>2</v>
      </c>
      <c r="BD133" s="3">
        <v>1</v>
      </c>
      <c r="BG133" s="3">
        <v>1</v>
      </c>
      <c r="BH133" s="3"/>
      <c r="BI133" s="3">
        <v>1</v>
      </c>
      <c r="BK133" s="3">
        <v>1</v>
      </c>
      <c r="BL133" s="3">
        <v>1</v>
      </c>
      <c r="BP133" s="3">
        <v>1</v>
      </c>
      <c r="BU133" s="3">
        <v>1</v>
      </c>
      <c r="CD133" s="3">
        <v>1</v>
      </c>
      <c r="EB133" s="3">
        <v>1</v>
      </c>
      <c r="EH133" s="3"/>
      <c r="EI133" s="3">
        <v>1</v>
      </c>
      <c r="EW133" s="3">
        <v>1</v>
      </c>
      <c r="FI133" s="3"/>
      <c r="FJ133" s="3"/>
      <c r="FK133" s="3">
        <v>2</v>
      </c>
      <c r="FQ133" s="3">
        <v>1</v>
      </c>
    </row>
    <row r="134" spans="1:187" ht="13" x14ac:dyDescent="0.15">
      <c r="A134" s="13">
        <v>43236</v>
      </c>
      <c r="B134" s="3" t="s">
        <v>266</v>
      </c>
      <c r="C134" s="3">
        <v>22.060683999999998</v>
      </c>
      <c r="D134" s="3">
        <v>-159.318512</v>
      </c>
      <c r="E134" s="3" t="s">
        <v>347</v>
      </c>
      <c r="F134" s="14">
        <v>0.40625</v>
      </c>
      <c r="G134" s="14">
        <v>0.45555555555555555</v>
      </c>
      <c r="H134" s="3">
        <v>10</v>
      </c>
      <c r="I134" s="3">
        <v>7</v>
      </c>
      <c r="J134" s="3" t="s">
        <v>198</v>
      </c>
      <c r="K134" s="3">
        <v>10</v>
      </c>
      <c r="L134" s="3">
        <v>69</v>
      </c>
      <c r="M134" s="3" t="s">
        <v>433</v>
      </c>
      <c r="T134" s="3"/>
      <c r="U134" s="3"/>
      <c r="V134" s="3"/>
      <c r="W134" s="3">
        <v>1</v>
      </c>
      <c r="Z134" s="3"/>
      <c r="AA134" s="3">
        <v>1</v>
      </c>
      <c r="AB134" s="3">
        <v>1</v>
      </c>
      <c r="AC134" s="3">
        <v>1</v>
      </c>
      <c r="AH134" s="3">
        <v>1</v>
      </c>
      <c r="AK134" s="3"/>
      <c r="AL134" s="3">
        <v>1</v>
      </c>
      <c r="AM134" s="3">
        <v>1</v>
      </c>
      <c r="AS134" s="3">
        <v>1</v>
      </c>
      <c r="AZ134" s="3"/>
      <c r="BA134" s="3">
        <v>1</v>
      </c>
      <c r="BD134" s="3">
        <v>1</v>
      </c>
      <c r="BJ134" s="3">
        <v>1</v>
      </c>
      <c r="BM134" s="3">
        <v>1</v>
      </c>
      <c r="BS134" s="3">
        <v>1</v>
      </c>
      <c r="BU134" s="3">
        <v>1</v>
      </c>
      <c r="BV134" s="3">
        <v>1</v>
      </c>
      <c r="BY134" s="3">
        <v>1</v>
      </c>
      <c r="CC134" s="3">
        <v>1</v>
      </c>
      <c r="CE134" s="3">
        <v>1</v>
      </c>
      <c r="CI134" s="3"/>
      <c r="CJ134" s="3">
        <v>1</v>
      </c>
      <c r="CR134" s="3">
        <v>1</v>
      </c>
      <c r="DC134" s="3">
        <v>1</v>
      </c>
      <c r="DE134" s="3"/>
      <c r="DF134" s="3">
        <v>1</v>
      </c>
      <c r="DL134" s="3">
        <v>1</v>
      </c>
      <c r="DQ134" s="3"/>
      <c r="DR134" s="3">
        <v>1</v>
      </c>
      <c r="DT134" s="3"/>
      <c r="DU134" s="3">
        <v>1</v>
      </c>
      <c r="DZ134" s="3">
        <v>1</v>
      </c>
      <c r="EH134" s="3"/>
      <c r="EI134" s="3">
        <v>1</v>
      </c>
      <c r="ES134" s="3"/>
      <c r="ET134" s="3"/>
      <c r="EU134" s="3">
        <v>1</v>
      </c>
      <c r="FA134" s="3">
        <v>1</v>
      </c>
      <c r="FC134" s="3"/>
      <c r="FE134" s="3">
        <v>1</v>
      </c>
      <c r="FP134" s="3">
        <v>1</v>
      </c>
      <c r="FQ134" s="3">
        <v>1</v>
      </c>
      <c r="FW134" s="3">
        <v>1</v>
      </c>
      <c r="GA134" s="3"/>
      <c r="GB134" s="3">
        <v>1</v>
      </c>
      <c r="GC134" s="3">
        <v>1</v>
      </c>
    </row>
    <row r="135" spans="1:187" ht="13" x14ac:dyDescent="0.15">
      <c r="A135" s="13">
        <v>43238</v>
      </c>
      <c r="B135" s="3" t="s">
        <v>201</v>
      </c>
      <c r="C135" s="3">
        <v>21.25544</v>
      </c>
      <c r="D135" s="3">
        <v>-157.810303</v>
      </c>
      <c r="E135" s="3" t="s">
        <v>325</v>
      </c>
      <c r="F135" s="14">
        <v>0.42708333333333331</v>
      </c>
      <c r="G135" s="14">
        <v>0.46736111111111112</v>
      </c>
      <c r="H135" s="3">
        <v>5</v>
      </c>
      <c r="I135" s="3">
        <v>10</v>
      </c>
      <c r="J135" s="3" t="s">
        <v>318</v>
      </c>
      <c r="K135" s="3">
        <v>5</v>
      </c>
      <c r="L135" s="3">
        <v>25</v>
      </c>
      <c r="Q135" s="3">
        <v>1</v>
      </c>
      <c r="AH135" s="3">
        <v>1</v>
      </c>
      <c r="AK135" s="3">
        <v>1</v>
      </c>
      <c r="AN135" s="3"/>
      <c r="AO135" s="3">
        <v>1</v>
      </c>
      <c r="AY135" s="3">
        <v>1</v>
      </c>
      <c r="BB135" s="3">
        <v>1</v>
      </c>
      <c r="BK135" s="3">
        <v>1</v>
      </c>
      <c r="BL135" s="3">
        <v>1</v>
      </c>
      <c r="BP135" s="3">
        <v>1</v>
      </c>
      <c r="BV135" s="3">
        <v>1</v>
      </c>
      <c r="BW135" s="3">
        <v>1</v>
      </c>
      <c r="CH135" s="3">
        <v>1</v>
      </c>
      <c r="CI135" s="3"/>
      <c r="CJ135" s="3">
        <v>1</v>
      </c>
      <c r="CR135" s="3">
        <v>1</v>
      </c>
      <c r="DC135" s="3">
        <v>1</v>
      </c>
      <c r="DE135" s="3"/>
      <c r="DF135" s="3">
        <v>1</v>
      </c>
      <c r="DQ135" s="3"/>
      <c r="DR135" s="3">
        <v>1</v>
      </c>
      <c r="DT135" s="3"/>
      <c r="DU135" s="3">
        <v>1</v>
      </c>
      <c r="DY135" s="3">
        <v>1</v>
      </c>
      <c r="EB135" s="3">
        <v>1</v>
      </c>
      <c r="EH135" s="3"/>
      <c r="EI135" s="3">
        <v>1</v>
      </c>
      <c r="EW135" s="3">
        <v>1</v>
      </c>
      <c r="FA135" s="3">
        <v>1</v>
      </c>
      <c r="FL135" s="3">
        <v>1</v>
      </c>
      <c r="FQ135" s="3">
        <v>1</v>
      </c>
    </row>
    <row r="136" spans="1:187" ht="13" x14ac:dyDescent="0.15">
      <c r="A136" s="13">
        <v>43238</v>
      </c>
      <c r="B136" s="3" t="s">
        <v>259</v>
      </c>
      <c r="C136" s="3">
        <v>19.737894000000001</v>
      </c>
      <c r="D136" s="3">
        <v>-155.03405799999999</v>
      </c>
      <c r="E136" s="3" t="s">
        <v>358</v>
      </c>
      <c r="F136" s="14">
        <v>0.3888888888888889</v>
      </c>
      <c r="G136" s="14">
        <v>0.41666666666666669</v>
      </c>
      <c r="H136" s="3">
        <v>7</v>
      </c>
      <c r="I136" s="3">
        <v>20</v>
      </c>
      <c r="J136" s="3" t="s">
        <v>198</v>
      </c>
      <c r="K136" s="3">
        <v>12</v>
      </c>
      <c r="L136" s="3">
        <v>52</v>
      </c>
      <c r="M136" s="3" t="s">
        <v>434</v>
      </c>
      <c r="N136" s="3" t="s">
        <v>435</v>
      </c>
      <c r="R136" s="3">
        <v>1</v>
      </c>
      <c r="AE136" s="3">
        <v>1</v>
      </c>
      <c r="AF136" s="3">
        <v>1</v>
      </c>
      <c r="AK136" s="3">
        <v>1</v>
      </c>
      <c r="AN136" s="3"/>
      <c r="AO136" s="3">
        <v>1</v>
      </c>
      <c r="AZ136" s="3"/>
      <c r="BA136" s="3">
        <v>1</v>
      </c>
      <c r="BJ136" s="3">
        <v>1</v>
      </c>
      <c r="BK136" s="3">
        <v>1</v>
      </c>
      <c r="BL136" s="3">
        <v>1</v>
      </c>
      <c r="CB136" s="3">
        <v>1</v>
      </c>
      <c r="CC136" s="3">
        <v>1</v>
      </c>
      <c r="CT136" s="3">
        <v>1</v>
      </c>
      <c r="DG136" s="3">
        <v>1</v>
      </c>
      <c r="EC136" s="3">
        <v>1</v>
      </c>
      <c r="EF136" s="3"/>
      <c r="EG136" s="3">
        <v>1</v>
      </c>
      <c r="EW136" s="3">
        <v>1</v>
      </c>
      <c r="FB136" s="3">
        <v>1</v>
      </c>
      <c r="FC136" s="3"/>
      <c r="FE136" s="3">
        <v>2</v>
      </c>
      <c r="FL136" s="3">
        <v>1</v>
      </c>
      <c r="FO136" s="3">
        <v>1</v>
      </c>
      <c r="FQ136" s="3">
        <v>1</v>
      </c>
      <c r="FR136" s="3">
        <v>1</v>
      </c>
      <c r="FT136" s="3"/>
      <c r="FU136" s="3">
        <v>1</v>
      </c>
      <c r="FW136" s="3">
        <v>1</v>
      </c>
      <c r="GA136" s="3"/>
      <c r="GB136" s="3">
        <v>1</v>
      </c>
      <c r="GC136" s="3">
        <v>1</v>
      </c>
    </row>
    <row r="137" spans="1:187" ht="13" x14ac:dyDescent="0.15">
      <c r="A137" s="13">
        <v>43311</v>
      </c>
      <c r="B137" s="3" t="s">
        <v>246</v>
      </c>
      <c r="C137" s="3">
        <v>21.2882</v>
      </c>
      <c r="D137" s="3">
        <v>-157.66799900000001</v>
      </c>
      <c r="E137" s="3" t="s">
        <v>353</v>
      </c>
      <c r="F137" s="14">
        <v>0.39027777777777778</v>
      </c>
      <c r="G137" s="14">
        <v>0.44791666666666669</v>
      </c>
      <c r="H137" s="3">
        <v>6</v>
      </c>
      <c r="I137" s="3">
        <v>17</v>
      </c>
      <c r="J137" s="3" t="s">
        <v>198</v>
      </c>
      <c r="K137" s="3">
        <v>6</v>
      </c>
      <c r="L137" s="3">
        <v>26</v>
      </c>
      <c r="M137" s="3" t="s">
        <v>436</v>
      </c>
      <c r="N137" s="3" t="s">
        <v>437</v>
      </c>
      <c r="Q137" s="3">
        <v>1</v>
      </c>
      <c r="R137" s="3">
        <v>1</v>
      </c>
      <c r="AB137" s="3">
        <v>1</v>
      </c>
      <c r="BG137" s="3">
        <v>1</v>
      </c>
      <c r="BJ137" s="3">
        <v>1</v>
      </c>
      <c r="BK137" s="3">
        <v>1</v>
      </c>
      <c r="BL137" s="3">
        <v>1</v>
      </c>
      <c r="BM137" s="3">
        <v>1</v>
      </c>
      <c r="BZ137" s="3">
        <v>1</v>
      </c>
      <c r="CB137" s="3">
        <v>1</v>
      </c>
      <c r="DE137" s="3"/>
      <c r="DF137" s="3">
        <v>1</v>
      </c>
      <c r="DL137" s="3">
        <v>1</v>
      </c>
      <c r="DN137" s="3">
        <v>1</v>
      </c>
      <c r="DY137" s="3">
        <v>1</v>
      </c>
      <c r="EH137" s="3"/>
      <c r="EI137" s="3">
        <v>1</v>
      </c>
      <c r="EX137" s="3"/>
      <c r="EY137" s="3">
        <v>1</v>
      </c>
      <c r="FA137" s="3">
        <v>1</v>
      </c>
      <c r="FL137" s="3">
        <v>1</v>
      </c>
      <c r="FM137" s="3"/>
      <c r="FN137" s="3">
        <v>1</v>
      </c>
      <c r="FP137" s="3">
        <v>1</v>
      </c>
      <c r="FQ137" s="3">
        <v>1</v>
      </c>
      <c r="FT137" s="3"/>
      <c r="FU137" s="3">
        <v>1</v>
      </c>
      <c r="GC137" s="3">
        <v>1</v>
      </c>
    </row>
    <row r="138" spans="1:187" ht="13" x14ac:dyDescent="0.15">
      <c r="A138" s="13">
        <v>43485</v>
      </c>
      <c r="B138" s="3" t="s">
        <v>201</v>
      </c>
      <c r="C138" s="3">
        <v>21.25544</v>
      </c>
      <c r="D138" s="3">
        <v>-157.81030000000001</v>
      </c>
      <c r="E138" s="3" t="s">
        <v>418</v>
      </c>
      <c r="F138" s="14">
        <v>0.40625</v>
      </c>
      <c r="G138" s="14">
        <v>0.44791666666666669</v>
      </c>
      <c r="H138" s="3">
        <v>6</v>
      </c>
      <c r="I138" s="3">
        <v>10</v>
      </c>
      <c r="J138" s="3" t="s">
        <v>318</v>
      </c>
      <c r="K138" s="3">
        <v>10</v>
      </c>
      <c r="L138" s="3">
        <v>52</v>
      </c>
      <c r="M138" s="3" t="s">
        <v>438</v>
      </c>
      <c r="Q138" s="3">
        <v>1</v>
      </c>
      <c r="S138" s="3">
        <v>1</v>
      </c>
      <c r="AE138" s="3">
        <v>1</v>
      </c>
      <c r="AG138" s="3"/>
      <c r="AH138" s="3">
        <v>1</v>
      </c>
      <c r="BE138" s="3"/>
      <c r="BF138" s="3"/>
      <c r="BG138" s="3"/>
      <c r="BH138" s="3"/>
      <c r="BI138" s="3"/>
      <c r="BJ138" s="3"/>
      <c r="BK138" s="3"/>
      <c r="BL138" s="3">
        <v>1</v>
      </c>
      <c r="BP138" s="3">
        <v>1</v>
      </c>
      <c r="BQ138" s="3"/>
      <c r="BR138" s="3"/>
      <c r="BS138" s="3"/>
      <c r="BT138" s="3"/>
      <c r="BU138" s="3">
        <v>1</v>
      </c>
      <c r="BV138" s="3"/>
      <c r="BX138" s="3"/>
      <c r="BY138" s="3">
        <v>1</v>
      </c>
      <c r="BZ138" s="3"/>
      <c r="CA138" s="3">
        <v>1</v>
      </c>
      <c r="CH138" s="3"/>
      <c r="CI138" s="3"/>
      <c r="CJ138" s="3"/>
      <c r="CK138" s="3"/>
      <c r="CL138" s="3"/>
      <c r="CM138" s="3"/>
      <c r="CN138" s="3"/>
      <c r="CO138" s="3"/>
      <c r="CP138" s="3"/>
      <c r="CQ138" s="3"/>
      <c r="CR138" s="3">
        <v>1</v>
      </c>
      <c r="DA138" s="3"/>
      <c r="DB138" s="3">
        <v>1</v>
      </c>
      <c r="DC138" s="3"/>
      <c r="DD138" s="3"/>
      <c r="DE138" s="3"/>
      <c r="DF138" s="3">
        <v>1</v>
      </c>
      <c r="DH138" s="3"/>
      <c r="DI138" s="3"/>
      <c r="DJ138" s="3"/>
      <c r="DK138" s="3"/>
      <c r="DL138" s="3">
        <v>1</v>
      </c>
      <c r="DM138" s="3">
        <v>1</v>
      </c>
      <c r="DN138" s="3"/>
      <c r="DO138" s="3">
        <v>1</v>
      </c>
      <c r="DP138" s="3"/>
      <c r="DQ138" s="3"/>
      <c r="DR138" s="3">
        <v>1</v>
      </c>
      <c r="DS138" s="3"/>
      <c r="DT138" s="3"/>
      <c r="DU138" s="3">
        <v>1</v>
      </c>
      <c r="DV138" s="3"/>
      <c r="DW138" s="3"/>
      <c r="DX138" s="3"/>
      <c r="DY138" s="3"/>
      <c r="DZ138" s="3">
        <v>1</v>
      </c>
      <c r="EA138" s="3"/>
      <c r="EB138" s="3"/>
      <c r="EC138" s="3"/>
      <c r="ED138" s="3"/>
      <c r="EE138" s="3"/>
      <c r="EF138" s="3"/>
      <c r="EG138" s="3"/>
      <c r="EH138" s="3"/>
      <c r="EI138" s="3">
        <v>1</v>
      </c>
      <c r="EJ138" s="3"/>
      <c r="EK138" s="3"/>
      <c r="EL138" s="3"/>
      <c r="EM138" s="3"/>
      <c r="EN138" s="3"/>
      <c r="EO138" s="3"/>
      <c r="EP138" s="3"/>
      <c r="EQ138" s="3"/>
      <c r="ER138" s="3"/>
      <c r="ES138" s="3"/>
      <c r="ET138" s="3"/>
      <c r="EU138" s="3"/>
      <c r="EV138" s="3"/>
      <c r="EW138" s="3"/>
      <c r="EX138" s="3"/>
      <c r="EY138" s="3"/>
      <c r="EZ138" s="3"/>
      <c r="FA138" s="3">
        <v>1</v>
      </c>
      <c r="FB138" s="3">
        <v>1</v>
      </c>
      <c r="FF138" s="3"/>
      <c r="FG138" s="3">
        <v>1</v>
      </c>
      <c r="FH138" s="3">
        <v>1</v>
      </c>
      <c r="FI138" s="3"/>
      <c r="FJ138" s="3"/>
      <c r="FK138" s="3"/>
      <c r="FL138" s="3">
        <v>1</v>
      </c>
      <c r="FM138" s="3"/>
      <c r="FN138" s="3"/>
      <c r="FO138" s="3"/>
      <c r="FP138" s="3">
        <v>1</v>
      </c>
      <c r="FQ138" s="3">
        <v>1</v>
      </c>
      <c r="FZ138" s="3"/>
      <c r="GA138" s="3"/>
      <c r="GB138" s="3">
        <v>1</v>
      </c>
      <c r="GE138" s="3">
        <f>COUNT(Q138:GC138)</f>
        <v>27</v>
      </c>
    </row>
    <row r="139" spans="1:187" ht="13" x14ac:dyDescent="0.15">
      <c r="A139" s="13">
        <v>43517</v>
      </c>
      <c r="B139" s="3" t="s">
        <v>440</v>
      </c>
      <c r="C139" s="3">
        <v>21.311893000000001</v>
      </c>
      <c r="D139" s="3">
        <v>-157.89514199999999</v>
      </c>
      <c r="E139" s="3" t="s">
        <v>418</v>
      </c>
      <c r="F139" s="14">
        <v>0.45833333333333331</v>
      </c>
      <c r="G139" s="14">
        <v>0.49027777777777776</v>
      </c>
      <c r="H139" s="3">
        <v>5</v>
      </c>
      <c r="I139" s="3">
        <v>10</v>
      </c>
      <c r="J139" s="3" t="s">
        <v>318</v>
      </c>
      <c r="K139" s="3">
        <v>5</v>
      </c>
      <c r="L139" s="3">
        <v>25</v>
      </c>
      <c r="AG139" s="3"/>
      <c r="AH139" s="3">
        <v>1</v>
      </c>
      <c r="AS139" s="3"/>
      <c r="AT139" s="3"/>
      <c r="AU139" s="3"/>
      <c r="AV139" s="3"/>
      <c r="AW139" s="3"/>
      <c r="AX139" s="3"/>
      <c r="AY139" s="3">
        <v>1</v>
      </c>
      <c r="AZ139" s="3"/>
      <c r="BA139" s="3"/>
      <c r="BB139" s="3"/>
      <c r="BC139" s="3"/>
      <c r="BD139" s="3">
        <v>1</v>
      </c>
      <c r="BE139" s="3"/>
      <c r="BF139" s="3"/>
      <c r="BG139" s="3"/>
      <c r="BH139" s="3"/>
      <c r="BI139" s="3"/>
      <c r="BJ139" s="3"/>
      <c r="BK139" s="3">
        <v>1</v>
      </c>
      <c r="BL139" s="3">
        <v>1</v>
      </c>
      <c r="BQ139" s="3"/>
      <c r="BR139" s="3"/>
      <c r="BS139" s="3"/>
      <c r="BT139" s="3"/>
      <c r="BU139" s="3">
        <v>1</v>
      </c>
      <c r="BV139" s="3"/>
      <c r="BX139" s="3"/>
      <c r="BY139" s="3">
        <v>1</v>
      </c>
      <c r="CU139" s="3"/>
      <c r="CV139" s="3"/>
      <c r="CW139" s="3"/>
      <c r="CX139" s="3"/>
      <c r="CY139" s="3"/>
      <c r="CZ139" s="3">
        <v>1</v>
      </c>
      <c r="DP139" s="3"/>
      <c r="DQ139" s="3"/>
      <c r="DR139" s="3">
        <v>1</v>
      </c>
      <c r="EJ139" s="3"/>
      <c r="EK139" s="3"/>
      <c r="EL139" s="3"/>
      <c r="EM139" s="3"/>
      <c r="EN139" s="3"/>
      <c r="EO139" s="3"/>
      <c r="EP139" s="3"/>
      <c r="EQ139" s="3"/>
      <c r="ER139" s="3"/>
      <c r="ES139" s="3"/>
      <c r="ET139" s="3"/>
      <c r="EU139" s="3"/>
      <c r="EV139" s="3"/>
      <c r="EW139" s="3"/>
      <c r="EX139" s="3"/>
      <c r="EY139" s="3"/>
      <c r="EZ139" s="3"/>
      <c r="FA139" s="3">
        <v>1</v>
      </c>
      <c r="FD139" s="3">
        <v>1</v>
      </c>
      <c r="FQ139" s="3">
        <v>1</v>
      </c>
      <c r="FV139" s="3">
        <v>1</v>
      </c>
      <c r="GC139" s="3">
        <v>1</v>
      </c>
    </row>
    <row r="140" spans="1:187" ht="13" x14ac:dyDescent="0.15">
      <c r="A140" s="13">
        <v>43519</v>
      </c>
      <c r="B140" s="3" t="s">
        <v>266</v>
      </c>
      <c r="C140" s="23">
        <v>22.060683999999998</v>
      </c>
      <c r="D140" s="23">
        <v>-159.318512</v>
      </c>
      <c r="E140" s="3" t="s">
        <v>297</v>
      </c>
      <c r="F140" s="14">
        <v>0.36875000000000002</v>
      </c>
      <c r="G140" s="14">
        <v>0.40625</v>
      </c>
      <c r="H140" s="3">
        <v>4</v>
      </c>
      <c r="I140" s="3">
        <v>20</v>
      </c>
      <c r="J140" s="3" t="s">
        <v>198</v>
      </c>
      <c r="K140" s="3">
        <v>5</v>
      </c>
      <c r="L140" s="3">
        <v>19</v>
      </c>
      <c r="M140" s="3" t="s">
        <v>441</v>
      </c>
      <c r="Q140" s="3">
        <v>1</v>
      </c>
      <c r="Z140" s="3"/>
      <c r="AA140" s="3">
        <v>1</v>
      </c>
      <c r="AC140" s="3">
        <v>1</v>
      </c>
      <c r="AF140" s="3"/>
      <c r="AV140" s="3"/>
      <c r="AW140" s="3">
        <v>1</v>
      </c>
      <c r="AZ140" s="3"/>
      <c r="BA140" s="3">
        <v>1</v>
      </c>
      <c r="BE140" s="3"/>
      <c r="BF140" s="3"/>
      <c r="BG140" s="3"/>
      <c r="BH140" s="3"/>
      <c r="BI140" s="3"/>
      <c r="BJ140" s="3"/>
      <c r="BL140" s="3">
        <v>1</v>
      </c>
      <c r="BM140" s="3">
        <v>1</v>
      </c>
      <c r="BP140" s="3"/>
      <c r="BQ140" s="3"/>
      <c r="BU140" s="3">
        <v>1</v>
      </c>
      <c r="CB140" s="3"/>
      <c r="CC140" s="3"/>
      <c r="CD140" s="3"/>
      <c r="CE140" s="3"/>
      <c r="CH140" s="3"/>
      <c r="CI140" s="3"/>
      <c r="CJ140" s="3"/>
      <c r="CK140" s="3"/>
      <c r="CL140" s="3"/>
      <c r="CM140" s="3"/>
      <c r="CN140" s="3"/>
      <c r="DL140" s="3">
        <v>1</v>
      </c>
      <c r="DM140" s="3">
        <v>1</v>
      </c>
      <c r="DQ140" s="3"/>
      <c r="DR140" s="3">
        <v>1</v>
      </c>
      <c r="DS140" s="3"/>
      <c r="DV140" s="3"/>
      <c r="DW140" s="3"/>
      <c r="EA140" s="3"/>
      <c r="EB140" s="3"/>
      <c r="EC140" s="3"/>
      <c r="EH140" s="3"/>
      <c r="EI140" s="3">
        <v>1</v>
      </c>
      <c r="EJ140" s="3"/>
      <c r="EK140" s="3"/>
      <c r="EL140" s="3"/>
      <c r="EM140" s="3"/>
      <c r="EN140" s="3"/>
      <c r="EO140" s="3"/>
      <c r="EP140" s="3"/>
      <c r="EQ140" s="3"/>
      <c r="FA140" s="3">
        <v>1</v>
      </c>
      <c r="FH140" s="3">
        <v>1</v>
      </c>
      <c r="FI140" s="3"/>
      <c r="FJ140" s="3"/>
      <c r="FK140" s="3"/>
      <c r="FL140" s="3"/>
      <c r="FP140" s="3">
        <v>1</v>
      </c>
      <c r="FQ140" s="3">
        <v>1</v>
      </c>
      <c r="FX140" s="3">
        <v>1</v>
      </c>
    </row>
    <row r="141" spans="1:187" ht="13" x14ac:dyDescent="0.15">
      <c r="A141" s="13">
        <v>43519</v>
      </c>
      <c r="B141" s="3" t="s">
        <v>266</v>
      </c>
      <c r="C141" s="23">
        <v>22.060683999999998</v>
      </c>
      <c r="D141" s="23">
        <v>-159.318512</v>
      </c>
      <c r="E141" s="3" t="s">
        <v>347</v>
      </c>
      <c r="F141" s="14">
        <v>0.53472222222222221</v>
      </c>
      <c r="G141" s="14">
        <v>0.60416666666666663</v>
      </c>
      <c r="H141" s="3">
        <v>3</v>
      </c>
      <c r="I141" s="3">
        <v>20</v>
      </c>
      <c r="J141" s="3" t="s">
        <v>198</v>
      </c>
      <c r="K141" s="3">
        <v>20</v>
      </c>
      <c r="L141" s="3">
        <v>10</v>
      </c>
      <c r="M141" s="3" t="s">
        <v>442</v>
      </c>
      <c r="N141" s="3" t="s">
        <v>443</v>
      </c>
      <c r="AF141" s="3"/>
      <c r="AV141" s="3"/>
      <c r="AW141" s="3">
        <v>1</v>
      </c>
      <c r="BE141" s="3"/>
      <c r="BF141" s="3"/>
      <c r="BG141" s="3"/>
      <c r="BH141" s="3"/>
      <c r="BI141" s="3"/>
      <c r="BJ141" s="3">
        <v>1</v>
      </c>
      <c r="BL141" s="3">
        <v>1</v>
      </c>
      <c r="BP141" s="3"/>
      <c r="BQ141" s="3"/>
      <c r="BU141" s="3">
        <v>1</v>
      </c>
      <c r="CB141" s="3"/>
      <c r="CC141" s="3"/>
      <c r="CD141" s="3"/>
      <c r="CE141" s="3"/>
      <c r="CH141" s="3"/>
      <c r="CI141" s="3"/>
      <c r="CJ141" s="3"/>
      <c r="CK141" s="3"/>
      <c r="CL141" s="3"/>
      <c r="CM141" s="3"/>
      <c r="CN141" s="3"/>
      <c r="DL141" s="3">
        <v>1</v>
      </c>
      <c r="DQ141" s="3"/>
      <c r="DR141" s="3">
        <v>1</v>
      </c>
      <c r="DS141" s="3"/>
      <c r="DV141" s="3"/>
      <c r="DW141" s="3"/>
      <c r="EA141" s="3"/>
      <c r="EB141" s="3"/>
      <c r="EC141" s="3"/>
      <c r="EH141" s="3"/>
      <c r="EI141" s="3">
        <v>1</v>
      </c>
      <c r="EJ141" s="3"/>
      <c r="EK141" s="3"/>
      <c r="EL141" s="3"/>
      <c r="EM141" s="3"/>
      <c r="EN141" s="3"/>
      <c r="EO141" s="3"/>
      <c r="EP141" s="3"/>
      <c r="EQ141" s="3"/>
      <c r="FH141" s="3">
        <v>1</v>
      </c>
      <c r="FI141" s="3"/>
      <c r="FJ141" s="3"/>
      <c r="FK141" s="3"/>
      <c r="FL141" s="3"/>
      <c r="FP141" s="3">
        <v>1</v>
      </c>
      <c r="FQ141" s="3">
        <v>1</v>
      </c>
    </row>
    <row r="142" spans="1:187" ht="13" x14ac:dyDescent="0.15">
      <c r="A142" s="13">
        <v>43520</v>
      </c>
      <c r="B142" s="3" t="s">
        <v>293</v>
      </c>
      <c r="C142" s="3">
        <v>19.738602</v>
      </c>
      <c r="D142" s="3">
        <v>-155.03887900000001</v>
      </c>
      <c r="E142" s="3" t="s">
        <v>418</v>
      </c>
      <c r="F142" s="14">
        <v>0.55208333333333337</v>
      </c>
      <c r="G142" s="14">
        <v>0.59375</v>
      </c>
      <c r="H142" s="3">
        <v>3</v>
      </c>
      <c r="I142" s="3">
        <v>13</v>
      </c>
      <c r="J142" s="3" t="s">
        <v>198</v>
      </c>
      <c r="K142" s="3">
        <v>11</v>
      </c>
      <c r="L142" s="3">
        <v>25</v>
      </c>
      <c r="M142" s="3" t="s">
        <v>444</v>
      </c>
      <c r="AF142" s="3">
        <v>1</v>
      </c>
      <c r="BE142" s="3"/>
      <c r="BF142" s="3"/>
      <c r="BG142" s="3"/>
      <c r="BH142" s="3"/>
      <c r="BI142" s="3"/>
      <c r="BJ142" s="3">
        <v>1</v>
      </c>
      <c r="BL142" s="3">
        <v>1</v>
      </c>
      <c r="BP142" s="3">
        <v>1</v>
      </c>
      <c r="BQ142" s="3">
        <v>1</v>
      </c>
      <c r="CB142" s="3">
        <v>1</v>
      </c>
      <c r="CC142" s="3"/>
      <c r="CD142" s="3"/>
      <c r="CE142" s="3">
        <v>1</v>
      </c>
      <c r="CH142" s="3"/>
      <c r="CI142" s="3"/>
      <c r="CJ142" s="3"/>
      <c r="CK142" s="3"/>
      <c r="CL142" s="3"/>
      <c r="CM142" s="3"/>
      <c r="CN142" s="3">
        <v>1</v>
      </c>
      <c r="DS142" s="3"/>
      <c r="DV142" s="3"/>
      <c r="DW142" s="3">
        <v>1</v>
      </c>
      <c r="EA142" s="3"/>
      <c r="EB142" s="3"/>
      <c r="EC142" s="3">
        <v>1</v>
      </c>
      <c r="EJ142" s="3"/>
      <c r="EK142" s="3"/>
      <c r="EL142" s="3"/>
      <c r="EM142" s="3"/>
      <c r="EN142" s="3"/>
      <c r="EO142" s="3">
        <v>1</v>
      </c>
      <c r="EP142" s="3"/>
      <c r="EQ142" s="3">
        <v>1</v>
      </c>
      <c r="FI142" s="3"/>
      <c r="FJ142" s="3"/>
      <c r="FK142" s="3"/>
      <c r="FL142" s="3">
        <v>1</v>
      </c>
      <c r="FQ142" s="3">
        <v>1</v>
      </c>
    </row>
    <row r="143" spans="1:187" ht="13" x14ac:dyDescent="0.15">
      <c r="A143" s="13">
        <v>43525</v>
      </c>
      <c r="B143" s="3" t="s">
        <v>244</v>
      </c>
      <c r="C143" s="3">
        <v>21.310611999999999</v>
      </c>
      <c r="D143" s="3">
        <v>-158.00441000000001</v>
      </c>
      <c r="E143" s="3" t="s">
        <v>278</v>
      </c>
      <c r="F143" s="14">
        <v>0.38541666666666669</v>
      </c>
      <c r="G143" s="14">
        <v>0.47222222222222221</v>
      </c>
      <c r="H143" s="3">
        <v>8</v>
      </c>
      <c r="I143" s="3">
        <v>10</v>
      </c>
      <c r="J143" s="3" t="s">
        <v>318</v>
      </c>
      <c r="K143" s="3">
        <v>6</v>
      </c>
      <c r="L143" s="3">
        <v>32</v>
      </c>
      <c r="M143" s="3" t="s">
        <v>445</v>
      </c>
      <c r="N143" s="3" t="s">
        <v>446</v>
      </c>
      <c r="Q143" s="3">
        <v>1</v>
      </c>
      <c r="T143" s="3"/>
      <c r="U143" s="3"/>
      <c r="V143" s="3"/>
      <c r="W143" s="3"/>
      <c r="X143" s="3"/>
      <c r="Y143" s="3"/>
      <c r="Z143" s="3"/>
      <c r="AA143" s="3">
        <v>1</v>
      </c>
      <c r="AD143" s="3">
        <v>1</v>
      </c>
      <c r="AI143" s="3"/>
      <c r="AJ143" s="3"/>
      <c r="AK143" s="3"/>
      <c r="AL143" s="3">
        <v>1</v>
      </c>
      <c r="AS143" s="3">
        <v>1</v>
      </c>
      <c r="AZ143" s="3"/>
      <c r="BA143" s="3">
        <v>1</v>
      </c>
      <c r="BB143" s="3"/>
      <c r="BC143" s="3">
        <v>1</v>
      </c>
      <c r="BD143" s="3">
        <v>1</v>
      </c>
      <c r="BE143" s="3"/>
      <c r="BF143" s="3"/>
      <c r="BG143" s="3"/>
      <c r="BH143" s="3"/>
      <c r="BI143" s="3"/>
      <c r="BJ143" s="3">
        <v>1</v>
      </c>
      <c r="BL143" s="3">
        <v>1</v>
      </c>
      <c r="BR143" s="3"/>
      <c r="BS143" s="3"/>
      <c r="BT143" s="3"/>
      <c r="BU143" s="3">
        <v>1</v>
      </c>
      <c r="BW143" s="3">
        <v>1</v>
      </c>
      <c r="CH143" s="3"/>
      <c r="CI143" s="3"/>
      <c r="CJ143" s="3"/>
      <c r="CK143" s="3"/>
      <c r="CL143" s="3">
        <v>1</v>
      </c>
      <c r="DA143" s="3"/>
      <c r="DB143" s="3">
        <v>1</v>
      </c>
      <c r="DC143" s="3"/>
      <c r="DD143" s="3">
        <v>1</v>
      </c>
      <c r="DE143" s="3"/>
      <c r="DF143" s="3">
        <v>1</v>
      </c>
      <c r="DH143" s="3"/>
      <c r="DI143" s="3"/>
      <c r="DJ143" s="3"/>
      <c r="DK143" s="3"/>
      <c r="DL143" s="3">
        <v>1</v>
      </c>
      <c r="EA143" s="3"/>
      <c r="EB143" s="3">
        <v>1</v>
      </c>
      <c r="EC143" s="3">
        <v>1</v>
      </c>
      <c r="ED143" s="3"/>
      <c r="EE143" s="3"/>
      <c r="EF143" s="3"/>
      <c r="EG143" s="3"/>
      <c r="EH143" s="3"/>
      <c r="EI143" s="3">
        <v>1</v>
      </c>
      <c r="EJ143" s="3">
        <v>1</v>
      </c>
      <c r="EK143" s="3"/>
      <c r="EL143" s="3"/>
      <c r="EM143" s="3"/>
      <c r="EN143" s="3">
        <v>1</v>
      </c>
      <c r="ER143" s="3"/>
      <c r="ES143" s="3"/>
      <c r="ET143" s="3"/>
      <c r="EU143" s="3"/>
      <c r="EV143" s="3">
        <v>1</v>
      </c>
      <c r="EW143" s="3">
        <v>1</v>
      </c>
      <c r="FI143" s="3"/>
      <c r="FJ143" s="3"/>
      <c r="FK143" s="3">
        <v>1</v>
      </c>
      <c r="FM143" s="3"/>
      <c r="FN143" s="3"/>
      <c r="FO143" s="3">
        <v>1</v>
      </c>
      <c r="FQ143" s="3">
        <v>1</v>
      </c>
    </row>
    <row r="144" spans="1:187" ht="13" x14ac:dyDescent="0.15">
      <c r="A144" s="13">
        <v>43528</v>
      </c>
      <c r="B144" s="3" t="s">
        <v>400</v>
      </c>
      <c r="C144" s="3">
        <v>21.900562000000001</v>
      </c>
      <c r="D144" s="3">
        <v>-159.60981799999999</v>
      </c>
      <c r="E144" s="3" t="s">
        <v>401</v>
      </c>
      <c r="F144" s="14">
        <v>0.39583333333333331</v>
      </c>
      <c r="G144" s="14">
        <v>0.44097222222222221</v>
      </c>
      <c r="H144" s="3">
        <v>6</v>
      </c>
      <c r="I144" s="3">
        <v>14</v>
      </c>
      <c r="J144" s="3" t="s">
        <v>198</v>
      </c>
      <c r="K144" s="3">
        <v>14</v>
      </c>
      <c r="L144" s="3">
        <v>43</v>
      </c>
      <c r="M144" s="3" t="s">
        <v>447</v>
      </c>
      <c r="N144" s="3" t="s">
        <v>448</v>
      </c>
      <c r="O144" s="3"/>
      <c r="P144" s="3" t="s">
        <v>449</v>
      </c>
      <c r="AZ144" s="3"/>
      <c r="BA144" s="3">
        <v>1</v>
      </c>
      <c r="BE144" s="3"/>
      <c r="BF144" s="3"/>
      <c r="BG144" s="3">
        <v>1</v>
      </c>
      <c r="BV144" s="3">
        <v>1</v>
      </c>
      <c r="DH144" s="3"/>
      <c r="DI144" s="3">
        <v>1</v>
      </c>
      <c r="DJ144" s="3"/>
      <c r="DK144" s="3">
        <v>1</v>
      </c>
      <c r="DP144" s="3"/>
      <c r="DQ144" s="3"/>
      <c r="DR144" s="3">
        <v>2</v>
      </c>
      <c r="DT144" s="3"/>
      <c r="DU144" s="3">
        <v>1</v>
      </c>
      <c r="EC144" s="3">
        <v>1</v>
      </c>
      <c r="ED144" s="3"/>
      <c r="EE144" s="3"/>
      <c r="EF144" s="3"/>
      <c r="EG144" s="3"/>
      <c r="EH144" s="3"/>
      <c r="EI144" s="3">
        <v>1</v>
      </c>
      <c r="EX144" s="3"/>
      <c r="EY144" s="3"/>
      <c r="EZ144" s="3"/>
      <c r="FA144" s="3">
        <v>1</v>
      </c>
      <c r="FP144" s="3">
        <v>1</v>
      </c>
      <c r="FQ144" s="3">
        <v>1</v>
      </c>
    </row>
    <row r="145" spans="1:185" ht="13" x14ac:dyDescent="0.15">
      <c r="A145" s="13">
        <v>43531</v>
      </c>
      <c r="B145" s="3" t="s">
        <v>266</v>
      </c>
      <c r="C145" s="3">
        <v>22.060683999999998</v>
      </c>
      <c r="D145" s="3">
        <v>-159.318512</v>
      </c>
      <c r="E145" s="3" t="s">
        <v>418</v>
      </c>
      <c r="F145" s="14">
        <v>0.4375</v>
      </c>
      <c r="G145" s="14">
        <v>0.50208333333333333</v>
      </c>
      <c r="H145" s="3">
        <v>7</v>
      </c>
      <c r="I145" s="3">
        <v>18</v>
      </c>
      <c r="J145" s="3" t="s">
        <v>198</v>
      </c>
      <c r="K145" s="3">
        <v>10</v>
      </c>
      <c r="L145" s="3">
        <v>56</v>
      </c>
      <c r="M145" s="3" t="s">
        <v>450</v>
      </c>
      <c r="T145" s="3"/>
      <c r="U145" s="3"/>
      <c r="V145" s="3"/>
      <c r="W145" s="3">
        <v>1</v>
      </c>
      <c r="AG145" s="3"/>
      <c r="AH145" s="3">
        <v>1</v>
      </c>
      <c r="AZ145" s="3"/>
      <c r="BA145" s="3">
        <v>1</v>
      </c>
      <c r="BL145" s="3">
        <v>1</v>
      </c>
      <c r="BM145" s="3">
        <v>1</v>
      </c>
      <c r="BR145" s="3"/>
      <c r="BS145" s="3"/>
      <c r="BT145" s="3"/>
      <c r="BU145" s="3">
        <v>1</v>
      </c>
      <c r="CC145" s="3"/>
      <c r="CD145" s="3">
        <v>1</v>
      </c>
      <c r="DJ145" s="3"/>
      <c r="DK145" s="3">
        <v>1</v>
      </c>
      <c r="DL145" s="3">
        <v>1</v>
      </c>
      <c r="DP145" s="3"/>
      <c r="DQ145" s="3"/>
      <c r="DR145" s="3">
        <v>1</v>
      </c>
      <c r="DT145" s="3"/>
      <c r="DU145" s="3">
        <v>1</v>
      </c>
      <c r="ED145" s="3"/>
      <c r="EE145" s="3"/>
      <c r="EF145" s="3"/>
      <c r="EG145" s="3"/>
      <c r="EH145" s="3"/>
      <c r="EI145" s="3">
        <v>1</v>
      </c>
      <c r="EX145" s="3"/>
      <c r="EY145" s="3"/>
      <c r="EZ145" s="3"/>
      <c r="FA145" s="3">
        <v>1</v>
      </c>
      <c r="FB145" s="3">
        <v>1</v>
      </c>
      <c r="FL145" s="3">
        <v>1</v>
      </c>
      <c r="FP145" s="3">
        <v>1</v>
      </c>
      <c r="FQ145" s="3">
        <v>1</v>
      </c>
    </row>
    <row r="146" spans="1:185" ht="13" x14ac:dyDescent="0.15">
      <c r="A146" s="13">
        <v>43531</v>
      </c>
      <c r="B146" s="3" t="s">
        <v>233</v>
      </c>
      <c r="C146" s="3">
        <v>21.066799</v>
      </c>
      <c r="D146" s="3">
        <v>-156.804993</v>
      </c>
      <c r="E146" s="3" t="s">
        <v>286</v>
      </c>
      <c r="F146" s="14">
        <v>0.43541666666666667</v>
      </c>
      <c r="G146" s="14">
        <v>0.47430555555555554</v>
      </c>
      <c r="H146" s="3">
        <v>4</v>
      </c>
      <c r="I146" s="3">
        <v>24</v>
      </c>
      <c r="J146" s="3" t="s">
        <v>227</v>
      </c>
      <c r="K146" s="3">
        <v>9</v>
      </c>
      <c r="L146" s="3">
        <v>25</v>
      </c>
      <c r="M146" s="3" t="s">
        <v>451</v>
      </c>
      <c r="N146" s="3" t="s">
        <v>452</v>
      </c>
      <c r="Q146" s="3">
        <v>1</v>
      </c>
      <c r="AI146" s="3"/>
      <c r="AJ146" s="3"/>
      <c r="AK146" s="3"/>
      <c r="AL146" s="3">
        <v>1</v>
      </c>
      <c r="BL146" s="3">
        <v>1</v>
      </c>
      <c r="CF146" s="3"/>
      <c r="CG146" s="3">
        <v>1</v>
      </c>
      <c r="CM146" s="3"/>
      <c r="CN146" s="3">
        <v>1</v>
      </c>
      <c r="DL146" s="3">
        <v>1</v>
      </c>
      <c r="ED146" s="3"/>
      <c r="EE146" s="3"/>
      <c r="EF146" s="3"/>
      <c r="EG146" s="3"/>
      <c r="EH146" s="3"/>
      <c r="EI146" s="3">
        <v>1</v>
      </c>
      <c r="EJ146" s="3">
        <v>1</v>
      </c>
      <c r="EP146" s="3">
        <v>1</v>
      </c>
      <c r="FP146" s="3">
        <v>1</v>
      </c>
      <c r="FQ146" s="3">
        <v>1</v>
      </c>
    </row>
    <row r="147" spans="1:185" ht="16" x14ac:dyDescent="0.2">
      <c r="A147" s="33">
        <v>43533</v>
      </c>
      <c r="B147" s="22" t="s">
        <v>244</v>
      </c>
      <c r="C147" s="3">
        <v>21.310611999999999</v>
      </c>
      <c r="D147" s="3">
        <v>-158.00441000000001</v>
      </c>
      <c r="E147" s="22" t="s">
        <v>418</v>
      </c>
      <c r="F147" s="34">
        <v>0.45277777777777778</v>
      </c>
      <c r="G147" s="34">
        <v>0.48194444444444445</v>
      </c>
      <c r="H147" s="22">
        <v>5</v>
      </c>
      <c r="I147" s="22">
        <v>20</v>
      </c>
      <c r="J147" s="22" t="s">
        <v>217</v>
      </c>
      <c r="K147" s="22">
        <v>5</v>
      </c>
      <c r="L147" s="22">
        <v>24</v>
      </c>
      <c r="M147" s="22" t="s">
        <v>403</v>
      </c>
      <c r="Q147" s="3">
        <v>1</v>
      </c>
      <c r="X147" s="3"/>
      <c r="Y147" s="3"/>
      <c r="Z147" s="3"/>
      <c r="AA147" s="3">
        <v>1</v>
      </c>
      <c r="AD147" s="3">
        <v>1</v>
      </c>
      <c r="AG147" s="3"/>
      <c r="AH147" s="3">
        <v>1</v>
      </c>
      <c r="AI147" s="3"/>
      <c r="AJ147" s="3"/>
      <c r="AK147" s="3"/>
      <c r="AL147" s="3">
        <v>1</v>
      </c>
      <c r="AZ147" s="3"/>
      <c r="BA147" s="3">
        <v>1</v>
      </c>
      <c r="BD147" s="3">
        <v>1</v>
      </c>
      <c r="BL147" s="3">
        <v>1</v>
      </c>
      <c r="BP147" s="3">
        <v>1</v>
      </c>
      <c r="BR147" s="3"/>
      <c r="BS147" s="3"/>
      <c r="BT147" s="3"/>
      <c r="BU147" s="3">
        <v>1</v>
      </c>
      <c r="BX147" s="3"/>
      <c r="BY147" s="3">
        <v>1</v>
      </c>
      <c r="CM147" s="3"/>
      <c r="CN147" s="3">
        <v>1</v>
      </c>
      <c r="DE147" s="3"/>
      <c r="DF147" s="3">
        <v>1</v>
      </c>
      <c r="DN147" s="3">
        <v>1</v>
      </c>
      <c r="DT147" s="3"/>
      <c r="DU147" s="3">
        <v>1</v>
      </c>
      <c r="EA147" s="3"/>
      <c r="EB147" s="3">
        <v>1</v>
      </c>
      <c r="ED147" s="3"/>
      <c r="EE147" s="3"/>
      <c r="EF147" s="3"/>
      <c r="EG147" s="3"/>
      <c r="EH147" s="3"/>
      <c r="EI147" s="3">
        <v>1</v>
      </c>
      <c r="EK147" s="3"/>
      <c r="EL147" s="3"/>
      <c r="EM147" s="3"/>
      <c r="EN147" s="3">
        <v>1</v>
      </c>
      <c r="FL147" s="3">
        <v>1</v>
      </c>
      <c r="FM147" s="3"/>
      <c r="FN147" s="3"/>
      <c r="FO147" s="3">
        <v>1</v>
      </c>
      <c r="FQ147" s="3">
        <v>1</v>
      </c>
    </row>
    <row r="148" spans="1:185" ht="16" x14ac:dyDescent="0.2">
      <c r="A148" s="35">
        <v>43536</v>
      </c>
      <c r="B148" s="22" t="s">
        <v>201</v>
      </c>
      <c r="C148" s="3">
        <v>21.25544</v>
      </c>
      <c r="D148" s="22">
        <v>-157.810303</v>
      </c>
      <c r="E148" s="22" t="s">
        <v>418</v>
      </c>
      <c r="F148" s="34">
        <v>0.5625</v>
      </c>
      <c r="G148" s="36">
        <v>0.66666666666666663</v>
      </c>
      <c r="H148" s="22">
        <v>7</v>
      </c>
      <c r="I148" s="22">
        <v>8</v>
      </c>
      <c r="J148" s="22" t="s">
        <v>198</v>
      </c>
      <c r="K148" s="22">
        <v>25</v>
      </c>
      <c r="L148" s="22">
        <v>35</v>
      </c>
      <c r="M148" s="22"/>
      <c r="N148" s="22"/>
      <c r="Q148" s="3">
        <v>1</v>
      </c>
      <c r="T148" s="3"/>
      <c r="U148" s="3"/>
      <c r="V148" s="3"/>
      <c r="W148" s="3">
        <v>1</v>
      </c>
      <c r="X148" s="3"/>
      <c r="Y148" s="3"/>
      <c r="Z148" s="3"/>
      <c r="AA148" s="3">
        <v>1</v>
      </c>
      <c r="AB148" s="3"/>
      <c r="AC148" s="3">
        <v>1</v>
      </c>
      <c r="AD148" s="3">
        <v>1</v>
      </c>
      <c r="AG148" s="3"/>
      <c r="AH148" s="3">
        <v>1</v>
      </c>
      <c r="AI148" s="3"/>
      <c r="AJ148" s="3"/>
      <c r="AK148" s="3"/>
      <c r="AL148" s="3">
        <v>1</v>
      </c>
      <c r="AM148" s="3">
        <v>1</v>
      </c>
      <c r="AZ148" s="3"/>
      <c r="BA148" s="3">
        <v>1</v>
      </c>
      <c r="BB148" s="3">
        <v>1</v>
      </c>
      <c r="BH148" s="3"/>
      <c r="BI148" s="3"/>
      <c r="BJ148" s="3">
        <v>1</v>
      </c>
      <c r="BL148" s="3">
        <v>1</v>
      </c>
      <c r="BP148" s="3">
        <v>1</v>
      </c>
      <c r="BR148" s="3"/>
      <c r="BS148" s="3"/>
      <c r="BT148" s="3"/>
      <c r="BU148" s="3">
        <v>1</v>
      </c>
      <c r="BV148" s="3">
        <v>1</v>
      </c>
      <c r="BX148" s="3">
        <v>1</v>
      </c>
      <c r="BY148" s="3">
        <v>1</v>
      </c>
      <c r="CF148" s="3"/>
      <c r="CG148" s="3">
        <v>1</v>
      </c>
      <c r="CH148" s="3"/>
      <c r="CI148" s="3"/>
      <c r="CJ148" s="3">
        <v>1</v>
      </c>
      <c r="CM148" s="3"/>
      <c r="CN148" s="3">
        <v>1</v>
      </c>
      <c r="CU148" s="3"/>
      <c r="CV148" s="3"/>
      <c r="CW148" s="3"/>
      <c r="CX148" s="3"/>
      <c r="CY148" s="3"/>
      <c r="CZ148" s="3">
        <v>1</v>
      </c>
      <c r="DE148" s="3"/>
      <c r="DF148" s="3">
        <v>1</v>
      </c>
      <c r="DJ148" s="3"/>
      <c r="DK148" s="3">
        <v>1</v>
      </c>
      <c r="DL148" s="3">
        <v>1</v>
      </c>
      <c r="DM148" s="3">
        <v>1</v>
      </c>
      <c r="DO148" s="3">
        <v>1</v>
      </c>
      <c r="DP148" s="3">
        <v>1</v>
      </c>
      <c r="DQ148" s="3"/>
      <c r="DR148" s="3">
        <v>1</v>
      </c>
      <c r="DT148" s="3"/>
      <c r="DU148" s="3">
        <v>1</v>
      </c>
      <c r="ED148" s="3"/>
      <c r="EE148" s="3"/>
      <c r="EF148" s="3"/>
      <c r="EG148" s="3"/>
      <c r="EH148" s="3"/>
      <c r="EI148" s="3">
        <v>1</v>
      </c>
      <c r="EX148" s="3"/>
      <c r="EY148" s="3">
        <v>1</v>
      </c>
      <c r="EZ148" s="3">
        <v>1</v>
      </c>
      <c r="FA148" s="3">
        <v>1</v>
      </c>
      <c r="FB148" s="3">
        <v>1</v>
      </c>
      <c r="FC148" s="3"/>
      <c r="FD148" s="3">
        <v>1</v>
      </c>
      <c r="FE148" s="3">
        <v>1</v>
      </c>
      <c r="FP148" s="3">
        <v>1</v>
      </c>
      <c r="FQ148" s="3">
        <v>1</v>
      </c>
      <c r="FR148" s="3"/>
      <c r="FS148" s="3">
        <v>1</v>
      </c>
      <c r="FT148" s="3"/>
      <c r="FU148" s="3">
        <v>1</v>
      </c>
    </row>
    <row r="149" spans="1:185" ht="16" x14ac:dyDescent="0.2">
      <c r="A149" s="13">
        <v>43556</v>
      </c>
      <c r="B149" s="22" t="s">
        <v>456</v>
      </c>
      <c r="C149" s="3">
        <v>21.316488</v>
      </c>
      <c r="D149" s="3">
        <v>-157.66426100000001</v>
      </c>
      <c r="E149" s="22" t="s">
        <v>418</v>
      </c>
      <c r="F149" s="36">
        <v>0.36458333333333331</v>
      </c>
      <c r="G149" s="36">
        <v>0.45833333333333331</v>
      </c>
      <c r="H149" s="22">
        <v>7</v>
      </c>
      <c r="I149" s="22">
        <v>15</v>
      </c>
      <c r="J149" s="22" t="s">
        <v>318</v>
      </c>
      <c r="K149" s="22">
        <v>5</v>
      </c>
      <c r="L149" s="22">
        <v>28</v>
      </c>
      <c r="M149" s="22" t="s">
        <v>457</v>
      </c>
      <c r="N149" s="22" t="s">
        <v>458</v>
      </c>
      <c r="X149" s="3"/>
      <c r="Y149" s="3"/>
      <c r="Z149" s="3"/>
      <c r="AA149" s="3">
        <v>1</v>
      </c>
      <c r="AI149" s="3"/>
      <c r="AJ149" s="3"/>
      <c r="AK149" s="3"/>
      <c r="AL149" s="3">
        <v>1</v>
      </c>
      <c r="AM149" s="3">
        <v>1</v>
      </c>
      <c r="AT149" s="3"/>
      <c r="AU149" s="3"/>
      <c r="AV149" s="3"/>
      <c r="AW149" s="3"/>
      <c r="AX149" s="3">
        <v>1</v>
      </c>
      <c r="BE149" s="3">
        <v>1</v>
      </c>
      <c r="BL149" s="3">
        <v>1</v>
      </c>
      <c r="BX149" s="3">
        <v>1</v>
      </c>
      <c r="CB149" s="3">
        <v>1</v>
      </c>
      <c r="CC149" s="3">
        <v>1</v>
      </c>
      <c r="CD149" s="3">
        <v>2</v>
      </c>
      <c r="CE149" s="3">
        <v>1</v>
      </c>
      <c r="CU149" s="3">
        <v>1</v>
      </c>
      <c r="DE149" s="3"/>
      <c r="DF149" s="3">
        <v>1</v>
      </c>
      <c r="DG149" s="3">
        <v>1</v>
      </c>
      <c r="DQ149" s="3"/>
      <c r="DR149" s="3">
        <v>2</v>
      </c>
      <c r="EA149" s="3">
        <v>1</v>
      </c>
      <c r="ED149" s="3"/>
      <c r="EE149" s="3"/>
      <c r="EF149" s="3"/>
      <c r="EG149" s="3"/>
      <c r="EH149" s="3"/>
      <c r="EI149" s="3">
        <v>1</v>
      </c>
      <c r="ER149" s="3"/>
      <c r="ES149" s="3"/>
      <c r="ET149" s="3"/>
      <c r="EU149" s="3">
        <v>1</v>
      </c>
      <c r="FQ149" s="3">
        <v>1</v>
      </c>
    </row>
    <row r="150" spans="1:185" ht="13" x14ac:dyDescent="0.15">
      <c r="A150" s="13">
        <v>43557</v>
      </c>
      <c r="B150" s="3" t="s">
        <v>456</v>
      </c>
      <c r="C150" s="3">
        <v>21.316488</v>
      </c>
      <c r="D150" s="3">
        <v>-157.66426100000001</v>
      </c>
      <c r="E150" s="3" t="s">
        <v>418</v>
      </c>
      <c r="F150" s="14">
        <v>0.36458333333333331</v>
      </c>
      <c r="G150" s="14">
        <v>0.46875</v>
      </c>
      <c r="H150" s="3">
        <v>7</v>
      </c>
      <c r="I150" s="3">
        <v>10</v>
      </c>
      <c r="J150" s="3" t="s">
        <v>318</v>
      </c>
      <c r="K150" s="3">
        <v>5</v>
      </c>
      <c r="L150" s="3">
        <v>31</v>
      </c>
      <c r="M150" s="3" t="s">
        <v>462</v>
      </c>
      <c r="N150" s="3" t="s">
        <v>463</v>
      </c>
      <c r="T150" s="3"/>
      <c r="U150" s="3"/>
      <c r="V150" s="3"/>
      <c r="W150" s="3">
        <v>1</v>
      </c>
      <c r="X150" s="3"/>
      <c r="Y150" s="3"/>
      <c r="Z150" s="3"/>
      <c r="AA150" s="3">
        <v>1</v>
      </c>
      <c r="BE150" s="3">
        <v>1</v>
      </c>
      <c r="BK150" s="3">
        <v>1</v>
      </c>
      <c r="BL150" s="3">
        <v>1</v>
      </c>
      <c r="BP150" s="3">
        <v>1</v>
      </c>
      <c r="BR150" s="3"/>
      <c r="BS150" s="3"/>
      <c r="BT150" s="3">
        <v>1</v>
      </c>
      <c r="BX150" s="3">
        <v>1</v>
      </c>
      <c r="CM150" s="3"/>
      <c r="CN150" s="3">
        <v>1</v>
      </c>
      <c r="DE150" s="3"/>
      <c r="DF150" s="3">
        <v>1</v>
      </c>
      <c r="DH150" s="3"/>
      <c r="DI150" s="3">
        <v>1</v>
      </c>
      <c r="DN150" s="3">
        <v>1</v>
      </c>
      <c r="DQ150" s="3"/>
      <c r="DR150" s="3">
        <v>1</v>
      </c>
      <c r="EA150" s="3">
        <v>1</v>
      </c>
      <c r="ED150" s="3"/>
      <c r="EE150" s="3"/>
      <c r="EF150" s="3"/>
      <c r="EG150" s="3"/>
      <c r="EH150" s="3"/>
      <c r="EI150" s="3">
        <v>1</v>
      </c>
      <c r="EJ150" s="3">
        <v>1</v>
      </c>
      <c r="EZ150" s="3">
        <v>1</v>
      </c>
      <c r="FC150" s="3"/>
      <c r="FE150" s="3">
        <v>1</v>
      </c>
      <c r="FQ150" s="3">
        <v>1</v>
      </c>
      <c r="FZ150" s="3"/>
      <c r="GA150" s="3"/>
      <c r="GB150" s="3">
        <v>1</v>
      </c>
    </row>
    <row r="151" spans="1:185" ht="13" x14ac:dyDescent="0.15">
      <c r="A151" s="13">
        <v>43558</v>
      </c>
      <c r="B151" s="3" t="s">
        <v>456</v>
      </c>
      <c r="C151" s="3">
        <v>21.316488</v>
      </c>
      <c r="D151" s="3">
        <v>-157.66426100000001</v>
      </c>
      <c r="E151" s="3" t="s">
        <v>418</v>
      </c>
      <c r="F151" s="14">
        <v>0.375</v>
      </c>
      <c r="G151" s="14">
        <v>0.45833333333333331</v>
      </c>
      <c r="H151" s="3">
        <v>5</v>
      </c>
      <c r="I151" s="3">
        <v>10</v>
      </c>
      <c r="J151" s="3" t="s">
        <v>318</v>
      </c>
      <c r="K151" s="3">
        <v>5</v>
      </c>
      <c r="L151" s="3">
        <v>22</v>
      </c>
      <c r="M151" s="3" t="s">
        <v>464</v>
      </c>
      <c r="S151" s="3">
        <v>1</v>
      </c>
      <c r="AI151" s="3"/>
      <c r="AJ151" s="3"/>
      <c r="AK151" s="3"/>
      <c r="AL151" s="3">
        <v>1</v>
      </c>
      <c r="AY151" s="3">
        <v>1</v>
      </c>
      <c r="AZ151" s="3"/>
      <c r="BA151" s="3">
        <v>1</v>
      </c>
      <c r="BE151" s="3">
        <v>1</v>
      </c>
      <c r="BL151" s="3">
        <v>1</v>
      </c>
      <c r="CB151" s="3">
        <v>1</v>
      </c>
      <c r="CM151" s="3"/>
      <c r="CN151" s="3">
        <v>1</v>
      </c>
      <c r="CU151" s="3">
        <v>1</v>
      </c>
      <c r="DH151" s="3">
        <v>1</v>
      </c>
      <c r="ED151" s="3"/>
      <c r="EE151" s="3"/>
      <c r="EF151" s="3"/>
      <c r="EG151" s="3"/>
      <c r="EH151" s="3"/>
      <c r="EI151" s="3">
        <v>1</v>
      </c>
      <c r="EJ151" s="3">
        <v>1</v>
      </c>
      <c r="FC151" s="3"/>
      <c r="FE151" s="3">
        <v>1</v>
      </c>
      <c r="FQ151" s="3">
        <v>1</v>
      </c>
      <c r="FW151" s="3">
        <v>1</v>
      </c>
      <c r="GC151" s="3">
        <v>1</v>
      </c>
    </row>
    <row r="152" spans="1:185" ht="13" x14ac:dyDescent="0.15">
      <c r="A152" s="13">
        <v>43559</v>
      </c>
      <c r="B152" s="3" t="s">
        <v>456</v>
      </c>
      <c r="C152" s="3">
        <v>21.316488</v>
      </c>
      <c r="D152" s="3">
        <v>-157.66426100000001</v>
      </c>
      <c r="E152" s="3" t="s">
        <v>418</v>
      </c>
      <c r="F152" s="14">
        <v>0.375</v>
      </c>
      <c r="G152" s="14">
        <v>0.47916666666666669</v>
      </c>
      <c r="H152" s="3">
        <v>5</v>
      </c>
      <c r="I152" s="3">
        <v>10</v>
      </c>
      <c r="J152" s="3" t="s">
        <v>318</v>
      </c>
      <c r="K152" s="3">
        <v>5</v>
      </c>
      <c r="L152" s="3">
        <v>25</v>
      </c>
      <c r="BC152" s="3">
        <v>1</v>
      </c>
      <c r="BH152" s="3"/>
      <c r="BI152" s="3"/>
      <c r="BJ152" s="3">
        <v>1</v>
      </c>
      <c r="BL152" s="3">
        <v>1</v>
      </c>
      <c r="BR152" s="3"/>
      <c r="BS152" s="3">
        <v>1</v>
      </c>
      <c r="BX152" s="3">
        <v>1</v>
      </c>
      <c r="BY152" s="3">
        <v>1</v>
      </c>
      <c r="CB152" s="3">
        <v>1</v>
      </c>
      <c r="CE152" s="3">
        <v>1</v>
      </c>
      <c r="CM152" s="3"/>
      <c r="CN152" s="3">
        <v>1</v>
      </c>
      <c r="DN152" s="3">
        <v>1</v>
      </c>
      <c r="DQ152" s="3"/>
      <c r="DR152" s="3">
        <v>1</v>
      </c>
      <c r="EB152" s="3">
        <v>1</v>
      </c>
      <c r="ED152" s="3"/>
      <c r="EE152" s="3"/>
      <c r="EF152" s="3"/>
      <c r="EG152" s="3"/>
      <c r="EH152" s="3"/>
      <c r="EI152" s="3">
        <v>1</v>
      </c>
      <c r="EJ152" s="3">
        <v>1</v>
      </c>
      <c r="EV152" s="3">
        <v>1</v>
      </c>
      <c r="FF152" s="3"/>
      <c r="FG152" s="3">
        <v>1</v>
      </c>
      <c r="FQ152" s="3">
        <v>1</v>
      </c>
    </row>
    <row r="153" spans="1:185" ht="13" x14ac:dyDescent="0.15">
      <c r="A153" s="13">
        <v>43563</v>
      </c>
      <c r="B153" s="3" t="s">
        <v>400</v>
      </c>
      <c r="C153" s="3">
        <v>21.900562000000001</v>
      </c>
      <c r="D153" s="3">
        <v>-159.60981799999999</v>
      </c>
      <c r="E153" s="3" t="s">
        <v>465</v>
      </c>
      <c r="F153" s="14">
        <v>0.4548611111111111</v>
      </c>
      <c r="G153" s="14">
        <v>0.48958333333333331</v>
      </c>
      <c r="H153" s="3">
        <v>6</v>
      </c>
      <c r="I153" s="3">
        <v>10</v>
      </c>
      <c r="J153" s="3" t="s">
        <v>198</v>
      </c>
      <c r="K153" s="3">
        <v>5</v>
      </c>
      <c r="L153" s="3">
        <v>29</v>
      </c>
      <c r="M153" s="3" t="s">
        <v>466</v>
      </c>
      <c r="Q153" s="3">
        <v>1</v>
      </c>
      <c r="AZ153" s="3"/>
      <c r="BA153" s="3">
        <v>1</v>
      </c>
      <c r="BK153" s="3">
        <v>1</v>
      </c>
      <c r="BV153" s="3">
        <v>1</v>
      </c>
      <c r="CD153" s="3">
        <v>1</v>
      </c>
      <c r="DL153" s="3">
        <v>1</v>
      </c>
      <c r="DQ153" s="3"/>
      <c r="DR153" s="3">
        <v>1</v>
      </c>
      <c r="DT153" s="3"/>
      <c r="DU153" s="3">
        <v>1</v>
      </c>
      <c r="DX153" s="3"/>
      <c r="DY153" s="3">
        <v>1</v>
      </c>
      <c r="EA153" s="3">
        <v>1</v>
      </c>
      <c r="EC153" s="3">
        <v>1</v>
      </c>
      <c r="ED153" s="3"/>
      <c r="EE153" s="3"/>
      <c r="EF153" s="3"/>
      <c r="EG153" s="3"/>
      <c r="EH153" s="3"/>
      <c r="EI153" s="3">
        <v>1</v>
      </c>
      <c r="EK153" s="3"/>
      <c r="EL153" s="3"/>
      <c r="EM153" s="3">
        <v>1</v>
      </c>
      <c r="FA153" s="3">
        <v>1</v>
      </c>
      <c r="FB153" s="3">
        <v>1</v>
      </c>
      <c r="FP153" s="3">
        <v>1</v>
      </c>
      <c r="FQ153" s="3">
        <v>1</v>
      </c>
      <c r="FW153" s="3">
        <v>1</v>
      </c>
      <c r="FX153" s="3"/>
      <c r="FY153" s="3">
        <v>1</v>
      </c>
      <c r="FZ153" s="3">
        <v>1</v>
      </c>
    </row>
    <row r="154" spans="1:185" ht="13" x14ac:dyDescent="0.15">
      <c r="A154" s="13">
        <v>43564</v>
      </c>
      <c r="B154" s="3" t="s">
        <v>456</v>
      </c>
      <c r="C154" s="3">
        <v>21.316488</v>
      </c>
      <c r="D154" s="3">
        <v>-157.66426100000001</v>
      </c>
      <c r="E154" s="3" t="s">
        <v>469</v>
      </c>
      <c r="F154" s="14">
        <v>0.36319444444444443</v>
      </c>
      <c r="G154" s="14">
        <v>0.39583333333333331</v>
      </c>
      <c r="H154" s="3">
        <v>4</v>
      </c>
      <c r="I154" s="3">
        <v>40</v>
      </c>
      <c r="J154" s="3" t="s">
        <v>470</v>
      </c>
      <c r="K154" s="3">
        <v>5</v>
      </c>
      <c r="L154" s="3">
        <v>10</v>
      </c>
      <c r="M154" s="3" t="s">
        <v>471</v>
      </c>
      <c r="CB154" s="3">
        <v>1</v>
      </c>
      <c r="CF154" s="3"/>
      <c r="CG154" s="3">
        <v>1</v>
      </c>
      <c r="DE154" s="3"/>
      <c r="DF154" s="3">
        <v>1</v>
      </c>
      <c r="ED154" s="3"/>
      <c r="EE154" s="3"/>
      <c r="EF154" s="3"/>
      <c r="EG154" s="3"/>
      <c r="EH154" s="3"/>
      <c r="EI154" s="3">
        <v>1</v>
      </c>
      <c r="FQ154" s="3">
        <v>1</v>
      </c>
    </row>
    <row r="155" spans="1:185" ht="13" x14ac:dyDescent="0.15">
      <c r="A155" s="13">
        <v>43564</v>
      </c>
      <c r="B155" s="3" t="s">
        <v>244</v>
      </c>
      <c r="C155" s="3">
        <v>21.310611999999999</v>
      </c>
      <c r="D155" s="3">
        <v>-158.00441000000001</v>
      </c>
      <c r="E155" s="3" t="s">
        <v>326</v>
      </c>
      <c r="F155" s="14">
        <v>0.39583333333333331</v>
      </c>
      <c r="G155" s="14">
        <v>0.4375</v>
      </c>
      <c r="H155" s="3">
        <v>7</v>
      </c>
      <c r="I155" s="3">
        <v>20</v>
      </c>
      <c r="J155" s="3" t="s">
        <v>198</v>
      </c>
      <c r="K155" s="3">
        <v>5</v>
      </c>
      <c r="L155" s="3">
        <v>28</v>
      </c>
      <c r="M155" s="3" t="s">
        <v>472</v>
      </c>
      <c r="Q155" s="3">
        <v>1</v>
      </c>
      <c r="X155" s="3"/>
      <c r="Y155" s="3"/>
      <c r="Z155" s="3"/>
      <c r="AA155" s="3">
        <v>1</v>
      </c>
      <c r="AD155" s="3">
        <v>1</v>
      </c>
      <c r="BB155" s="3">
        <v>1</v>
      </c>
      <c r="BD155" s="3">
        <v>1</v>
      </c>
      <c r="BL155" s="3">
        <v>1</v>
      </c>
      <c r="BR155" s="3">
        <v>1</v>
      </c>
      <c r="BU155" s="3">
        <v>1</v>
      </c>
      <c r="BY155" s="3">
        <v>1</v>
      </c>
      <c r="CM155" s="3">
        <v>1</v>
      </c>
      <c r="DE155" s="3"/>
      <c r="DF155" s="3">
        <v>1</v>
      </c>
      <c r="DM155" s="3">
        <v>1</v>
      </c>
      <c r="DN155" s="3">
        <v>1</v>
      </c>
      <c r="DO155" s="3">
        <v>1</v>
      </c>
      <c r="ED155" s="3"/>
      <c r="EE155" s="3"/>
      <c r="EF155" s="3"/>
      <c r="EG155" s="3"/>
      <c r="EH155" s="3"/>
      <c r="EI155" s="3">
        <v>1</v>
      </c>
      <c r="FA155" s="3">
        <v>1</v>
      </c>
      <c r="FQ155" s="3">
        <v>1</v>
      </c>
    </row>
    <row r="156" spans="1:185" ht="13" x14ac:dyDescent="0.15">
      <c r="A156" s="13">
        <v>43566</v>
      </c>
      <c r="B156" s="3" t="s">
        <v>473</v>
      </c>
      <c r="C156" s="3">
        <v>21.3962</v>
      </c>
      <c r="D156" s="3">
        <v>-157.72030599999999</v>
      </c>
      <c r="E156" s="3" t="s">
        <v>418</v>
      </c>
      <c r="F156" s="14">
        <v>0.41666666666666669</v>
      </c>
      <c r="G156" s="14">
        <v>0.47916666666666669</v>
      </c>
      <c r="H156" s="3">
        <v>6</v>
      </c>
      <c r="I156" s="3">
        <v>11</v>
      </c>
      <c r="J156" s="3" t="s">
        <v>318</v>
      </c>
      <c r="K156" s="3">
        <v>10</v>
      </c>
      <c r="L156" s="3">
        <v>40</v>
      </c>
      <c r="M156" s="3" t="s">
        <v>474</v>
      </c>
      <c r="N156" s="3" t="s">
        <v>475</v>
      </c>
      <c r="O156" s="3"/>
      <c r="P156" s="3">
        <v>29</v>
      </c>
      <c r="AB156" s="3"/>
      <c r="AC156" s="3">
        <v>1</v>
      </c>
      <c r="BL156" s="3">
        <v>1</v>
      </c>
      <c r="BZ156" s="3">
        <v>2</v>
      </c>
      <c r="DG156" s="3">
        <v>1</v>
      </c>
      <c r="DO156" s="3">
        <v>1</v>
      </c>
      <c r="DQ156" s="3"/>
      <c r="DR156" s="3">
        <v>1</v>
      </c>
      <c r="EK156" s="3"/>
      <c r="EL156" s="3"/>
      <c r="EM156" s="3">
        <v>1</v>
      </c>
      <c r="FB156" s="3">
        <v>1</v>
      </c>
      <c r="FQ156" s="3">
        <v>1</v>
      </c>
    </row>
    <row r="157" spans="1:185" ht="13" x14ac:dyDescent="0.15">
      <c r="A157" s="13">
        <v>43571</v>
      </c>
      <c r="B157" s="3" t="s">
        <v>244</v>
      </c>
      <c r="C157" s="3">
        <v>21.310611999999999</v>
      </c>
      <c r="D157" s="3">
        <v>-158.00441000000001</v>
      </c>
      <c r="E157" s="3" t="s">
        <v>326</v>
      </c>
      <c r="F157" s="14">
        <v>0.3888888888888889</v>
      </c>
      <c r="G157" s="14">
        <v>0.41319444444444442</v>
      </c>
      <c r="H157" s="3">
        <v>5</v>
      </c>
      <c r="I157" s="3">
        <v>20</v>
      </c>
      <c r="J157" s="3" t="s">
        <v>198</v>
      </c>
      <c r="K157" s="3">
        <v>5</v>
      </c>
      <c r="L157" s="3">
        <v>20</v>
      </c>
      <c r="M157" s="3" t="s">
        <v>476</v>
      </c>
      <c r="O157" s="3"/>
      <c r="P157" s="3">
        <v>20</v>
      </c>
      <c r="Q157" s="3">
        <v>1</v>
      </c>
      <c r="AD157" s="3">
        <v>1</v>
      </c>
      <c r="AM157" s="3">
        <v>1</v>
      </c>
      <c r="AZ157" s="3"/>
      <c r="BA157" s="3">
        <v>1</v>
      </c>
      <c r="BB157" s="3">
        <v>1</v>
      </c>
      <c r="BD157" s="3">
        <v>1</v>
      </c>
      <c r="BU157" s="3">
        <v>1</v>
      </c>
      <c r="BY157" s="3">
        <v>1</v>
      </c>
      <c r="CH157" s="3"/>
      <c r="CI157" s="3"/>
      <c r="CJ157" s="3">
        <v>1</v>
      </c>
      <c r="CN157" s="3">
        <v>1</v>
      </c>
      <c r="DL157" s="3">
        <v>1</v>
      </c>
      <c r="DN157" s="3">
        <v>1</v>
      </c>
      <c r="DT157" s="3"/>
      <c r="DU157" s="3">
        <v>1</v>
      </c>
      <c r="EB157" s="3">
        <v>1</v>
      </c>
      <c r="ED157" s="3"/>
      <c r="EE157" s="3"/>
      <c r="EF157" s="3"/>
      <c r="EG157" s="3"/>
      <c r="EH157" s="3"/>
      <c r="EI157" s="3">
        <v>1</v>
      </c>
      <c r="EW157" s="3">
        <v>1</v>
      </c>
      <c r="FP157" s="3">
        <v>1</v>
      </c>
      <c r="FQ157" s="3">
        <v>1</v>
      </c>
    </row>
    <row r="158" spans="1:185" ht="13" x14ac:dyDescent="0.15">
      <c r="A158" s="13">
        <v>43571</v>
      </c>
      <c r="B158" s="3" t="s">
        <v>201</v>
      </c>
      <c r="C158" s="3">
        <v>21.25544</v>
      </c>
      <c r="D158" s="3">
        <v>-157.810303</v>
      </c>
      <c r="E158" s="3" t="s">
        <v>477</v>
      </c>
      <c r="F158" s="14">
        <v>0.3576388888888889</v>
      </c>
      <c r="G158" s="14">
        <v>0.41666666666666669</v>
      </c>
      <c r="H158" s="3">
        <v>6</v>
      </c>
      <c r="I158" s="3">
        <v>12.5</v>
      </c>
      <c r="J158" s="3" t="s">
        <v>318</v>
      </c>
      <c r="K158" s="3">
        <v>5</v>
      </c>
      <c r="L158" s="3">
        <v>28</v>
      </c>
      <c r="M158" s="3" t="s">
        <v>478</v>
      </c>
      <c r="O158" s="3"/>
      <c r="P158" s="3">
        <v>28</v>
      </c>
      <c r="AZ158" s="3"/>
      <c r="BA158" s="3">
        <v>1</v>
      </c>
      <c r="BL158" s="3">
        <v>1</v>
      </c>
      <c r="BU158" s="3">
        <v>1</v>
      </c>
      <c r="BV158" s="3">
        <v>1</v>
      </c>
      <c r="BX158" s="3">
        <v>1</v>
      </c>
      <c r="DA158" s="3"/>
      <c r="DB158" s="3">
        <v>1</v>
      </c>
      <c r="DJ158" s="3"/>
      <c r="DK158" s="3">
        <v>1</v>
      </c>
      <c r="DL158" s="3">
        <v>1</v>
      </c>
      <c r="DQ158" s="3"/>
      <c r="DR158" s="3">
        <v>1</v>
      </c>
      <c r="DT158" s="3"/>
      <c r="DU158" s="3">
        <v>1</v>
      </c>
      <c r="ED158" s="3"/>
      <c r="EE158" s="3"/>
      <c r="EF158" s="3"/>
      <c r="EG158" s="3"/>
      <c r="EH158" s="3"/>
      <c r="EI158" s="3">
        <v>1</v>
      </c>
      <c r="EX158" s="3"/>
      <c r="EY158" s="3">
        <v>1</v>
      </c>
      <c r="EZ158" s="3">
        <v>1</v>
      </c>
      <c r="FA158" s="3">
        <v>1</v>
      </c>
      <c r="FP158" s="3">
        <v>1</v>
      </c>
      <c r="FQ158" s="3">
        <v>1</v>
      </c>
    </row>
    <row r="159" spans="1:185" ht="13" x14ac:dyDescent="0.15">
      <c r="A159" s="13">
        <v>43572</v>
      </c>
      <c r="B159" s="3" t="s">
        <v>201</v>
      </c>
      <c r="C159" s="3">
        <v>21.25544</v>
      </c>
      <c r="D159" s="3">
        <v>-157.810303</v>
      </c>
      <c r="E159" s="3" t="s">
        <v>477</v>
      </c>
      <c r="F159" s="14">
        <v>0.3611111111111111</v>
      </c>
      <c r="G159" s="14">
        <v>0.41666666666666669</v>
      </c>
      <c r="H159" s="3">
        <v>5</v>
      </c>
      <c r="I159" s="3">
        <v>11</v>
      </c>
      <c r="J159" s="3" t="s">
        <v>318</v>
      </c>
      <c r="K159" s="3">
        <v>10</v>
      </c>
      <c r="L159" s="3">
        <v>46</v>
      </c>
      <c r="M159" s="3" t="s">
        <v>481</v>
      </c>
      <c r="S159" s="3">
        <v>1</v>
      </c>
      <c r="X159" s="3"/>
      <c r="Y159" s="3"/>
      <c r="Z159" s="3"/>
      <c r="AA159" s="3">
        <v>1</v>
      </c>
      <c r="AP159" s="3"/>
      <c r="AQ159" s="3">
        <v>1</v>
      </c>
      <c r="BB159" s="3">
        <v>1</v>
      </c>
      <c r="BL159" s="3">
        <v>1</v>
      </c>
      <c r="BT159" s="3">
        <v>1</v>
      </c>
      <c r="BU159" s="3">
        <v>1</v>
      </c>
      <c r="BV159" s="3">
        <v>1</v>
      </c>
      <c r="BW159" s="3">
        <v>1</v>
      </c>
      <c r="BY159" s="3">
        <v>1</v>
      </c>
      <c r="DA159" s="3"/>
      <c r="DB159" s="3">
        <v>1</v>
      </c>
      <c r="DC159" s="3"/>
      <c r="DD159" s="3">
        <v>1</v>
      </c>
      <c r="DI159" s="3">
        <v>1</v>
      </c>
      <c r="DJ159" s="3"/>
      <c r="DK159" s="3">
        <v>1</v>
      </c>
      <c r="DQ159" s="3"/>
      <c r="DR159" s="3">
        <v>1</v>
      </c>
      <c r="DT159" s="3"/>
      <c r="DU159" s="3">
        <v>1</v>
      </c>
      <c r="ED159" s="3"/>
      <c r="EE159" s="3"/>
      <c r="EF159" s="3"/>
      <c r="EG159" s="3"/>
      <c r="EH159" s="3"/>
      <c r="EI159" s="3">
        <v>1</v>
      </c>
      <c r="EX159" s="3"/>
      <c r="EY159" s="3">
        <v>1</v>
      </c>
      <c r="EZ159" s="3">
        <v>1</v>
      </c>
      <c r="FA159" s="3">
        <v>1</v>
      </c>
      <c r="FP159" s="3">
        <v>1</v>
      </c>
      <c r="FQ159" s="3">
        <v>1</v>
      </c>
      <c r="FT159" s="3"/>
      <c r="FU159" s="3">
        <v>1</v>
      </c>
    </row>
    <row r="160" spans="1:185" ht="13" x14ac:dyDescent="0.15">
      <c r="A160" s="13">
        <v>43572</v>
      </c>
      <c r="B160" s="3" t="s">
        <v>259</v>
      </c>
      <c r="C160" s="3">
        <v>19.737894000000001</v>
      </c>
      <c r="D160" s="3">
        <v>-155.03405799999999</v>
      </c>
      <c r="E160" s="3" t="s">
        <v>482</v>
      </c>
      <c r="F160" s="14">
        <v>0.36805555555555558</v>
      </c>
      <c r="G160" s="14">
        <v>0.44791666666666669</v>
      </c>
      <c r="H160" s="3">
        <v>7</v>
      </c>
      <c r="I160" s="3">
        <v>20</v>
      </c>
      <c r="J160" s="3" t="s">
        <v>217</v>
      </c>
      <c r="K160" s="3">
        <v>5</v>
      </c>
      <c r="L160" s="3">
        <v>29</v>
      </c>
      <c r="M160" s="3" t="s">
        <v>483</v>
      </c>
      <c r="N160" s="3" t="s">
        <v>484</v>
      </c>
      <c r="AF160" s="3">
        <v>1</v>
      </c>
      <c r="AI160" s="3"/>
      <c r="AJ160" s="3"/>
      <c r="AK160" s="3"/>
      <c r="AL160" s="3">
        <v>1</v>
      </c>
      <c r="AN160" s="3"/>
      <c r="AO160" s="3">
        <v>1</v>
      </c>
      <c r="AZ160" s="3"/>
      <c r="BA160" s="3">
        <v>1</v>
      </c>
      <c r="BH160" s="3"/>
      <c r="BI160" s="3"/>
      <c r="BJ160" s="3">
        <v>1</v>
      </c>
      <c r="BL160" s="3">
        <v>1</v>
      </c>
      <c r="CN160" s="3">
        <v>1</v>
      </c>
      <c r="DG160" s="3">
        <v>1</v>
      </c>
      <c r="FD160" s="3">
        <v>1</v>
      </c>
      <c r="FL160" s="3">
        <v>1</v>
      </c>
      <c r="FQ160" s="3">
        <v>1</v>
      </c>
      <c r="FT160" s="3"/>
      <c r="FU160" s="3">
        <v>1</v>
      </c>
    </row>
    <row r="161" spans="1:200" ht="13" x14ac:dyDescent="0.15">
      <c r="A161" s="13">
        <v>43573</v>
      </c>
      <c r="B161" s="3" t="s">
        <v>340</v>
      </c>
      <c r="C161" s="3">
        <v>19.643276</v>
      </c>
      <c r="D161" s="3">
        <v>-156.01019299999999</v>
      </c>
      <c r="E161" s="3" t="s">
        <v>418</v>
      </c>
      <c r="F161" s="14">
        <v>0.41319444444444442</v>
      </c>
      <c r="G161" s="14">
        <v>0.47916666666666669</v>
      </c>
      <c r="H161" s="3">
        <v>4</v>
      </c>
      <c r="I161" s="3">
        <v>18</v>
      </c>
      <c r="J161" s="3" t="s">
        <v>198</v>
      </c>
      <c r="K161" s="3">
        <v>10</v>
      </c>
      <c r="L161" s="3">
        <v>26</v>
      </c>
      <c r="M161" s="3" t="s">
        <v>486</v>
      </c>
      <c r="S161" s="3">
        <v>1</v>
      </c>
      <c r="AB161" s="3"/>
      <c r="AC161" s="3">
        <v>1</v>
      </c>
      <c r="AG161" s="3">
        <v>1</v>
      </c>
      <c r="AT161" s="3"/>
      <c r="AU161" s="3">
        <v>1</v>
      </c>
      <c r="AZ161" s="3"/>
      <c r="BA161" s="3">
        <v>1</v>
      </c>
      <c r="BF161" s="3">
        <v>1</v>
      </c>
      <c r="BG161" s="3">
        <v>1</v>
      </c>
      <c r="BL161" s="3">
        <v>1</v>
      </c>
      <c r="BX161" s="3">
        <v>1</v>
      </c>
      <c r="CB161" s="3">
        <v>1</v>
      </c>
      <c r="CC161" s="3">
        <v>1</v>
      </c>
      <c r="DL161" s="3">
        <v>1</v>
      </c>
      <c r="DO161" s="3">
        <v>1</v>
      </c>
      <c r="DS161" s="3"/>
      <c r="DV161" s="3">
        <v>1</v>
      </c>
      <c r="ED161" s="3"/>
      <c r="EE161" s="3"/>
      <c r="EF161" s="3"/>
      <c r="EG161" s="3"/>
      <c r="EH161" s="3"/>
      <c r="EI161" s="3">
        <v>1</v>
      </c>
      <c r="FA161" s="3">
        <v>1</v>
      </c>
      <c r="FQ161" s="3">
        <v>1</v>
      </c>
      <c r="FV161" s="3">
        <v>1</v>
      </c>
    </row>
    <row r="162" spans="1:200" ht="13" x14ac:dyDescent="0.15">
      <c r="A162" s="13">
        <v>43573</v>
      </c>
      <c r="B162" s="3" t="s">
        <v>259</v>
      </c>
      <c r="C162" s="3">
        <v>19.737894000000001</v>
      </c>
      <c r="D162" s="3">
        <v>-155.03405799999999</v>
      </c>
      <c r="E162" s="3" t="s">
        <v>482</v>
      </c>
      <c r="F162" s="14">
        <v>0.375</v>
      </c>
      <c r="G162" s="14">
        <v>0.44791666666666669</v>
      </c>
      <c r="H162" s="3">
        <v>7</v>
      </c>
      <c r="I162" s="3">
        <v>20</v>
      </c>
      <c r="J162" s="3" t="s">
        <v>217</v>
      </c>
      <c r="K162" s="3">
        <v>5</v>
      </c>
      <c r="L162" s="3">
        <v>33</v>
      </c>
      <c r="M162" s="3" t="s">
        <v>487</v>
      </c>
      <c r="N162" s="3" t="s">
        <v>488</v>
      </c>
      <c r="AI162" s="3"/>
      <c r="AJ162" s="3"/>
      <c r="AK162" s="3"/>
      <c r="AL162" s="3">
        <v>1</v>
      </c>
      <c r="BH162" s="3"/>
      <c r="BI162" s="3"/>
      <c r="BJ162" s="3">
        <v>1</v>
      </c>
      <c r="BL162" s="3">
        <v>1</v>
      </c>
      <c r="CC162" s="3">
        <v>1</v>
      </c>
      <c r="DG162" s="3">
        <v>1</v>
      </c>
      <c r="FD162" s="3">
        <v>1</v>
      </c>
      <c r="FL162" s="3">
        <v>1</v>
      </c>
      <c r="FM162" s="3"/>
      <c r="FN162" s="3">
        <v>1</v>
      </c>
      <c r="FO162" s="3">
        <v>1</v>
      </c>
      <c r="FQ162" s="3">
        <v>1</v>
      </c>
      <c r="FT162" s="3"/>
      <c r="FU162" s="3">
        <v>1</v>
      </c>
    </row>
    <row r="163" spans="1:200" ht="13" x14ac:dyDescent="0.15">
      <c r="A163" s="19">
        <v>43573</v>
      </c>
      <c r="B163" s="20" t="s">
        <v>489</v>
      </c>
      <c r="C163" s="20">
        <v>19.640812</v>
      </c>
      <c r="D163" s="20">
        <v>-156.00692699999999</v>
      </c>
      <c r="E163" s="20" t="s">
        <v>367</v>
      </c>
      <c r="F163" s="21">
        <v>0.375</v>
      </c>
      <c r="G163" s="21">
        <v>0.47916666666666669</v>
      </c>
      <c r="H163" s="20">
        <v>4</v>
      </c>
      <c r="I163" s="20">
        <v>20</v>
      </c>
      <c r="J163" s="20" t="s">
        <v>198</v>
      </c>
      <c r="K163" s="20">
        <v>10</v>
      </c>
      <c r="L163" s="20">
        <v>26</v>
      </c>
      <c r="M163" s="20" t="s">
        <v>486</v>
      </c>
      <c r="N163" s="20"/>
    </row>
    <row r="164" spans="1:200" ht="13" x14ac:dyDescent="0.15">
      <c r="A164" s="13">
        <v>43573</v>
      </c>
      <c r="B164" s="3" t="s">
        <v>201</v>
      </c>
      <c r="C164" s="3">
        <v>21.25544</v>
      </c>
      <c r="D164" s="3">
        <v>-157.810303</v>
      </c>
      <c r="E164" s="3" t="s">
        <v>477</v>
      </c>
      <c r="F164" s="14">
        <v>0.375</v>
      </c>
      <c r="G164" s="14">
        <v>0.43055555555555558</v>
      </c>
      <c r="H164" s="3">
        <v>5</v>
      </c>
      <c r="I164" s="3">
        <v>10.5</v>
      </c>
      <c r="J164" s="3" t="s">
        <v>318</v>
      </c>
      <c r="K164" s="3">
        <v>10</v>
      </c>
      <c r="L164" s="3">
        <v>46</v>
      </c>
      <c r="M164" s="3" t="s">
        <v>491</v>
      </c>
      <c r="Q164" s="3">
        <v>1</v>
      </c>
      <c r="AI164" s="3"/>
      <c r="AJ164" s="3"/>
      <c r="AK164" s="3"/>
      <c r="AL164" s="3">
        <v>1</v>
      </c>
      <c r="AS164" s="3">
        <v>1</v>
      </c>
      <c r="BL164" s="3">
        <v>1</v>
      </c>
      <c r="BT164" s="3">
        <v>1</v>
      </c>
      <c r="BU164" s="3">
        <v>1</v>
      </c>
      <c r="BV164" s="3">
        <v>1</v>
      </c>
      <c r="DA164" s="3"/>
      <c r="DB164" s="3">
        <v>1</v>
      </c>
      <c r="DE164" s="3"/>
      <c r="DF164" s="3">
        <v>1</v>
      </c>
      <c r="DI164" s="3">
        <v>1</v>
      </c>
      <c r="DJ164" s="3"/>
      <c r="DK164" s="3">
        <v>1</v>
      </c>
      <c r="DL164" s="3">
        <v>1</v>
      </c>
      <c r="DQ164" s="3"/>
      <c r="DR164" s="3">
        <v>1</v>
      </c>
      <c r="DT164" s="3"/>
      <c r="DU164" s="3">
        <v>1</v>
      </c>
      <c r="EB164" s="3">
        <v>1</v>
      </c>
      <c r="ED164" s="3"/>
      <c r="EE164" s="3"/>
      <c r="EF164" s="3"/>
      <c r="EG164" s="3"/>
      <c r="EH164" s="3"/>
      <c r="EI164" s="3">
        <v>1</v>
      </c>
      <c r="EX164" s="3"/>
      <c r="EY164" s="3">
        <v>1</v>
      </c>
      <c r="EZ164" s="3">
        <v>1</v>
      </c>
      <c r="FA164" s="3">
        <v>1</v>
      </c>
      <c r="FH164" s="3">
        <v>1</v>
      </c>
      <c r="FO164" s="3">
        <v>1</v>
      </c>
      <c r="FP164" s="3">
        <v>1</v>
      </c>
      <c r="FQ164" s="3">
        <v>1</v>
      </c>
      <c r="FT164" s="3"/>
      <c r="FU164" s="3">
        <v>1</v>
      </c>
    </row>
    <row r="165" spans="1:200" ht="13" x14ac:dyDescent="0.15">
      <c r="A165" s="13">
        <v>43573</v>
      </c>
      <c r="B165" s="3" t="s">
        <v>492</v>
      </c>
      <c r="C165" s="3">
        <v>21.452874999999999</v>
      </c>
      <c r="D165" s="3">
        <v>-158.19996599999999</v>
      </c>
      <c r="E165" s="3" t="s">
        <v>493</v>
      </c>
      <c r="F165" s="14">
        <v>0.35416666666666669</v>
      </c>
      <c r="G165" s="14">
        <v>0.39930555555555558</v>
      </c>
      <c r="H165" s="3">
        <v>6</v>
      </c>
      <c r="I165" s="3">
        <v>11</v>
      </c>
      <c r="J165" s="3" t="s">
        <v>318</v>
      </c>
      <c r="K165" s="3">
        <v>5</v>
      </c>
      <c r="L165" s="3">
        <v>30</v>
      </c>
      <c r="Q165" s="3">
        <v>1</v>
      </c>
      <c r="BL165" s="3">
        <v>1</v>
      </c>
      <c r="BU165" s="3">
        <v>1</v>
      </c>
      <c r="BY165" s="3">
        <v>1</v>
      </c>
      <c r="CD165" s="3">
        <v>1</v>
      </c>
      <c r="CE165" s="3">
        <v>1</v>
      </c>
      <c r="DL165" s="3">
        <v>1</v>
      </c>
      <c r="ED165" s="3"/>
      <c r="EE165" s="3"/>
      <c r="EF165" s="3"/>
      <c r="EG165" s="3"/>
      <c r="EH165" s="3"/>
      <c r="EI165" s="3">
        <v>1</v>
      </c>
      <c r="EX165" s="3"/>
      <c r="EY165" s="3">
        <v>1</v>
      </c>
      <c r="FA165" s="3">
        <v>1</v>
      </c>
      <c r="FH165" s="3">
        <v>1</v>
      </c>
      <c r="FP165" s="3">
        <v>1</v>
      </c>
      <c r="FQ165" s="3">
        <v>1</v>
      </c>
    </row>
    <row r="166" spans="1:200" ht="13" x14ac:dyDescent="0.15">
      <c r="A166" s="13">
        <v>43577</v>
      </c>
      <c r="B166" s="3" t="s">
        <v>301</v>
      </c>
      <c r="C166" s="3">
        <v>22.065598999999999</v>
      </c>
      <c r="D166" s="3">
        <v>-159.31770299999999</v>
      </c>
      <c r="E166" s="3" t="s">
        <v>347</v>
      </c>
      <c r="F166" s="14">
        <v>0.45833333333333331</v>
      </c>
      <c r="G166" s="14">
        <v>0.5</v>
      </c>
      <c r="H166" s="3">
        <v>5</v>
      </c>
      <c r="I166" s="3">
        <v>7</v>
      </c>
      <c r="J166" s="3" t="s">
        <v>198</v>
      </c>
      <c r="K166" s="3">
        <v>8</v>
      </c>
      <c r="L166" s="3">
        <v>40</v>
      </c>
      <c r="AB166" s="3"/>
      <c r="AC166" s="3">
        <v>1</v>
      </c>
      <c r="BL166" s="3">
        <v>1</v>
      </c>
      <c r="BM166" s="3">
        <v>1</v>
      </c>
      <c r="BU166" s="3">
        <v>1</v>
      </c>
      <c r="BV166" s="3">
        <v>1</v>
      </c>
      <c r="BW166" s="3">
        <v>1</v>
      </c>
      <c r="BY166" s="3">
        <v>1</v>
      </c>
      <c r="CC166" s="3">
        <v>1</v>
      </c>
      <c r="DJ166" s="3"/>
      <c r="DK166" s="3">
        <v>1</v>
      </c>
      <c r="DL166" s="3">
        <v>1</v>
      </c>
      <c r="DQ166" s="3"/>
      <c r="DR166" s="3">
        <v>1</v>
      </c>
      <c r="EA166" s="3">
        <v>1</v>
      </c>
      <c r="ED166" s="3"/>
      <c r="EE166" s="3"/>
      <c r="EF166" s="3"/>
      <c r="EG166" s="3"/>
      <c r="EH166" s="3"/>
      <c r="EI166" s="3">
        <v>1</v>
      </c>
      <c r="FA166" s="3">
        <v>1</v>
      </c>
      <c r="FP166" s="3">
        <v>1</v>
      </c>
      <c r="FQ166" s="3">
        <v>1</v>
      </c>
      <c r="GC166" s="3">
        <v>1</v>
      </c>
    </row>
    <row r="167" spans="1:200" ht="13" x14ac:dyDescent="0.15">
      <c r="A167" s="13">
        <v>43577</v>
      </c>
      <c r="B167" s="3" t="s">
        <v>266</v>
      </c>
      <c r="C167" s="3">
        <v>22.060683999999998</v>
      </c>
      <c r="D167" s="3">
        <v>-159.318512</v>
      </c>
      <c r="E167" s="3" t="s">
        <v>418</v>
      </c>
      <c r="F167" s="14">
        <v>0.46180555555555558</v>
      </c>
      <c r="G167" s="14">
        <v>0.5</v>
      </c>
      <c r="H167" s="3">
        <v>5</v>
      </c>
      <c r="I167" s="3">
        <v>15</v>
      </c>
      <c r="J167" s="3" t="s">
        <v>198</v>
      </c>
      <c r="K167" s="3">
        <v>9</v>
      </c>
      <c r="L167" s="3">
        <v>40</v>
      </c>
      <c r="M167" s="3" t="s">
        <v>494</v>
      </c>
      <c r="N167" s="3" t="s">
        <v>495</v>
      </c>
      <c r="R167" s="3">
        <v>2</v>
      </c>
      <c r="AB167" s="3"/>
      <c r="AC167" s="3">
        <v>2</v>
      </c>
      <c r="AH167" s="3">
        <v>1</v>
      </c>
      <c r="AT167" s="3"/>
      <c r="AU167" s="3">
        <v>1</v>
      </c>
      <c r="AZ167" s="3"/>
      <c r="BA167" s="3">
        <v>1</v>
      </c>
      <c r="BK167" s="3">
        <v>1</v>
      </c>
      <c r="BL167" s="3">
        <v>1</v>
      </c>
      <c r="BM167" s="3">
        <v>1</v>
      </c>
      <c r="BT167" s="3">
        <v>1</v>
      </c>
      <c r="BU167" s="3">
        <v>1</v>
      </c>
      <c r="BY167" s="3">
        <v>1</v>
      </c>
      <c r="CA167" s="3">
        <v>2</v>
      </c>
      <c r="CO167" s="3"/>
      <c r="CP167" s="3"/>
      <c r="CQ167" s="3"/>
      <c r="CR167" s="3">
        <v>1</v>
      </c>
      <c r="CU167" s="3">
        <v>1</v>
      </c>
      <c r="DE167" s="3"/>
      <c r="DF167" s="3">
        <v>2</v>
      </c>
      <c r="DL167" s="3">
        <v>1</v>
      </c>
      <c r="DQ167" s="3"/>
      <c r="DR167" s="3">
        <v>1</v>
      </c>
      <c r="DT167" s="3"/>
      <c r="DU167" s="3">
        <v>1</v>
      </c>
      <c r="ED167" s="3"/>
      <c r="EE167" s="3"/>
      <c r="EF167" s="3"/>
      <c r="EG167" s="3"/>
      <c r="EH167" s="3"/>
      <c r="EI167" s="3">
        <v>1</v>
      </c>
      <c r="FA167" s="3">
        <v>1</v>
      </c>
      <c r="FO167" s="3">
        <v>2</v>
      </c>
      <c r="FP167" s="3">
        <v>1</v>
      </c>
      <c r="FQ167" s="3">
        <v>1</v>
      </c>
      <c r="FT167" s="3"/>
      <c r="FU167" s="3">
        <v>1</v>
      </c>
    </row>
    <row r="168" spans="1:200" ht="13" x14ac:dyDescent="0.15">
      <c r="A168" s="13">
        <v>43577</v>
      </c>
      <c r="B168" s="3" t="s">
        <v>293</v>
      </c>
      <c r="C168" s="3">
        <v>19.738602</v>
      </c>
      <c r="D168" s="3">
        <v>-155.03887900000001</v>
      </c>
      <c r="E168" s="3" t="s">
        <v>496</v>
      </c>
      <c r="F168" s="14">
        <v>0.41736111111111113</v>
      </c>
      <c r="G168" s="14">
        <v>0.45694444444444443</v>
      </c>
      <c r="H168" s="3">
        <v>6</v>
      </c>
      <c r="I168" s="3">
        <v>11</v>
      </c>
      <c r="J168" s="3" t="s">
        <v>318</v>
      </c>
      <c r="K168" s="3">
        <v>5</v>
      </c>
      <c r="L168" s="3">
        <v>27</v>
      </c>
      <c r="M168" s="3" t="s">
        <v>497</v>
      </c>
      <c r="AB168" s="3"/>
      <c r="AC168" s="3">
        <v>1</v>
      </c>
      <c r="BH168" s="3"/>
      <c r="BI168" s="3"/>
      <c r="BJ168" s="3">
        <v>1</v>
      </c>
      <c r="BL168" s="3">
        <v>1</v>
      </c>
      <c r="CD168" s="3">
        <v>1</v>
      </c>
      <c r="DX168" s="3">
        <v>1</v>
      </c>
      <c r="ED168" s="3"/>
      <c r="EE168" s="3"/>
      <c r="EF168" s="3"/>
      <c r="EG168" s="3"/>
      <c r="EH168" s="3"/>
      <c r="EI168" s="3">
        <v>1</v>
      </c>
      <c r="EJ168" s="3">
        <v>1</v>
      </c>
      <c r="EO168" s="3">
        <v>1</v>
      </c>
      <c r="EP168" s="3">
        <v>1</v>
      </c>
      <c r="EQ168" s="3">
        <v>1</v>
      </c>
      <c r="FD168" s="3">
        <v>1</v>
      </c>
      <c r="FL168" s="3">
        <v>1</v>
      </c>
      <c r="FM168" s="3"/>
      <c r="FN168" s="3">
        <v>1</v>
      </c>
      <c r="FQ168" s="3">
        <v>1</v>
      </c>
    </row>
    <row r="169" spans="1:200" ht="13" x14ac:dyDescent="0.15">
      <c r="A169" s="13">
        <v>43578</v>
      </c>
      <c r="B169" s="3" t="s">
        <v>201</v>
      </c>
      <c r="C169" s="23">
        <v>21.25544</v>
      </c>
      <c r="D169" s="23">
        <v>-157.810303</v>
      </c>
      <c r="E169" s="3" t="s">
        <v>418</v>
      </c>
      <c r="F169" s="14">
        <v>0.47916666666666669</v>
      </c>
      <c r="G169" s="14">
        <v>0.51041666666666663</v>
      </c>
      <c r="H169" s="3">
        <v>6</v>
      </c>
      <c r="I169" s="3">
        <v>14</v>
      </c>
      <c r="J169" s="3" t="s">
        <v>198</v>
      </c>
      <c r="K169" s="3">
        <v>5</v>
      </c>
      <c r="L169" s="3">
        <v>18</v>
      </c>
      <c r="M169" s="3" t="s">
        <v>498</v>
      </c>
      <c r="N169" s="3"/>
      <c r="Q169" s="3">
        <v>1</v>
      </c>
      <c r="AC169" s="3">
        <v>1</v>
      </c>
      <c r="AM169" s="3"/>
      <c r="AR169" s="3">
        <v>1</v>
      </c>
      <c r="AT169" s="3"/>
      <c r="BE169" s="3"/>
      <c r="BL169" s="3"/>
      <c r="BV169" s="3"/>
      <c r="BY169" s="3">
        <v>1</v>
      </c>
      <c r="CB169" s="3"/>
      <c r="CC169" s="3"/>
      <c r="CD169" s="3"/>
      <c r="DL169" s="3">
        <v>1</v>
      </c>
      <c r="DN169" s="3">
        <v>1</v>
      </c>
      <c r="DQ169" s="3"/>
      <c r="DR169" s="3">
        <v>1</v>
      </c>
      <c r="EB169" s="3"/>
      <c r="EC169" s="3"/>
      <c r="ED169" s="3"/>
      <c r="EE169" s="3"/>
      <c r="EF169" s="3"/>
      <c r="EG169" s="3"/>
      <c r="EH169" s="3"/>
      <c r="EI169" s="3">
        <v>1</v>
      </c>
      <c r="ER169" s="3"/>
      <c r="ES169" s="3"/>
      <c r="ET169" s="3"/>
      <c r="EU169" s="3"/>
      <c r="EX169" s="3"/>
      <c r="EY169" s="3">
        <v>1</v>
      </c>
      <c r="EZ169" s="3"/>
      <c r="FA169" s="3">
        <v>1</v>
      </c>
      <c r="FC169" s="3"/>
      <c r="FE169" s="3"/>
      <c r="FP169" s="3">
        <v>1</v>
      </c>
      <c r="FQ169" s="3">
        <v>1</v>
      </c>
      <c r="FS169" s="3">
        <v>1</v>
      </c>
      <c r="FW169" s="3"/>
    </row>
    <row r="170" spans="1:200" ht="13" x14ac:dyDescent="0.15">
      <c r="A170" s="13">
        <v>43587</v>
      </c>
      <c r="B170" s="3" t="s">
        <v>499</v>
      </c>
      <c r="C170" s="3">
        <v>20.714272999999999</v>
      </c>
      <c r="D170" s="3">
        <v>-156.44712799999999</v>
      </c>
      <c r="E170" s="3" t="s">
        <v>418</v>
      </c>
      <c r="F170" s="14">
        <v>0.39444444444444443</v>
      </c>
      <c r="G170" s="14">
        <v>0.42708333333333331</v>
      </c>
      <c r="H170" s="3">
        <v>10</v>
      </c>
      <c r="I170" s="3">
        <v>10</v>
      </c>
      <c r="J170" s="3" t="s">
        <v>198</v>
      </c>
      <c r="K170" s="3">
        <v>5</v>
      </c>
      <c r="L170" s="3">
        <v>25</v>
      </c>
      <c r="M170" s="3" t="s">
        <v>500</v>
      </c>
      <c r="N170" s="3" t="s">
        <v>501</v>
      </c>
      <c r="AM170" s="3">
        <v>1</v>
      </c>
      <c r="AT170" s="3">
        <v>1</v>
      </c>
      <c r="BE170" s="3">
        <v>2</v>
      </c>
      <c r="BL170" s="3">
        <v>1</v>
      </c>
      <c r="BV170" s="3">
        <v>1</v>
      </c>
      <c r="CB170" s="3">
        <v>1</v>
      </c>
      <c r="CC170" s="3">
        <v>1</v>
      </c>
      <c r="CD170" s="3">
        <v>1</v>
      </c>
      <c r="EB170" s="3">
        <v>1</v>
      </c>
      <c r="EC170" s="3">
        <v>1</v>
      </c>
      <c r="ED170" s="3"/>
      <c r="EE170" s="3"/>
      <c r="EF170" s="3"/>
      <c r="EG170" s="3"/>
      <c r="EH170" s="3"/>
      <c r="EI170" s="3">
        <v>1</v>
      </c>
      <c r="ER170" s="3"/>
      <c r="ES170" s="3"/>
      <c r="ET170" s="3"/>
      <c r="EU170" s="3">
        <v>1</v>
      </c>
      <c r="EZ170" s="3">
        <v>1</v>
      </c>
      <c r="FC170" s="3"/>
      <c r="FE170" s="3">
        <v>1</v>
      </c>
      <c r="FP170" s="3">
        <v>1</v>
      </c>
      <c r="FQ170" s="3">
        <v>1</v>
      </c>
      <c r="FW170" s="3">
        <v>1</v>
      </c>
    </row>
    <row r="171" spans="1:200" ht="13" x14ac:dyDescent="0.15">
      <c r="A171" s="13">
        <v>43602</v>
      </c>
      <c r="B171" s="3" t="s">
        <v>489</v>
      </c>
      <c r="C171" s="3">
        <v>19.640812</v>
      </c>
      <c r="D171" s="3">
        <v>-156.00692699999999</v>
      </c>
      <c r="E171" s="3" t="s">
        <v>418</v>
      </c>
      <c r="F171" s="14">
        <v>0.36458333333333331</v>
      </c>
      <c r="G171" s="14">
        <v>0.44791666666666669</v>
      </c>
      <c r="H171" s="3">
        <v>5</v>
      </c>
      <c r="I171" s="3">
        <v>22</v>
      </c>
      <c r="J171" s="3" t="s">
        <v>227</v>
      </c>
      <c r="K171" s="3">
        <v>10</v>
      </c>
      <c r="L171" s="3">
        <v>19</v>
      </c>
      <c r="M171" s="3" t="s">
        <v>502</v>
      </c>
      <c r="AB171" s="3"/>
      <c r="AC171" s="3">
        <v>1</v>
      </c>
      <c r="AG171" s="3">
        <v>1</v>
      </c>
      <c r="AZ171" s="3"/>
      <c r="BA171" s="3">
        <v>1</v>
      </c>
      <c r="BF171" s="3">
        <v>1</v>
      </c>
      <c r="BG171" s="3">
        <v>1</v>
      </c>
      <c r="BK171" s="3">
        <v>1</v>
      </c>
      <c r="BL171" s="3">
        <v>1</v>
      </c>
      <c r="CB171" s="3">
        <v>1</v>
      </c>
      <c r="CC171" s="3">
        <v>1</v>
      </c>
      <c r="DL171" s="3">
        <v>1</v>
      </c>
      <c r="ED171" s="3"/>
      <c r="EE171" s="3"/>
      <c r="EF171" s="3"/>
      <c r="EG171" s="3"/>
      <c r="EH171" s="3"/>
      <c r="EI171" s="3">
        <v>1</v>
      </c>
      <c r="EZ171" s="3">
        <v>1</v>
      </c>
      <c r="FA171" s="3">
        <v>1</v>
      </c>
      <c r="FQ171" s="3">
        <v>1</v>
      </c>
      <c r="FT171" s="3"/>
      <c r="FU171" s="3">
        <v>1</v>
      </c>
    </row>
    <row r="172" spans="1:200" ht="13" x14ac:dyDescent="0.15">
      <c r="A172" s="13">
        <v>43602</v>
      </c>
      <c r="B172" s="3" t="s">
        <v>244</v>
      </c>
      <c r="C172" s="3">
        <v>21.310611999999999</v>
      </c>
      <c r="D172" s="3">
        <v>-158.00441000000001</v>
      </c>
      <c r="E172" s="3" t="s">
        <v>503</v>
      </c>
      <c r="F172" s="14">
        <v>0.35416666666666669</v>
      </c>
      <c r="G172" s="14">
        <v>0.4375</v>
      </c>
      <c r="H172" s="3">
        <v>5</v>
      </c>
      <c r="I172" s="3">
        <v>10</v>
      </c>
      <c r="J172" s="3" t="s">
        <v>217</v>
      </c>
      <c r="K172" s="3">
        <v>5</v>
      </c>
      <c r="L172" s="3">
        <v>25</v>
      </c>
      <c r="Q172" s="3">
        <v>1</v>
      </c>
      <c r="AD172" s="3">
        <v>1</v>
      </c>
      <c r="AH172" s="3">
        <v>1</v>
      </c>
      <c r="BB172" s="3">
        <v>1</v>
      </c>
      <c r="BC172" s="3">
        <v>1</v>
      </c>
      <c r="BD172" s="3">
        <v>1</v>
      </c>
      <c r="BL172" s="3">
        <v>1</v>
      </c>
      <c r="BU172" s="3">
        <v>1</v>
      </c>
      <c r="BY172" s="3">
        <v>1</v>
      </c>
      <c r="EB172" s="3">
        <v>1</v>
      </c>
      <c r="ED172" s="3"/>
      <c r="EE172" s="3"/>
      <c r="EF172" s="3"/>
      <c r="EG172" s="3"/>
      <c r="EH172" s="3"/>
      <c r="EI172" s="3">
        <v>1</v>
      </c>
      <c r="EW172" s="3">
        <v>1</v>
      </c>
      <c r="FC172" s="3"/>
      <c r="FE172" s="3">
        <v>1</v>
      </c>
      <c r="FP172" s="3">
        <v>1</v>
      </c>
      <c r="FQ172" s="3">
        <v>1</v>
      </c>
      <c r="FT172" s="3"/>
      <c r="FU172" s="3">
        <v>1</v>
      </c>
    </row>
    <row r="173" spans="1:200" ht="13" x14ac:dyDescent="0.15">
      <c r="A173" s="13">
        <v>43734</v>
      </c>
      <c r="B173" s="3" t="s">
        <v>329</v>
      </c>
      <c r="C173" s="3">
        <v>21.140799999999999</v>
      </c>
      <c r="D173" s="3">
        <v>-157.29011499999999</v>
      </c>
      <c r="E173" s="3" t="s">
        <v>286</v>
      </c>
      <c r="F173" s="14">
        <v>0.375</v>
      </c>
      <c r="G173" s="14">
        <v>0.39166666666666666</v>
      </c>
      <c r="H173" s="3">
        <v>3</v>
      </c>
      <c r="I173" s="3">
        <v>14</v>
      </c>
      <c r="J173" s="3" t="s">
        <v>198</v>
      </c>
      <c r="K173" s="3">
        <v>14</v>
      </c>
      <c r="L173" s="3">
        <v>15</v>
      </c>
      <c r="M173" s="3" t="s">
        <v>504</v>
      </c>
      <c r="N173" s="3" t="s">
        <v>505</v>
      </c>
      <c r="AS173" s="3">
        <v>2</v>
      </c>
      <c r="BW173" s="3">
        <v>1</v>
      </c>
      <c r="ED173" s="3"/>
      <c r="EE173" s="3"/>
      <c r="EF173" s="3"/>
      <c r="EG173" s="3"/>
      <c r="EH173" s="3"/>
      <c r="EI173" s="3">
        <v>1</v>
      </c>
      <c r="FB173" s="3">
        <v>1</v>
      </c>
      <c r="FX173" s="3"/>
      <c r="FY173" s="3">
        <v>1</v>
      </c>
    </row>
    <row r="174" spans="1:200" ht="13" x14ac:dyDescent="0.15">
      <c r="A174" s="13">
        <v>43735</v>
      </c>
      <c r="B174" s="3" t="s">
        <v>329</v>
      </c>
      <c r="C174" s="3">
        <v>21.140799999999999</v>
      </c>
      <c r="D174" s="3">
        <v>-157.29011499999999</v>
      </c>
      <c r="E174" s="3" t="s">
        <v>286</v>
      </c>
      <c r="F174" s="14">
        <v>0.37291666666666667</v>
      </c>
      <c r="G174" s="14">
        <v>0.38958333333333334</v>
      </c>
      <c r="H174" s="3">
        <v>6</v>
      </c>
      <c r="I174" s="3">
        <v>13</v>
      </c>
      <c r="J174" s="3" t="s">
        <v>198</v>
      </c>
      <c r="K174" s="3">
        <v>13</v>
      </c>
      <c r="L174" s="3">
        <v>42</v>
      </c>
      <c r="M174" s="3" t="s">
        <v>506</v>
      </c>
      <c r="N174" s="3" t="s">
        <v>507</v>
      </c>
      <c r="R174" s="3">
        <v>2</v>
      </c>
      <c r="AF174" s="3">
        <v>1</v>
      </c>
      <c r="AR174" s="3">
        <v>1</v>
      </c>
      <c r="BN174" s="3"/>
      <c r="BO174" s="3">
        <v>1</v>
      </c>
      <c r="CA174" s="3">
        <v>1</v>
      </c>
      <c r="CO174" s="3"/>
      <c r="CP174" s="3"/>
      <c r="CQ174" s="3"/>
      <c r="CR174" s="3">
        <v>1</v>
      </c>
      <c r="DE174" s="3"/>
      <c r="DF174" s="3">
        <v>1</v>
      </c>
      <c r="ED174" s="3"/>
      <c r="EE174" s="3"/>
      <c r="EF174" s="3"/>
      <c r="EG174" s="3"/>
      <c r="EH174" s="3"/>
      <c r="EI174" s="3">
        <v>1</v>
      </c>
      <c r="FA174" s="3">
        <v>1</v>
      </c>
      <c r="FQ174" s="3">
        <v>1</v>
      </c>
    </row>
    <row r="175" spans="1:200" ht="16" x14ac:dyDescent="0.2">
      <c r="A175" s="33">
        <v>43839</v>
      </c>
      <c r="B175" s="4" t="s">
        <v>366</v>
      </c>
      <c r="C175" s="4">
        <v>19.715052</v>
      </c>
      <c r="D175" s="4">
        <v>-156.04913300000001</v>
      </c>
      <c r="E175" s="4" t="s">
        <v>508</v>
      </c>
      <c r="F175" s="34">
        <v>0.45138888888888901</v>
      </c>
      <c r="G175" s="34">
        <v>0.48611111111111099</v>
      </c>
      <c r="H175" s="22">
        <v>5</v>
      </c>
      <c r="I175" s="22">
        <v>20</v>
      </c>
      <c r="J175" s="22" t="s">
        <v>198</v>
      </c>
      <c r="K175" s="22">
        <v>5</v>
      </c>
      <c r="L175" s="22">
        <v>20</v>
      </c>
      <c r="M175" s="22" t="s">
        <v>509</v>
      </c>
      <c r="N175" s="22"/>
      <c r="O175" s="22">
        <v>20</v>
      </c>
      <c r="P175" s="22" t="s">
        <v>510</v>
      </c>
      <c r="Q175" s="22"/>
      <c r="R175" s="22"/>
      <c r="S175" s="22">
        <v>1</v>
      </c>
      <c r="T175" s="22"/>
      <c r="U175" s="22"/>
      <c r="V175" s="22"/>
      <c r="W175" s="22"/>
      <c r="X175" s="22"/>
      <c r="Y175" s="22"/>
      <c r="Z175" s="22"/>
      <c r="AA175" s="22"/>
      <c r="AB175" s="22"/>
      <c r="AC175" s="22">
        <v>1</v>
      </c>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v>1</v>
      </c>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c r="CJ175" s="22"/>
      <c r="CK175" s="22"/>
      <c r="CL175" s="22"/>
      <c r="CM175" s="22"/>
      <c r="CN175" s="22"/>
      <c r="CO175" s="22"/>
      <c r="CP175" s="22"/>
      <c r="CQ175" s="22"/>
      <c r="CR175" s="22"/>
      <c r="CS175" s="22"/>
      <c r="CT175" s="22"/>
      <c r="CU175" s="22"/>
      <c r="CV175" s="22"/>
      <c r="CW175" s="22"/>
      <c r="CX175" s="22"/>
      <c r="CY175" s="22"/>
      <c r="CZ175" s="22">
        <v>1</v>
      </c>
      <c r="DA175" s="22"/>
      <c r="DB175" s="22"/>
      <c r="DC175" s="22"/>
      <c r="DD175" s="22"/>
      <c r="DE175" s="22"/>
      <c r="DF175" s="22"/>
      <c r="DG175" s="22"/>
      <c r="DH175" s="22"/>
      <c r="DI175" s="22"/>
      <c r="DJ175" s="22"/>
      <c r="DK175" s="22"/>
      <c r="DL175" s="22"/>
      <c r="DM175" s="22"/>
      <c r="DN175" s="22"/>
      <c r="DO175" s="22">
        <v>1</v>
      </c>
      <c r="DP175" s="22"/>
      <c r="DQ175" s="22"/>
      <c r="DR175" s="22"/>
      <c r="DS175" s="22"/>
      <c r="DT175" s="22"/>
      <c r="DU175" s="22"/>
      <c r="DV175" s="22"/>
      <c r="DW175" s="22"/>
      <c r="DX175" s="22"/>
      <c r="DY175" s="22"/>
      <c r="DZ175" s="22"/>
      <c r="EA175" s="22"/>
      <c r="EB175" s="22"/>
      <c r="EC175" s="22"/>
      <c r="ED175" s="22"/>
      <c r="EE175" s="22"/>
      <c r="EF175" s="22"/>
      <c r="EG175" s="22"/>
      <c r="EH175" s="22"/>
      <c r="EI175" s="22"/>
      <c r="EJ175" s="22"/>
      <c r="EK175" s="22"/>
      <c r="EL175" s="22"/>
      <c r="EM175" s="22"/>
      <c r="EN175" s="22"/>
      <c r="EO175" s="22"/>
      <c r="EP175" s="22"/>
      <c r="EQ175" s="22"/>
      <c r="ER175" s="22"/>
      <c r="ES175" s="22"/>
      <c r="ET175" s="22"/>
      <c r="EU175" s="22"/>
      <c r="EV175" s="22"/>
      <c r="EW175" s="22"/>
      <c r="EX175" s="22"/>
      <c r="EY175" s="22"/>
      <c r="EZ175" s="22"/>
      <c r="FA175" s="22"/>
      <c r="FB175" s="22"/>
      <c r="FC175" s="22"/>
      <c r="FD175" s="22"/>
      <c r="FE175" s="22"/>
      <c r="FF175" s="22"/>
      <c r="FG175" s="22"/>
      <c r="FH175" s="22"/>
      <c r="FI175" s="22"/>
      <c r="FJ175" s="22"/>
      <c r="FK175" s="22"/>
      <c r="FL175" s="22"/>
      <c r="FM175" s="22"/>
      <c r="FN175" s="22"/>
      <c r="FO175" s="22"/>
      <c r="FP175" s="22"/>
      <c r="FQ175" s="22">
        <v>1</v>
      </c>
      <c r="FR175" s="22"/>
      <c r="FS175" s="22"/>
      <c r="FT175" s="22"/>
      <c r="FU175" s="22">
        <v>1</v>
      </c>
      <c r="FW175" s="22"/>
      <c r="FX175" s="22"/>
      <c r="FY175" s="22"/>
      <c r="FZ175" s="22"/>
      <c r="GA175" s="22"/>
      <c r="GB175" s="22"/>
      <c r="GC175" s="22"/>
      <c r="GD175" s="22"/>
      <c r="GL175" s="22"/>
      <c r="GM175" s="22"/>
      <c r="GN175" s="22"/>
      <c r="GO175" s="22"/>
      <c r="GP175" s="22"/>
      <c r="GQ175" s="22"/>
      <c r="GR175" s="22"/>
    </row>
    <row r="176" spans="1:200" ht="16" x14ac:dyDescent="0.2">
      <c r="A176" s="33">
        <v>43840</v>
      </c>
      <c r="B176" s="4" t="s">
        <v>511</v>
      </c>
      <c r="C176" s="4">
        <v>19.5791</v>
      </c>
      <c r="D176" s="22">
        <v>-155.967804</v>
      </c>
      <c r="E176" s="4" t="s">
        <v>508</v>
      </c>
      <c r="F176" s="34">
        <v>0.42499999999999999</v>
      </c>
      <c r="G176" s="34">
        <v>0.46180555555555602</v>
      </c>
      <c r="H176" s="22">
        <v>5</v>
      </c>
      <c r="I176" s="22">
        <v>20</v>
      </c>
      <c r="J176" s="22" t="s">
        <v>198</v>
      </c>
      <c r="K176" s="22">
        <v>5</v>
      </c>
      <c r="L176" s="3">
        <v>24</v>
      </c>
      <c r="M176" s="3" t="s">
        <v>512</v>
      </c>
      <c r="O176" s="3">
        <v>24</v>
      </c>
      <c r="BE176" s="3"/>
      <c r="BF176" s="3"/>
      <c r="BG176" s="3"/>
      <c r="BH176" s="3"/>
      <c r="BI176" s="3"/>
      <c r="BJ176" s="3"/>
      <c r="BK176" s="3"/>
      <c r="BL176" s="3">
        <v>1</v>
      </c>
      <c r="FQ176" s="3">
        <v>1</v>
      </c>
      <c r="GM176" s="22"/>
      <c r="GN176" s="22"/>
      <c r="GO176" s="22"/>
      <c r="GP176" s="22"/>
      <c r="GQ176" s="22"/>
      <c r="GR176" s="22"/>
    </row>
    <row r="177" spans="1:200" ht="16" x14ac:dyDescent="0.2">
      <c r="A177" s="35">
        <v>43868</v>
      </c>
      <c r="B177" s="4" t="s">
        <v>511</v>
      </c>
      <c r="C177" s="4">
        <v>19.5791</v>
      </c>
      <c r="D177" s="4">
        <v>-155.967804</v>
      </c>
      <c r="E177" s="3" t="s">
        <v>508</v>
      </c>
      <c r="F177" s="34">
        <v>0.420833333333333</v>
      </c>
      <c r="G177" s="34">
        <v>0.45138888888888901</v>
      </c>
      <c r="H177" s="3">
        <v>5</v>
      </c>
      <c r="I177" s="3">
        <v>20</v>
      </c>
      <c r="J177" s="3" t="s">
        <v>198</v>
      </c>
      <c r="K177" s="3">
        <v>5</v>
      </c>
      <c r="L177" s="3">
        <v>25</v>
      </c>
      <c r="O177" s="3">
        <v>25</v>
      </c>
      <c r="BE177" s="3"/>
      <c r="BF177" s="3"/>
      <c r="BG177" s="3"/>
      <c r="BH177" s="3"/>
      <c r="BI177" s="3"/>
      <c r="BJ177" s="3"/>
      <c r="BK177" s="3"/>
      <c r="BL177" s="3">
        <v>1</v>
      </c>
      <c r="CH177" s="3"/>
      <c r="CI177" s="3"/>
      <c r="CJ177" s="3"/>
      <c r="CK177" s="3"/>
      <c r="CL177" s="3"/>
      <c r="CM177" s="3"/>
      <c r="CN177" s="3"/>
      <c r="CO177" s="3"/>
      <c r="CP177" s="3"/>
      <c r="CQ177" s="3"/>
      <c r="CR177" s="3"/>
      <c r="CS177" s="3"/>
      <c r="CT177" s="3">
        <v>1</v>
      </c>
      <c r="FQ177" s="3">
        <v>1</v>
      </c>
      <c r="GL177" s="22"/>
      <c r="GM177" s="22"/>
      <c r="GN177" s="22"/>
      <c r="GO177" s="22"/>
      <c r="GP177" s="22"/>
      <c r="GQ177" s="22"/>
      <c r="GR177" s="22"/>
    </row>
    <row r="178" spans="1:200" ht="16" x14ac:dyDescent="0.2">
      <c r="A178" s="13">
        <v>43882</v>
      </c>
      <c r="B178" s="3" t="s">
        <v>340</v>
      </c>
      <c r="C178" s="4">
        <v>19.643276</v>
      </c>
      <c r="D178" s="3">
        <v>-156.01019299999999</v>
      </c>
      <c r="E178" s="4" t="s">
        <v>508</v>
      </c>
      <c r="F178" s="34">
        <v>0.41875000000000001</v>
      </c>
      <c r="G178" s="34">
        <v>0.44444444444444398</v>
      </c>
      <c r="H178" s="3">
        <v>5</v>
      </c>
      <c r="I178" s="3">
        <v>20</v>
      </c>
      <c r="J178" s="3" t="s">
        <v>198</v>
      </c>
      <c r="K178" s="3">
        <v>5</v>
      </c>
      <c r="L178" s="3">
        <v>25</v>
      </c>
      <c r="O178" s="3">
        <v>25</v>
      </c>
      <c r="BE178" s="3"/>
      <c r="BF178" s="3"/>
      <c r="BG178" s="3"/>
      <c r="BH178" s="3"/>
      <c r="BI178" s="3"/>
      <c r="BJ178" s="3"/>
      <c r="BK178" s="3"/>
      <c r="BL178" s="3">
        <v>1</v>
      </c>
      <c r="BW178" s="3"/>
      <c r="BZ178" s="3"/>
      <c r="CA178" s="3"/>
      <c r="CB178" s="3">
        <v>1</v>
      </c>
      <c r="DM178" s="3"/>
      <c r="DN178" s="3"/>
      <c r="DO178" s="3"/>
      <c r="DP178" s="3"/>
      <c r="DQ178" s="3"/>
      <c r="DR178" s="3"/>
      <c r="DS178" s="3"/>
      <c r="DT178" s="3"/>
      <c r="DU178" s="3"/>
      <c r="DV178" s="3"/>
      <c r="DW178" s="3"/>
      <c r="DX178" s="3"/>
      <c r="DY178" s="3"/>
      <c r="DZ178" s="3"/>
      <c r="EA178" s="3"/>
      <c r="EB178" s="3"/>
      <c r="EC178" s="3"/>
      <c r="ED178" s="3"/>
      <c r="EE178" s="3"/>
      <c r="EF178" s="3"/>
      <c r="EG178" s="3"/>
      <c r="EH178" s="3"/>
      <c r="EI178" s="3">
        <v>1</v>
      </c>
      <c r="FF178" s="3"/>
      <c r="FG178" s="3"/>
      <c r="FH178" s="3"/>
      <c r="FI178" s="3"/>
      <c r="FJ178" s="3"/>
      <c r="FK178" s="3"/>
      <c r="FL178" s="3">
        <v>1</v>
      </c>
      <c r="FM178" s="3"/>
      <c r="FN178" s="3"/>
      <c r="FO178" s="3"/>
      <c r="FP178" s="3">
        <v>1</v>
      </c>
      <c r="FQ178" s="3">
        <v>1</v>
      </c>
      <c r="FR178" s="3"/>
      <c r="FS178" s="3"/>
      <c r="FT178" s="3"/>
      <c r="FU178" s="3">
        <v>1</v>
      </c>
      <c r="GL178" s="4"/>
      <c r="GM178" s="4"/>
      <c r="GN178" s="4"/>
      <c r="GO178" s="4"/>
      <c r="GP178" s="4"/>
      <c r="GQ178" s="4"/>
      <c r="GR178" s="4"/>
    </row>
    <row r="179" spans="1:200" ht="16" x14ac:dyDescent="0.2">
      <c r="A179" s="35">
        <v>43885</v>
      </c>
      <c r="B179" s="3" t="s">
        <v>233</v>
      </c>
      <c r="C179" s="4">
        <v>21.066799</v>
      </c>
      <c r="D179" s="3">
        <v>-156.804993</v>
      </c>
      <c r="E179" s="3" t="s">
        <v>286</v>
      </c>
      <c r="F179" s="34">
        <v>0.47569444444444398</v>
      </c>
      <c r="G179" s="34">
        <v>0.51041666666666663</v>
      </c>
      <c r="H179" s="3">
        <v>5</v>
      </c>
      <c r="I179" s="3">
        <v>25</v>
      </c>
      <c r="J179" s="3" t="s">
        <v>198</v>
      </c>
      <c r="K179" s="3">
        <v>7</v>
      </c>
      <c r="L179" s="3">
        <v>28</v>
      </c>
      <c r="M179" s="3" t="s">
        <v>516</v>
      </c>
      <c r="N179" s="3"/>
      <c r="O179" s="3">
        <v>28</v>
      </c>
      <c r="P179" s="3" t="s">
        <v>517</v>
      </c>
      <c r="Q179" s="3">
        <v>1</v>
      </c>
      <c r="AE179" s="3"/>
      <c r="AF179" s="3"/>
      <c r="AG179" s="3"/>
      <c r="AH179" s="3"/>
      <c r="AI179" s="3"/>
      <c r="AJ179" s="3"/>
      <c r="AK179" s="3"/>
      <c r="AL179" s="3"/>
      <c r="AM179" s="3">
        <v>1</v>
      </c>
      <c r="BE179" s="3"/>
      <c r="BF179" s="3"/>
      <c r="BG179" s="3"/>
      <c r="BH179" s="3"/>
      <c r="BI179" s="3"/>
      <c r="BJ179" s="3"/>
      <c r="BK179" s="3"/>
      <c r="BL179" s="3">
        <v>1</v>
      </c>
      <c r="BM179" s="3"/>
      <c r="BN179" s="3"/>
      <c r="BO179" s="3"/>
      <c r="BP179" s="3"/>
      <c r="BQ179" s="3"/>
      <c r="BR179" s="3"/>
      <c r="BS179" s="3"/>
      <c r="BT179" s="3"/>
      <c r="BU179" s="3">
        <v>1</v>
      </c>
      <c r="BV179" s="3"/>
      <c r="BX179" s="3"/>
      <c r="BY179" s="3">
        <v>1</v>
      </c>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v>1</v>
      </c>
      <c r="DG179" s="3"/>
      <c r="DH179" s="3"/>
      <c r="DI179" s="3"/>
      <c r="DJ179" s="3"/>
      <c r="DK179" s="3"/>
      <c r="DL179" s="3">
        <v>1</v>
      </c>
      <c r="DM179" s="3"/>
      <c r="DN179" s="3"/>
      <c r="DO179" s="3"/>
      <c r="DP179" s="3"/>
      <c r="DQ179" s="3"/>
      <c r="DR179" s="3"/>
      <c r="DS179" s="3"/>
      <c r="DT179" s="3"/>
      <c r="DU179" s="3"/>
      <c r="DV179" s="3"/>
      <c r="DW179" s="3"/>
      <c r="DX179" s="3"/>
      <c r="DY179" s="3"/>
      <c r="DZ179" s="3"/>
      <c r="EA179" s="3"/>
      <c r="EB179" s="3"/>
      <c r="EC179" s="3"/>
      <c r="ED179" s="3"/>
      <c r="EE179" s="3"/>
      <c r="EF179" s="3"/>
      <c r="EG179" s="3"/>
      <c r="EH179" s="3"/>
      <c r="EI179" s="3">
        <v>1</v>
      </c>
      <c r="EJ179" s="3"/>
      <c r="EK179" s="3"/>
      <c r="EL179" s="3"/>
      <c r="EM179" s="3"/>
      <c r="EN179" s="3"/>
      <c r="EO179" s="3"/>
      <c r="EP179" s="3"/>
      <c r="EQ179" s="3"/>
      <c r="ER179" s="3"/>
      <c r="ES179" s="3"/>
      <c r="ET179" s="3"/>
      <c r="EU179" s="3"/>
      <c r="EV179" s="3"/>
      <c r="EW179" s="3"/>
      <c r="EX179" s="3"/>
      <c r="EY179" s="3"/>
      <c r="EZ179" s="3"/>
      <c r="FA179" s="3"/>
      <c r="FB179" s="3"/>
      <c r="FC179" s="3"/>
      <c r="FD179" s="3"/>
      <c r="FE179" s="3">
        <v>1</v>
      </c>
      <c r="FF179" s="3"/>
      <c r="FG179" s="3"/>
      <c r="FH179" s="3"/>
      <c r="FI179" s="3"/>
      <c r="FJ179" s="3"/>
      <c r="FK179" s="3"/>
      <c r="FL179" s="3"/>
      <c r="FM179" s="3"/>
      <c r="FN179" s="3"/>
      <c r="FO179" s="3"/>
      <c r="FP179" s="3"/>
      <c r="FQ179" s="3">
        <v>1</v>
      </c>
      <c r="FR179" s="3"/>
      <c r="FS179" s="3"/>
      <c r="FT179" s="3"/>
      <c r="FU179" s="3"/>
      <c r="FW179" s="3"/>
      <c r="FX179" s="3"/>
      <c r="FY179" s="3"/>
      <c r="FZ179" s="3"/>
      <c r="GA179" s="3"/>
      <c r="GB179" s="3"/>
      <c r="GC179" s="3"/>
      <c r="GD179" s="3">
        <v>1</v>
      </c>
      <c r="GN179" s="22"/>
      <c r="GO179" s="30"/>
      <c r="GP179" s="30"/>
      <c r="GQ179" s="30"/>
      <c r="GR179" s="30"/>
    </row>
    <row r="180" spans="1:200" ht="16" x14ac:dyDescent="0.2">
      <c r="A180" s="37">
        <v>43893</v>
      </c>
      <c r="B180" s="4" t="s">
        <v>244</v>
      </c>
      <c r="C180" s="30">
        <v>21.310611999999999</v>
      </c>
      <c r="D180" s="30">
        <v>-158.00441000000001</v>
      </c>
      <c r="E180" s="4" t="s">
        <v>326</v>
      </c>
      <c r="F180" s="38">
        <v>0.39583333333333298</v>
      </c>
      <c r="G180" s="38">
        <v>0.45833333333333298</v>
      </c>
      <c r="H180" s="30">
        <v>5</v>
      </c>
      <c r="I180" s="30">
        <v>8</v>
      </c>
      <c r="J180" s="4" t="s">
        <v>318</v>
      </c>
      <c r="K180" s="30">
        <v>4</v>
      </c>
      <c r="L180" s="3">
        <v>9</v>
      </c>
      <c r="M180" s="3" t="s">
        <v>518</v>
      </c>
      <c r="N180" s="3"/>
      <c r="O180" s="3">
        <v>9</v>
      </c>
      <c r="P180" s="3" t="s">
        <v>519</v>
      </c>
      <c r="Q180" s="3">
        <v>1</v>
      </c>
      <c r="R180" s="3"/>
      <c r="S180" s="3"/>
      <c r="T180" s="3"/>
      <c r="U180" s="3"/>
      <c r="V180" s="3"/>
      <c r="W180" s="3"/>
      <c r="X180" s="3"/>
      <c r="Y180" s="3"/>
      <c r="Z180" s="3"/>
      <c r="AA180" s="3"/>
      <c r="AB180" s="3"/>
      <c r="AC180" s="3"/>
      <c r="AD180" s="3">
        <v>1</v>
      </c>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v>1</v>
      </c>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v>1</v>
      </c>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v>1</v>
      </c>
      <c r="GL180" s="22"/>
      <c r="GM180" s="22"/>
      <c r="GN180" s="22"/>
      <c r="GO180" s="22"/>
      <c r="GP180" s="22"/>
      <c r="GQ180" s="22"/>
      <c r="GR180" s="30"/>
    </row>
    <row r="181" spans="1:200" ht="16" x14ac:dyDescent="0.2">
      <c r="A181" s="37">
        <v>43901</v>
      </c>
      <c r="B181" s="4" t="s">
        <v>456</v>
      </c>
      <c r="C181" s="30">
        <v>21.316488</v>
      </c>
      <c r="D181" s="30">
        <v>-157.66426100000001</v>
      </c>
      <c r="E181" s="4" t="s">
        <v>469</v>
      </c>
      <c r="F181" s="38">
        <v>0.375694444444444</v>
      </c>
      <c r="G181" s="38">
        <v>0.41666666666666702</v>
      </c>
      <c r="H181" s="30">
        <v>5</v>
      </c>
      <c r="I181" s="30">
        <v>40</v>
      </c>
      <c r="J181" s="4" t="s">
        <v>470</v>
      </c>
      <c r="K181" s="30">
        <v>5</v>
      </c>
      <c r="L181" s="3">
        <v>25</v>
      </c>
      <c r="M181" s="3"/>
      <c r="N181" s="3"/>
      <c r="O181" s="3">
        <v>25</v>
      </c>
      <c r="P181" s="3" t="s">
        <v>521</v>
      </c>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v>1</v>
      </c>
      <c r="BM181" s="3"/>
      <c r="BN181" s="3"/>
      <c r="BO181" s="3"/>
      <c r="BP181" s="3"/>
      <c r="BQ181" s="3"/>
      <c r="BR181" s="3"/>
      <c r="BS181" s="3"/>
      <c r="BT181" s="3"/>
      <c r="BU181" s="3"/>
      <c r="BV181" s="3"/>
      <c r="BW181" s="3"/>
      <c r="BX181" s="3"/>
      <c r="BY181" s="3"/>
      <c r="BZ181" s="3"/>
      <c r="CA181" s="3"/>
      <c r="CB181" s="3">
        <v>1</v>
      </c>
      <c r="CC181" s="3"/>
      <c r="CD181" s="3"/>
      <c r="CE181" s="3"/>
      <c r="CF181" s="3"/>
      <c r="CG181" s="3">
        <v>1</v>
      </c>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v>1</v>
      </c>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v>1</v>
      </c>
      <c r="FR181" s="3"/>
      <c r="FS181" s="3"/>
      <c r="FT181" s="3"/>
      <c r="FU181" s="3"/>
      <c r="FW181" s="3"/>
      <c r="FX181" s="3"/>
      <c r="FY181" s="3"/>
      <c r="FZ181" s="3"/>
      <c r="GA181" s="3"/>
      <c r="GB181" s="3"/>
      <c r="GC181" s="3"/>
      <c r="GD181" s="3"/>
      <c r="GL181" s="22"/>
      <c r="GM181" s="22"/>
      <c r="GN181" s="30"/>
      <c r="GO181" s="22"/>
      <c r="GP181" s="30"/>
      <c r="GQ181" s="22"/>
      <c r="GR181" s="22"/>
    </row>
  </sheetData>
  <hyperlinks>
    <hyperlink ref="K1" r:id="rId1" location="gid=0" xr:uid="{00000000-0004-0000-03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87"/>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2.6640625" defaultRowHeight="15.75" customHeight="1" x14ac:dyDescent="0.15"/>
  <cols>
    <col min="5" max="5" width="20.33203125" customWidth="1"/>
    <col min="6" max="6" width="7.1640625" customWidth="1"/>
    <col min="8" max="8" width="8.1640625" customWidth="1"/>
    <col min="9" max="9" width="7.6640625" customWidth="1"/>
  </cols>
  <sheetData>
    <row r="1" spans="1:15" ht="15.75" customHeight="1" x14ac:dyDescent="0.15">
      <c r="A1" s="43" t="s">
        <v>556</v>
      </c>
      <c r="B1" s="43"/>
      <c r="C1" s="44"/>
      <c r="D1" s="44"/>
      <c r="E1" s="43"/>
      <c r="F1" s="43"/>
      <c r="G1" s="43"/>
      <c r="H1" s="43"/>
      <c r="I1" s="43"/>
      <c r="J1" s="45"/>
      <c r="K1" s="45"/>
      <c r="L1" s="46"/>
      <c r="M1" s="45"/>
      <c r="N1" s="45"/>
      <c r="O1" s="7"/>
    </row>
    <row r="2" spans="1:15" ht="15.75" customHeight="1" x14ac:dyDescent="0.15">
      <c r="A2" s="47" t="s">
        <v>6</v>
      </c>
      <c r="B2" s="43" t="s">
        <v>7</v>
      </c>
      <c r="C2" s="44" t="s">
        <v>557</v>
      </c>
      <c r="D2" s="44" t="s">
        <v>558</v>
      </c>
      <c r="E2" s="43" t="s">
        <v>559</v>
      </c>
      <c r="F2" s="43" t="s">
        <v>560</v>
      </c>
      <c r="G2" s="43" t="s">
        <v>561</v>
      </c>
      <c r="H2" s="43" t="s">
        <v>562</v>
      </c>
      <c r="I2" s="43" t="s">
        <v>563</v>
      </c>
      <c r="J2" s="45" t="s">
        <v>564</v>
      </c>
      <c r="K2" s="45" t="s">
        <v>565</v>
      </c>
      <c r="L2" s="46" t="s">
        <v>566</v>
      </c>
      <c r="M2" s="45" t="s">
        <v>567</v>
      </c>
      <c r="N2" s="48" t="s">
        <v>568</v>
      </c>
      <c r="O2" s="49"/>
    </row>
    <row r="3" spans="1:15" ht="15.75" customHeight="1" x14ac:dyDescent="0.15">
      <c r="A3" s="50">
        <v>42420</v>
      </c>
      <c r="B3" s="7" t="s">
        <v>216</v>
      </c>
      <c r="C3" s="51">
        <v>0.36388888888888887</v>
      </c>
      <c r="D3" s="51">
        <v>0.43055555555555558</v>
      </c>
      <c r="E3" s="52" t="s">
        <v>569</v>
      </c>
      <c r="F3" s="23">
        <v>1612340</v>
      </c>
      <c r="G3" s="7"/>
      <c r="H3" s="52" t="s">
        <v>569</v>
      </c>
      <c r="I3" s="23">
        <v>1612340</v>
      </c>
      <c r="J3" s="53">
        <v>0.48775000125169699</v>
      </c>
      <c r="K3" s="53">
        <v>-3.0000000000000001E-3</v>
      </c>
      <c r="L3" s="54">
        <v>0.40486111111111112</v>
      </c>
      <c r="M3" s="53">
        <v>0.48475000000000001</v>
      </c>
      <c r="N3" s="53">
        <v>0.50940980000000002</v>
      </c>
      <c r="O3" s="7"/>
    </row>
    <row r="4" spans="1:15" ht="15.75" customHeight="1" x14ac:dyDescent="0.15">
      <c r="A4" s="50">
        <v>42427</v>
      </c>
      <c r="B4" s="7" t="s">
        <v>266</v>
      </c>
      <c r="C4" s="51">
        <v>0.4826388888888889</v>
      </c>
      <c r="D4" s="51">
        <v>0.54166666666666663</v>
      </c>
      <c r="E4" s="52" t="s">
        <v>570</v>
      </c>
      <c r="F4" s="23">
        <v>1611400</v>
      </c>
      <c r="G4" s="7"/>
      <c r="H4" s="52" t="s">
        <v>571</v>
      </c>
      <c r="I4" s="23">
        <v>1611400</v>
      </c>
      <c r="J4" s="53">
        <v>0.162571429674114</v>
      </c>
      <c r="K4" s="53">
        <v>4.641E-2</v>
      </c>
      <c r="L4" s="54">
        <v>0.51458333333333328</v>
      </c>
      <c r="M4" s="53">
        <v>0.20898142</v>
      </c>
      <c r="N4" s="53">
        <v>0.21941469999999999</v>
      </c>
      <c r="O4" s="7"/>
    </row>
    <row r="5" spans="1:15" ht="15.75" customHeight="1" x14ac:dyDescent="0.15">
      <c r="A5" s="50">
        <v>42428</v>
      </c>
      <c r="B5" s="7" t="s">
        <v>266</v>
      </c>
      <c r="C5" s="51">
        <v>0.48958333333333331</v>
      </c>
      <c r="D5" s="51">
        <v>0.5625</v>
      </c>
      <c r="E5" s="52" t="s">
        <v>570</v>
      </c>
      <c r="F5" s="23">
        <v>1611400</v>
      </c>
      <c r="G5" s="7"/>
      <c r="H5" s="52" t="s">
        <v>571</v>
      </c>
      <c r="I5" s="23">
        <v>1611400</v>
      </c>
      <c r="J5" s="53">
        <v>0.26247058721149602</v>
      </c>
      <c r="K5" s="53">
        <v>7.0069999999999993E-2</v>
      </c>
      <c r="L5" s="54">
        <v>0.53888888888888886</v>
      </c>
      <c r="M5" s="53">
        <v>0.33254056999999998</v>
      </c>
      <c r="N5" s="53">
        <v>0.34953867999999999</v>
      </c>
      <c r="O5" s="7"/>
    </row>
    <row r="6" spans="1:15" ht="15.75" customHeight="1" x14ac:dyDescent="0.15">
      <c r="A6" s="55">
        <v>42437</v>
      </c>
      <c r="B6" s="56" t="s">
        <v>219</v>
      </c>
      <c r="C6" s="57">
        <v>0.4201388888888889</v>
      </c>
      <c r="D6" s="57">
        <v>0.47222222222222221</v>
      </c>
      <c r="E6" s="7" t="s">
        <v>572</v>
      </c>
      <c r="F6" s="7" t="s">
        <v>573</v>
      </c>
      <c r="G6" s="7" t="s">
        <v>574</v>
      </c>
      <c r="H6" s="52" t="s">
        <v>569</v>
      </c>
      <c r="I6" s="23">
        <v>1612340</v>
      </c>
      <c r="J6" s="53">
        <v>0.31876923258487899</v>
      </c>
      <c r="K6" s="53">
        <v>-0.20735999999999999</v>
      </c>
      <c r="L6" s="54">
        <v>0.42916666666666664</v>
      </c>
      <c r="M6" s="53">
        <v>0.11140925</v>
      </c>
      <c r="N6" s="53">
        <v>0.14599872</v>
      </c>
      <c r="O6" s="7"/>
    </row>
    <row r="7" spans="1:15" ht="15.75" customHeight="1" x14ac:dyDescent="0.15">
      <c r="A7" s="50">
        <v>42439</v>
      </c>
      <c r="B7" s="7" t="s">
        <v>216</v>
      </c>
      <c r="C7" s="51">
        <v>0.43194444444444446</v>
      </c>
      <c r="D7" s="51">
        <v>0.47986111111111113</v>
      </c>
      <c r="E7" s="52" t="s">
        <v>569</v>
      </c>
      <c r="F7" s="23">
        <v>1612340</v>
      </c>
      <c r="G7" s="7"/>
      <c r="H7" s="52" t="s">
        <v>569</v>
      </c>
      <c r="I7" s="23">
        <v>1612340</v>
      </c>
      <c r="J7" s="53">
        <v>-0.14958332851529099</v>
      </c>
      <c r="K7" s="53">
        <v>-0.28599999999999998</v>
      </c>
      <c r="L7" s="54">
        <v>0.47152777777777777</v>
      </c>
      <c r="M7" s="53">
        <v>-0.43558334999999998</v>
      </c>
      <c r="N7" s="53">
        <v>-0.40194049999999998</v>
      </c>
      <c r="O7" s="7"/>
    </row>
    <row r="8" spans="1:15" ht="15.75" customHeight="1" x14ac:dyDescent="0.15">
      <c r="A8" s="50">
        <v>42439</v>
      </c>
      <c r="B8" s="7" t="s">
        <v>266</v>
      </c>
      <c r="C8" s="51">
        <v>0.375</v>
      </c>
      <c r="D8" s="51">
        <v>0.54166666666666663</v>
      </c>
      <c r="E8" s="52" t="s">
        <v>570</v>
      </c>
      <c r="F8" s="23">
        <v>1611400</v>
      </c>
      <c r="G8" s="7"/>
      <c r="H8" s="52" t="s">
        <v>571</v>
      </c>
      <c r="I8" s="23">
        <v>1611400</v>
      </c>
      <c r="J8" s="53">
        <v>5.2799999900162202E-2</v>
      </c>
      <c r="K8" s="53">
        <v>-0.16471</v>
      </c>
      <c r="L8" s="54">
        <v>0.45</v>
      </c>
      <c r="M8" s="53">
        <v>-0.11191</v>
      </c>
      <c r="N8" s="53">
        <v>1.3783274999999999E-2</v>
      </c>
      <c r="O8" s="7"/>
    </row>
    <row r="9" spans="1:15" ht="15.75" customHeight="1" x14ac:dyDescent="0.15">
      <c r="A9" s="50">
        <v>42440</v>
      </c>
      <c r="B9" s="7" t="s">
        <v>246</v>
      </c>
      <c r="C9" s="51">
        <v>0.42708333333333331</v>
      </c>
      <c r="D9" s="51">
        <v>0.47916666666666669</v>
      </c>
      <c r="E9" s="52" t="s">
        <v>575</v>
      </c>
      <c r="F9" s="23">
        <v>1612340</v>
      </c>
      <c r="G9" s="7"/>
      <c r="H9" s="52" t="s">
        <v>569</v>
      </c>
      <c r="I9" s="23">
        <v>1612340</v>
      </c>
      <c r="J9" s="53">
        <v>7.4500001346071501E-2</v>
      </c>
      <c r="K9" s="53">
        <v>-0.23400000000000001</v>
      </c>
      <c r="L9" s="54">
        <v>0.47916666666666669</v>
      </c>
      <c r="M9" s="53">
        <v>-0.1595</v>
      </c>
      <c r="N9" s="53">
        <v>-5.0197369999999998E-2</v>
      </c>
      <c r="O9" s="7"/>
    </row>
    <row r="10" spans="1:15" ht="15.75" customHeight="1" x14ac:dyDescent="0.15">
      <c r="A10" s="50">
        <v>42443</v>
      </c>
      <c r="B10" s="7" t="s">
        <v>230</v>
      </c>
      <c r="C10" s="51">
        <v>0.55208333333333337</v>
      </c>
      <c r="D10" s="51">
        <v>0.625</v>
      </c>
      <c r="E10" s="52" t="s">
        <v>576</v>
      </c>
      <c r="F10" s="7" t="s">
        <v>577</v>
      </c>
      <c r="G10" s="7" t="s">
        <v>578</v>
      </c>
      <c r="H10" s="52" t="s">
        <v>579</v>
      </c>
      <c r="I10" s="23">
        <v>1615680</v>
      </c>
      <c r="J10" s="53">
        <v>0.325411766767501</v>
      </c>
      <c r="K10" s="53">
        <v>6.5879999999999994E-2</v>
      </c>
      <c r="L10" s="54">
        <v>0.55208333333333337</v>
      </c>
      <c r="M10" s="53">
        <v>0.39129176999999998</v>
      </c>
      <c r="N10" s="53">
        <v>0.48203212000000001</v>
      </c>
      <c r="O10" s="7"/>
    </row>
    <row r="11" spans="1:15" ht="15.75" customHeight="1" x14ac:dyDescent="0.15">
      <c r="A11" s="50">
        <v>42464</v>
      </c>
      <c r="B11" s="7" t="s">
        <v>244</v>
      </c>
      <c r="C11" s="51">
        <v>0.375</v>
      </c>
      <c r="D11" s="51">
        <v>0.45833333333333331</v>
      </c>
      <c r="E11" s="52" t="s">
        <v>580</v>
      </c>
      <c r="F11" s="23">
        <v>1612366</v>
      </c>
      <c r="G11" s="7"/>
      <c r="H11" s="52" t="s">
        <v>569</v>
      </c>
      <c r="I11" s="23">
        <v>1612340</v>
      </c>
      <c r="J11" s="53">
        <v>0.15009999983012601</v>
      </c>
      <c r="K11" s="53">
        <v>-0.13</v>
      </c>
      <c r="L11" s="54">
        <v>0.375</v>
      </c>
      <c r="M11" s="53">
        <v>2.0099998000000001E-2</v>
      </c>
      <c r="N11" s="53">
        <v>0.22878594999999999</v>
      </c>
      <c r="O11" s="7"/>
    </row>
    <row r="12" spans="1:15" ht="15.75" customHeight="1" x14ac:dyDescent="0.15">
      <c r="A12" s="55">
        <v>42465</v>
      </c>
      <c r="B12" s="56" t="s">
        <v>280</v>
      </c>
      <c r="C12" s="57">
        <v>0.43055555555555558</v>
      </c>
      <c r="D12" s="57">
        <v>0.47916666666666669</v>
      </c>
      <c r="E12" s="52" t="s">
        <v>581</v>
      </c>
      <c r="F12" s="23">
        <v>1617760</v>
      </c>
      <c r="G12" s="7"/>
      <c r="H12" s="52" t="s">
        <v>582</v>
      </c>
      <c r="I12" s="23">
        <v>1617433</v>
      </c>
      <c r="J12" s="53">
        <v>0.38054546171968601</v>
      </c>
      <c r="K12" s="53">
        <v>0.37519999999999998</v>
      </c>
      <c r="L12" s="54">
        <v>0.43055555555555558</v>
      </c>
      <c r="M12" s="53">
        <v>0.75574549999999996</v>
      </c>
      <c r="N12" s="53">
        <v>0.97665672999999997</v>
      </c>
      <c r="O12" s="7"/>
    </row>
    <row r="13" spans="1:15" ht="15.75" customHeight="1" x14ac:dyDescent="0.15">
      <c r="A13" s="50">
        <v>42465</v>
      </c>
      <c r="B13" s="7" t="s">
        <v>244</v>
      </c>
      <c r="C13" s="51">
        <v>0.35416666666666669</v>
      </c>
      <c r="D13" s="51">
        <v>0.41875000000000001</v>
      </c>
      <c r="E13" s="52" t="s">
        <v>580</v>
      </c>
      <c r="F13" s="23">
        <v>1612366</v>
      </c>
      <c r="G13" s="7"/>
      <c r="H13" s="52" t="s">
        <v>569</v>
      </c>
      <c r="I13" s="23">
        <v>1612340</v>
      </c>
      <c r="J13" s="53">
        <v>0.121437502559274</v>
      </c>
      <c r="K13" s="53">
        <v>-0.22700000000000001</v>
      </c>
      <c r="L13" s="54">
        <v>0.37152777777777779</v>
      </c>
      <c r="M13" s="53">
        <v>-0.10556248999999999</v>
      </c>
      <c r="N13" s="53">
        <v>-7.4690155999999994E-2</v>
      </c>
      <c r="O13" s="7"/>
    </row>
    <row r="14" spans="1:15" ht="15.75" customHeight="1" x14ac:dyDescent="0.15">
      <c r="A14" s="50">
        <v>42465</v>
      </c>
      <c r="B14" s="7" t="s">
        <v>244</v>
      </c>
      <c r="C14" s="51">
        <v>0.375</v>
      </c>
      <c r="D14" s="51">
        <v>0.45833333333333331</v>
      </c>
      <c r="E14" s="52" t="s">
        <v>580</v>
      </c>
      <c r="F14" s="23">
        <v>1612366</v>
      </c>
      <c r="G14" s="7"/>
      <c r="H14" s="52" t="s">
        <v>569</v>
      </c>
      <c r="I14" s="23">
        <v>1612340</v>
      </c>
      <c r="J14" s="53">
        <v>0.13679999969899601</v>
      </c>
      <c r="K14" s="53">
        <v>-0.22700000000000001</v>
      </c>
      <c r="L14" s="54">
        <v>0.375</v>
      </c>
      <c r="M14" s="53">
        <v>-9.0199989999999994E-2</v>
      </c>
      <c r="N14" s="53">
        <v>4.9345463999999999E-2</v>
      </c>
      <c r="O14" s="7"/>
    </row>
    <row r="15" spans="1:15" ht="15.75" customHeight="1" x14ac:dyDescent="0.15">
      <c r="A15" s="58">
        <v>42465</v>
      </c>
      <c r="B15" s="59" t="s">
        <v>312</v>
      </c>
      <c r="C15" s="60">
        <v>0.40625</v>
      </c>
      <c r="D15" s="60">
        <v>0.49305555555555558</v>
      </c>
      <c r="E15" s="52" t="s">
        <v>583</v>
      </c>
      <c r="F15" s="7" t="s">
        <v>584</v>
      </c>
      <c r="G15" s="7" t="s">
        <v>585</v>
      </c>
      <c r="H15" s="52" t="s">
        <v>582</v>
      </c>
      <c r="I15" s="23">
        <v>1617433</v>
      </c>
      <c r="J15" s="53">
        <v>0.39171428907485201</v>
      </c>
      <c r="K15" s="53">
        <v>-1.9701995E-2</v>
      </c>
      <c r="L15" s="54">
        <v>0.40625</v>
      </c>
      <c r="M15" s="53">
        <v>0.37201230000000002</v>
      </c>
      <c r="N15" s="53">
        <v>0.73923919999999999</v>
      </c>
      <c r="O15" s="7"/>
    </row>
    <row r="16" spans="1:15" ht="15.75" customHeight="1" x14ac:dyDescent="0.15">
      <c r="A16" s="50">
        <v>42467</v>
      </c>
      <c r="B16" s="7" t="s">
        <v>201</v>
      </c>
      <c r="C16" s="51">
        <v>0.38194444444444442</v>
      </c>
      <c r="D16" s="51">
        <v>0.46875</v>
      </c>
      <c r="E16" s="52" t="s">
        <v>569</v>
      </c>
      <c r="F16" s="23">
        <v>1612340</v>
      </c>
      <c r="G16" s="7"/>
      <c r="H16" s="52" t="s">
        <v>569</v>
      </c>
      <c r="I16" s="23">
        <v>1612340</v>
      </c>
      <c r="J16" s="53">
        <v>3.4952381182284498E-2</v>
      </c>
      <c r="K16" s="53">
        <v>-0.36299999999999999</v>
      </c>
      <c r="L16" s="54">
        <v>0.41666666666666669</v>
      </c>
      <c r="M16" s="53">
        <v>-0.32804762999999998</v>
      </c>
      <c r="N16" s="53">
        <v>-0.27988099999999999</v>
      </c>
      <c r="O16" s="7"/>
    </row>
    <row r="17" spans="1:15" ht="15.75" customHeight="1" x14ac:dyDescent="0.15">
      <c r="A17" s="50">
        <v>42467</v>
      </c>
      <c r="B17" s="7" t="s">
        <v>233</v>
      </c>
      <c r="C17" s="51">
        <v>0.375</v>
      </c>
      <c r="D17" s="51">
        <v>0.43888888888888888</v>
      </c>
      <c r="E17" s="52" t="s">
        <v>586</v>
      </c>
      <c r="F17" s="23">
        <v>1612340</v>
      </c>
      <c r="G17" s="7"/>
      <c r="H17" s="52" t="s">
        <v>579</v>
      </c>
      <c r="I17" s="23">
        <v>1615680</v>
      </c>
      <c r="J17" s="53">
        <v>0.22399999666959</v>
      </c>
      <c r="K17" s="53">
        <v>-0.36299999999999999</v>
      </c>
      <c r="L17" s="54">
        <v>0.41666666666666669</v>
      </c>
      <c r="M17" s="53">
        <v>-0.13900001000000001</v>
      </c>
      <c r="N17" s="53">
        <v>-0.10545163</v>
      </c>
      <c r="O17" s="7"/>
    </row>
    <row r="18" spans="1:15" ht="15.75" customHeight="1" x14ac:dyDescent="0.15">
      <c r="A18" s="50">
        <v>42468</v>
      </c>
      <c r="B18" s="7" t="s">
        <v>247</v>
      </c>
      <c r="C18" s="51">
        <v>0.3972222222222222</v>
      </c>
      <c r="D18" s="51">
        <v>0.44791666666666669</v>
      </c>
      <c r="E18" s="52" t="s">
        <v>587</v>
      </c>
      <c r="F18" s="7" t="s">
        <v>588</v>
      </c>
      <c r="G18" s="7" t="s">
        <v>589</v>
      </c>
      <c r="H18" s="52" t="s">
        <v>590</v>
      </c>
      <c r="I18" s="23">
        <v>1617760</v>
      </c>
      <c r="J18" s="53">
        <v>0.48274999360243398</v>
      </c>
      <c r="K18" s="53">
        <v>-0.50099990000000005</v>
      </c>
      <c r="L18" s="54">
        <v>0.40555555555555556</v>
      </c>
      <c r="M18" s="53">
        <v>-1.8249929000000002E-2</v>
      </c>
      <c r="N18" s="53">
        <v>2.7141906E-2</v>
      </c>
      <c r="O18" s="7"/>
    </row>
    <row r="19" spans="1:15" ht="15.75" customHeight="1" x14ac:dyDescent="0.15">
      <c r="A19" s="50">
        <v>42468</v>
      </c>
      <c r="B19" s="7" t="s">
        <v>291</v>
      </c>
      <c r="C19" s="51">
        <v>0.38194444444444442</v>
      </c>
      <c r="D19" s="51">
        <v>0.45833333333333331</v>
      </c>
      <c r="E19" s="52" t="s">
        <v>590</v>
      </c>
      <c r="F19" s="23">
        <v>1617760</v>
      </c>
      <c r="G19" s="7"/>
      <c r="H19" s="52" t="s">
        <v>590</v>
      </c>
      <c r="I19" s="23">
        <v>1617760</v>
      </c>
      <c r="J19" s="53">
        <v>0.47255555291970502</v>
      </c>
      <c r="K19" s="53">
        <v>-0.501</v>
      </c>
      <c r="L19" s="54">
        <v>0.40555555555555556</v>
      </c>
      <c r="M19" s="53">
        <v>-2.8444440000000001E-2</v>
      </c>
      <c r="N19" s="53">
        <v>3.6915910000000003E-2</v>
      </c>
      <c r="O19" s="7"/>
    </row>
    <row r="20" spans="1:15" ht="15.75" customHeight="1" x14ac:dyDescent="0.15">
      <c r="A20" s="61">
        <v>42468</v>
      </c>
      <c r="B20" s="62" t="s">
        <v>196</v>
      </c>
      <c r="C20" s="63">
        <v>0.36458333333333331</v>
      </c>
      <c r="D20" s="63">
        <v>0.40625</v>
      </c>
      <c r="E20" s="52" t="s">
        <v>591</v>
      </c>
      <c r="F20" s="7" t="s">
        <v>592</v>
      </c>
      <c r="G20" s="7" t="s">
        <v>593</v>
      </c>
      <c r="H20" s="52" t="s">
        <v>594</v>
      </c>
      <c r="I20" s="23">
        <v>1612480</v>
      </c>
      <c r="J20" s="53">
        <v>0.207700000703334</v>
      </c>
      <c r="K20" s="53">
        <v>-0.38568750000000002</v>
      </c>
      <c r="L20" s="54">
        <v>0.37916666666666665</v>
      </c>
      <c r="M20" s="53">
        <v>-0.17798749999999999</v>
      </c>
      <c r="N20" s="53">
        <v>-0.16647265999999999</v>
      </c>
      <c r="O20" s="7"/>
    </row>
    <row r="21" spans="1:15" ht="15.75" customHeight="1" x14ac:dyDescent="0.15">
      <c r="A21" s="50">
        <v>42469</v>
      </c>
      <c r="B21" s="7" t="s">
        <v>293</v>
      </c>
      <c r="C21" s="51">
        <v>0.40763888888888888</v>
      </c>
      <c r="D21" s="51">
        <v>0.46527777777777779</v>
      </c>
      <c r="E21" s="52" t="s">
        <v>590</v>
      </c>
      <c r="F21" s="23">
        <v>1617760</v>
      </c>
      <c r="G21" s="7"/>
      <c r="H21" s="52" t="s">
        <v>590</v>
      </c>
      <c r="I21" s="23">
        <v>1617760</v>
      </c>
      <c r="J21" s="53">
        <v>0.40757142858845802</v>
      </c>
      <c r="K21" s="53">
        <v>-0.45700000000000002</v>
      </c>
      <c r="L21" s="54">
        <v>0.43125000000000002</v>
      </c>
      <c r="M21" s="53">
        <v>-4.9428552000000001E-2</v>
      </c>
      <c r="N21" s="53">
        <v>-2.4130946E-2</v>
      </c>
      <c r="O21" s="7"/>
    </row>
    <row r="22" spans="1:15" ht="15.75" customHeight="1" x14ac:dyDescent="0.15">
      <c r="A22" s="50">
        <v>42470</v>
      </c>
      <c r="B22" s="7" t="s">
        <v>293</v>
      </c>
      <c r="C22" s="51">
        <v>0.43402777777777779</v>
      </c>
      <c r="D22" s="51">
        <v>0.52777777777777779</v>
      </c>
      <c r="E22" s="52" t="s">
        <v>590</v>
      </c>
      <c r="F22" s="23">
        <v>1617760</v>
      </c>
      <c r="G22" s="7"/>
      <c r="H22" s="52" t="s">
        <v>590</v>
      </c>
      <c r="I22" s="23">
        <v>1617760</v>
      </c>
      <c r="J22" s="53">
        <v>0.44604545154354702</v>
      </c>
      <c r="K22" s="53">
        <v>-0.34</v>
      </c>
      <c r="L22" s="54">
        <v>0.46111111111111114</v>
      </c>
      <c r="M22" s="53">
        <v>0.106045455</v>
      </c>
      <c r="N22" s="53">
        <v>0.18991311999999999</v>
      </c>
      <c r="O22" s="7"/>
    </row>
    <row r="23" spans="1:15" ht="15.75" customHeight="1" x14ac:dyDescent="0.15">
      <c r="A23" s="50">
        <v>42471</v>
      </c>
      <c r="B23" s="7" t="s">
        <v>266</v>
      </c>
      <c r="C23" s="51">
        <v>0.48958333333333331</v>
      </c>
      <c r="D23" s="51">
        <v>0.54166666666666663</v>
      </c>
      <c r="E23" s="52" t="s">
        <v>570</v>
      </c>
      <c r="F23" s="23">
        <v>1611400</v>
      </c>
      <c r="G23" s="7"/>
      <c r="H23" s="52" t="s">
        <v>571</v>
      </c>
      <c r="I23" s="23">
        <v>1611400</v>
      </c>
      <c r="J23" s="53">
        <v>0.24191667015353799</v>
      </c>
      <c r="K23" s="53">
        <v>-0.10374000999999999</v>
      </c>
      <c r="L23" s="54">
        <v>0.50416666666666665</v>
      </c>
      <c r="M23" s="53">
        <v>0.13817666000000001</v>
      </c>
      <c r="N23" s="53">
        <v>0.1514914</v>
      </c>
      <c r="O23" s="7"/>
    </row>
    <row r="24" spans="1:15" ht="15.75" customHeight="1" x14ac:dyDescent="0.15">
      <c r="A24" s="50">
        <v>42471</v>
      </c>
      <c r="B24" s="7" t="s">
        <v>216</v>
      </c>
      <c r="C24" s="51">
        <v>0.52777777777777779</v>
      </c>
      <c r="D24" s="51">
        <v>0.57291666666666663</v>
      </c>
      <c r="E24" s="52" t="s">
        <v>569</v>
      </c>
      <c r="F24" s="23">
        <v>1612340</v>
      </c>
      <c r="G24" s="7"/>
      <c r="H24" s="52" t="s">
        <v>569</v>
      </c>
      <c r="I24" s="23">
        <v>1612340</v>
      </c>
      <c r="J24" s="53">
        <v>0.29454545270312898</v>
      </c>
      <c r="K24" s="53">
        <v>-5.0999999999999997E-2</v>
      </c>
      <c r="L24" s="54">
        <v>0.52777777777777779</v>
      </c>
      <c r="M24" s="53">
        <v>0.24354544</v>
      </c>
      <c r="N24" s="53">
        <v>0.27415149999999999</v>
      </c>
      <c r="O24" s="7"/>
    </row>
    <row r="25" spans="1:15" ht="15.75" customHeight="1" x14ac:dyDescent="0.15">
      <c r="A25" s="50">
        <v>42471</v>
      </c>
      <c r="B25" s="7" t="s">
        <v>301</v>
      </c>
      <c r="C25" s="51">
        <v>0.48958333333333331</v>
      </c>
      <c r="D25" s="51">
        <v>0.54166666666666663</v>
      </c>
      <c r="E25" s="52" t="s">
        <v>570</v>
      </c>
      <c r="F25" s="23">
        <v>1611400</v>
      </c>
      <c r="G25" s="7"/>
      <c r="H25" s="52" t="s">
        <v>571</v>
      </c>
      <c r="I25" s="23">
        <v>1611400</v>
      </c>
      <c r="J25" s="53">
        <v>0.24191667015353799</v>
      </c>
      <c r="K25" s="53">
        <v>-0.10374000999999999</v>
      </c>
      <c r="L25" s="54">
        <v>0.50416666666666665</v>
      </c>
      <c r="M25" s="53">
        <v>0.13817666000000001</v>
      </c>
      <c r="N25" s="53">
        <v>0.1514914</v>
      </c>
      <c r="O25" s="7"/>
    </row>
    <row r="26" spans="1:15" ht="15.75" customHeight="1" x14ac:dyDescent="0.15">
      <c r="A26" s="50">
        <v>42475</v>
      </c>
      <c r="B26" s="7" t="s">
        <v>303</v>
      </c>
      <c r="C26" s="51">
        <v>0.33333333333333331</v>
      </c>
      <c r="D26" s="51">
        <v>0.41666666666666669</v>
      </c>
      <c r="E26" s="52" t="s">
        <v>595</v>
      </c>
      <c r="F26" s="7" t="s">
        <v>596</v>
      </c>
      <c r="G26" s="7" t="s">
        <v>597</v>
      </c>
      <c r="H26" s="52" t="s">
        <v>579</v>
      </c>
      <c r="I26" s="23">
        <v>1615680</v>
      </c>
      <c r="J26" s="53">
        <v>0.45794999599456698</v>
      </c>
      <c r="K26" s="53">
        <v>0.41775289999999998</v>
      </c>
      <c r="L26" s="54">
        <v>0.33333333333333331</v>
      </c>
      <c r="M26" s="53">
        <v>0.87570285999999997</v>
      </c>
      <c r="N26" s="53">
        <v>1.0019482</v>
      </c>
      <c r="O26" s="7"/>
    </row>
    <row r="27" spans="1:15" ht="15.75" customHeight="1" x14ac:dyDescent="0.15">
      <c r="A27" s="50">
        <v>42479</v>
      </c>
      <c r="B27" s="7" t="s">
        <v>201</v>
      </c>
      <c r="C27" s="51">
        <v>0.3611111111111111</v>
      </c>
      <c r="D27" s="51">
        <v>0.41666666666666669</v>
      </c>
      <c r="E27" s="52" t="s">
        <v>569</v>
      </c>
      <c r="F27" s="23">
        <v>1612340</v>
      </c>
      <c r="G27" s="7"/>
      <c r="H27" s="52" t="s">
        <v>569</v>
      </c>
      <c r="I27" s="23">
        <v>1612340</v>
      </c>
      <c r="J27" s="53">
        <v>0.46961539066754798</v>
      </c>
      <c r="K27" s="53">
        <v>-0.11</v>
      </c>
      <c r="L27" s="54">
        <v>0.3611111111111111</v>
      </c>
      <c r="M27" s="53">
        <v>0.35961539999999997</v>
      </c>
      <c r="N27" s="53">
        <v>0.41797339999999999</v>
      </c>
      <c r="O27" s="7"/>
    </row>
    <row r="28" spans="1:15" ht="15.75" customHeight="1" x14ac:dyDescent="0.15">
      <c r="A28" s="58">
        <v>42479</v>
      </c>
      <c r="B28" s="59" t="s">
        <v>293</v>
      </c>
      <c r="C28" s="60">
        <v>0.43055555555555558</v>
      </c>
      <c r="D28" s="60">
        <v>0.46180555555555558</v>
      </c>
      <c r="E28" s="52" t="s">
        <v>590</v>
      </c>
      <c r="F28" s="23">
        <v>1617760</v>
      </c>
      <c r="G28" s="7"/>
      <c r="H28" s="52" t="s">
        <v>590</v>
      </c>
      <c r="I28" s="23">
        <v>1617760</v>
      </c>
      <c r="J28" s="53">
        <v>0.32671428578240502</v>
      </c>
      <c r="K28" s="53">
        <v>0.61599999999999999</v>
      </c>
      <c r="L28" s="54">
        <v>0.43055555555555558</v>
      </c>
      <c r="M28" s="53">
        <v>0.94271430000000001</v>
      </c>
      <c r="N28" s="53">
        <v>1.1222361000000001</v>
      </c>
      <c r="O28" s="7"/>
    </row>
    <row r="29" spans="1:15" ht="15.75" customHeight="1" x14ac:dyDescent="0.15">
      <c r="A29" s="55">
        <v>42481</v>
      </c>
      <c r="B29" s="56" t="s">
        <v>240</v>
      </c>
      <c r="C29" s="57">
        <v>0.37361111111111112</v>
      </c>
      <c r="D29" s="57">
        <v>0.40763888888888888</v>
      </c>
      <c r="E29" s="52" t="s">
        <v>586</v>
      </c>
      <c r="F29" s="23">
        <v>1612340</v>
      </c>
      <c r="G29" s="7"/>
      <c r="H29" s="52" t="s">
        <v>579</v>
      </c>
      <c r="I29" s="23">
        <v>1615680</v>
      </c>
      <c r="J29" s="53">
        <v>0.42737499251961703</v>
      </c>
      <c r="K29" s="53">
        <v>-0.14299999999999999</v>
      </c>
      <c r="L29" s="54">
        <v>0.39097222222222222</v>
      </c>
      <c r="M29" s="53">
        <v>0.28437498</v>
      </c>
      <c r="N29" s="53">
        <v>0.29019496</v>
      </c>
      <c r="O29" s="7"/>
    </row>
    <row r="30" spans="1:15" ht="15.75" customHeight="1" x14ac:dyDescent="0.15">
      <c r="A30" s="58">
        <v>42482</v>
      </c>
      <c r="B30" s="59" t="s">
        <v>352</v>
      </c>
      <c r="C30" s="60">
        <v>0.42708333333333331</v>
      </c>
      <c r="D30" s="60">
        <v>0.47916666666666669</v>
      </c>
      <c r="E30" s="7" t="s">
        <v>598</v>
      </c>
      <c r="F30" s="7" t="s">
        <v>599</v>
      </c>
      <c r="G30" s="7" t="s">
        <v>600</v>
      </c>
      <c r="H30" s="7" t="s">
        <v>594</v>
      </c>
      <c r="I30" s="23">
        <v>1612480</v>
      </c>
      <c r="J30" s="53">
        <v>0.55400000512599901</v>
      </c>
      <c r="K30" s="53">
        <v>3.4017499999999999E-2</v>
      </c>
      <c r="L30" s="54">
        <v>0.42708333333333331</v>
      </c>
      <c r="M30" s="53">
        <v>0.58801749999999997</v>
      </c>
      <c r="N30" s="53">
        <v>0.74456069999999996</v>
      </c>
      <c r="O30" s="7"/>
    </row>
    <row r="31" spans="1:15" ht="15.75" customHeight="1" x14ac:dyDescent="0.15">
      <c r="A31" s="58">
        <v>42482</v>
      </c>
      <c r="B31" s="59" t="s">
        <v>359</v>
      </c>
      <c r="C31" s="60">
        <v>0.35972222222222222</v>
      </c>
      <c r="D31" s="60">
        <v>0.39583333333333331</v>
      </c>
      <c r="E31" s="52" t="s">
        <v>601</v>
      </c>
      <c r="F31" s="7" t="s">
        <v>602</v>
      </c>
      <c r="G31" s="7" t="s">
        <v>603</v>
      </c>
      <c r="H31" s="52" t="s">
        <v>579</v>
      </c>
      <c r="I31" s="23">
        <v>1615680</v>
      </c>
      <c r="J31" s="53">
        <v>0.44974999874830202</v>
      </c>
      <c r="K31" s="53">
        <v>-0.12024499499999999</v>
      </c>
      <c r="L31" s="54">
        <v>0.39583333333333331</v>
      </c>
      <c r="M31" s="53">
        <v>0.32950502999999998</v>
      </c>
      <c r="N31" s="53">
        <v>0.35548039999999997</v>
      </c>
      <c r="O31" s="7"/>
    </row>
    <row r="32" spans="1:15" ht="15.75" customHeight="1" x14ac:dyDescent="0.15">
      <c r="A32" s="58">
        <v>42487</v>
      </c>
      <c r="B32" s="59" t="s">
        <v>366</v>
      </c>
      <c r="C32" s="60">
        <v>0.44444444444444442</v>
      </c>
      <c r="D32" s="60">
        <v>0.46805555555555556</v>
      </c>
      <c r="E32" s="52" t="s">
        <v>581</v>
      </c>
      <c r="F32" s="23">
        <v>1617760</v>
      </c>
      <c r="G32" s="7"/>
      <c r="H32" s="52" t="s">
        <v>582</v>
      </c>
      <c r="I32" s="23">
        <v>1617433</v>
      </c>
      <c r="J32" s="53">
        <v>0.29900000989437098</v>
      </c>
      <c r="K32" s="53">
        <v>6.7669999999999994E-2</v>
      </c>
      <c r="L32" s="54">
        <v>0.46805555555555556</v>
      </c>
      <c r="M32" s="53">
        <v>0.36667</v>
      </c>
      <c r="N32" s="53">
        <v>0.37913203000000001</v>
      </c>
      <c r="O32" s="7"/>
    </row>
    <row r="33" spans="1:15" ht="15.75" customHeight="1" x14ac:dyDescent="0.15">
      <c r="A33" s="50">
        <v>42488</v>
      </c>
      <c r="B33" s="7" t="s">
        <v>230</v>
      </c>
      <c r="C33" s="51">
        <v>0.41111111111111109</v>
      </c>
      <c r="D33" s="51">
        <v>0.51527777777777772</v>
      </c>
      <c r="E33" s="52" t="s">
        <v>576</v>
      </c>
      <c r="F33" s="7" t="s">
        <v>577</v>
      </c>
      <c r="G33" s="7" t="s">
        <v>604</v>
      </c>
      <c r="H33" s="52" t="s">
        <v>579</v>
      </c>
      <c r="I33" s="23">
        <v>1615680</v>
      </c>
      <c r="J33" s="53">
        <v>0.31856000185012801</v>
      </c>
      <c r="K33" s="53">
        <v>9.5580010000000007E-2</v>
      </c>
      <c r="L33" s="54">
        <v>0.46666666666666667</v>
      </c>
      <c r="M33" s="53">
        <v>0.41414002</v>
      </c>
      <c r="N33" s="53">
        <v>0.4289095</v>
      </c>
      <c r="O33" s="7"/>
    </row>
    <row r="34" spans="1:15" ht="15.75" customHeight="1" x14ac:dyDescent="0.15">
      <c r="A34" s="50">
        <v>42495</v>
      </c>
      <c r="B34" s="7" t="s">
        <v>307</v>
      </c>
      <c r="C34" s="51">
        <v>0.36180555555555555</v>
      </c>
      <c r="D34" s="51">
        <v>0.41666666666666669</v>
      </c>
      <c r="E34" s="52" t="s">
        <v>590</v>
      </c>
      <c r="F34" s="23">
        <v>1617760</v>
      </c>
      <c r="G34" s="7"/>
      <c r="H34" s="52" t="s">
        <v>590</v>
      </c>
      <c r="I34" s="23">
        <v>1617760</v>
      </c>
      <c r="J34" s="53">
        <v>0.37069230813246501</v>
      </c>
      <c r="K34" s="53">
        <v>-0.44800000000000001</v>
      </c>
      <c r="L34" s="54">
        <v>0.36180555555555555</v>
      </c>
      <c r="M34" s="53">
        <v>-7.7307699999999993E-2</v>
      </c>
      <c r="N34" s="53">
        <v>0.17996730999999999</v>
      </c>
      <c r="O34" s="7"/>
    </row>
    <row r="35" spans="1:15" ht="15.75" customHeight="1" x14ac:dyDescent="0.15">
      <c r="A35" s="58">
        <v>42508</v>
      </c>
      <c r="B35" s="59" t="s">
        <v>377</v>
      </c>
      <c r="C35" s="60">
        <v>0.37222222222222223</v>
      </c>
      <c r="D35" s="60">
        <v>0.41666666666666669</v>
      </c>
      <c r="E35" s="52" t="s">
        <v>576</v>
      </c>
      <c r="F35" s="7" t="s">
        <v>577</v>
      </c>
      <c r="G35" s="7" t="s">
        <v>605</v>
      </c>
      <c r="H35" s="52" t="s">
        <v>579</v>
      </c>
      <c r="I35" s="23">
        <v>1615680</v>
      </c>
      <c r="J35" s="53">
        <v>0.37229999303817701</v>
      </c>
      <c r="K35" s="53">
        <v>0.27107999999999999</v>
      </c>
      <c r="L35" s="54">
        <v>0.37222222222222223</v>
      </c>
      <c r="M35" s="53">
        <v>0.64337999999999995</v>
      </c>
      <c r="N35" s="53">
        <v>0.76956559999999996</v>
      </c>
      <c r="O35" s="7"/>
    </row>
    <row r="36" spans="1:15" ht="15.75" customHeight="1" x14ac:dyDescent="0.15">
      <c r="A36" s="50">
        <v>42510</v>
      </c>
      <c r="B36" s="7" t="s">
        <v>310</v>
      </c>
      <c r="C36" s="51">
        <v>0.31944444444444442</v>
      </c>
      <c r="D36" s="51">
        <v>0.38541666666666669</v>
      </c>
      <c r="E36" s="52" t="s">
        <v>606</v>
      </c>
      <c r="F36" s="23">
        <v>1617760</v>
      </c>
      <c r="G36" s="7"/>
      <c r="H36" s="52" t="s">
        <v>582</v>
      </c>
      <c r="I36" s="23">
        <v>1617433</v>
      </c>
      <c r="J36" s="53">
        <v>0.51931249909102895</v>
      </c>
      <c r="K36" s="53">
        <v>-0.19832</v>
      </c>
      <c r="L36" s="54">
        <v>0.33055555555555555</v>
      </c>
      <c r="M36" s="53">
        <v>0.32099250000000001</v>
      </c>
      <c r="N36" s="53">
        <v>0.36082259999999999</v>
      </c>
      <c r="O36" s="7"/>
    </row>
    <row r="37" spans="1:15" ht="15.75" customHeight="1" x14ac:dyDescent="0.15">
      <c r="A37" s="50">
        <v>42761</v>
      </c>
      <c r="B37" s="7" t="s">
        <v>233</v>
      </c>
      <c r="C37" s="51">
        <v>0.41666666666666669</v>
      </c>
      <c r="D37" s="51">
        <v>0.47222222222222221</v>
      </c>
      <c r="E37" s="52" t="s">
        <v>586</v>
      </c>
      <c r="F37" s="23">
        <v>1612340</v>
      </c>
      <c r="G37" s="7"/>
      <c r="H37" s="52" t="s">
        <v>579</v>
      </c>
      <c r="I37" s="23">
        <v>1615680</v>
      </c>
      <c r="J37" s="53">
        <v>0.281857137169156</v>
      </c>
      <c r="K37" s="53">
        <v>8.2000000000000003E-2</v>
      </c>
      <c r="L37" s="54">
        <v>0.43194444444444446</v>
      </c>
      <c r="M37" s="53">
        <v>0.36385715000000002</v>
      </c>
      <c r="N37" s="53">
        <v>0.37859789999999999</v>
      </c>
      <c r="O37" s="7"/>
    </row>
    <row r="38" spans="1:15" ht="15.75" customHeight="1" x14ac:dyDescent="0.15">
      <c r="A38" s="50">
        <v>42778</v>
      </c>
      <c r="B38" s="7" t="s">
        <v>201</v>
      </c>
      <c r="C38" s="51">
        <v>0.44791666666666669</v>
      </c>
      <c r="D38" s="51">
        <v>0.48958333333333331</v>
      </c>
      <c r="E38" s="52" t="s">
        <v>569</v>
      </c>
      <c r="F38" s="23">
        <v>1612340</v>
      </c>
      <c r="G38" s="7"/>
      <c r="H38" s="52" t="s">
        <v>569</v>
      </c>
      <c r="I38" s="23">
        <v>1612340</v>
      </c>
      <c r="J38" s="53">
        <v>0.439799997210502</v>
      </c>
      <c r="K38" s="53">
        <v>-0.10100000000000001</v>
      </c>
      <c r="L38" s="54">
        <v>0.48888888888888887</v>
      </c>
      <c r="M38" s="53">
        <v>0.33879998</v>
      </c>
      <c r="N38" s="53">
        <v>0.37676725</v>
      </c>
      <c r="O38" s="7"/>
    </row>
    <row r="39" spans="1:15" ht="15.75" customHeight="1" x14ac:dyDescent="0.15">
      <c r="A39" s="50">
        <v>42788</v>
      </c>
      <c r="B39" s="7" t="s">
        <v>320</v>
      </c>
      <c r="C39" s="51">
        <v>0.38194444444444442</v>
      </c>
      <c r="D39" s="51">
        <v>0.48125000000000001</v>
      </c>
      <c r="E39" s="52" t="s">
        <v>570</v>
      </c>
      <c r="F39" s="23">
        <v>1611400</v>
      </c>
      <c r="G39" s="7"/>
      <c r="H39" s="52" t="s">
        <v>571</v>
      </c>
      <c r="I39" s="23">
        <v>1611400</v>
      </c>
      <c r="J39" s="53">
        <v>0.29395833114782899</v>
      </c>
      <c r="K39" s="53">
        <v>0.26390000000000002</v>
      </c>
      <c r="L39" s="54">
        <v>0.38194444444444442</v>
      </c>
      <c r="M39" s="53">
        <v>0.55785834999999995</v>
      </c>
      <c r="N39" s="53">
        <v>0.64626735000000002</v>
      </c>
      <c r="O39" s="7"/>
    </row>
    <row r="40" spans="1:15" ht="15.75" customHeight="1" x14ac:dyDescent="0.15">
      <c r="A40" s="50">
        <v>42791</v>
      </c>
      <c r="B40" s="7" t="s">
        <v>244</v>
      </c>
      <c r="C40" s="51">
        <v>0.41319444444444442</v>
      </c>
      <c r="D40" s="51">
        <v>0.47916666666666669</v>
      </c>
      <c r="E40" s="52" t="s">
        <v>580</v>
      </c>
      <c r="F40" s="23">
        <v>1612366</v>
      </c>
      <c r="G40" s="7"/>
      <c r="H40" s="52" t="s">
        <v>569</v>
      </c>
      <c r="I40" s="23">
        <v>1612340</v>
      </c>
      <c r="J40" s="53">
        <v>0.54006665945053101</v>
      </c>
      <c r="K40" s="53">
        <v>-5.2999999999999999E-2</v>
      </c>
      <c r="L40" s="54">
        <v>0.43541666666666667</v>
      </c>
      <c r="M40" s="53">
        <v>0.48706665999999998</v>
      </c>
      <c r="N40" s="53">
        <v>0.51192086999999997</v>
      </c>
      <c r="O40" s="7"/>
    </row>
    <row r="41" spans="1:15" ht="15.75" customHeight="1" x14ac:dyDescent="0.15">
      <c r="A41" s="50">
        <v>42798</v>
      </c>
      <c r="B41" s="7" t="s">
        <v>230</v>
      </c>
      <c r="C41" s="51">
        <v>0.59027777777777779</v>
      </c>
      <c r="D41" s="51">
        <v>0.67708333333333337</v>
      </c>
      <c r="E41" s="52" t="s">
        <v>576</v>
      </c>
      <c r="F41" s="7" t="s">
        <v>577</v>
      </c>
      <c r="G41" s="7" t="s">
        <v>604</v>
      </c>
      <c r="H41" s="52" t="s">
        <v>579</v>
      </c>
      <c r="I41" s="23">
        <v>1615680</v>
      </c>
      <c r="J41" s="53">
        <v>0.57861903309822005</v>
      </c>
      <c r="K41" s="53">
        <v>0.10854001000000001</v>
      </c>
      <c r="L41" s="54">
        <v>0.59027777777777779</v>
      </c>
      <c r="M41" s="53">
        <v>0.68715899999999996</v>
      </c>
      <c r="N41" s="53">
        <v>0.82422470000000003</v>
      </c>
      <c r="O41" s="7"/>
    </row>
    <row r="42" spans="1:15" ht="15.75" customHeight="1" x14ac:dyDescent="0.15">
      <c r="A42" s="55">
        <v>42802</v>
      </c>
      <c r="B42" s="56" t="s">
        <v>244</v>
      </c>
      <c r="C42" s="57">
        <v>0.38541666666666669</v>
      </c>
      <c r="D42" s="57">
        <v>0.46875</v>
      </c>
      <c r="E42" s="52" t="s">
        <v>580</v>
      </c>
      <c r="F42" s="23">
        <v>1612366</v>
      </c>
      <c r="G42" s="7"/>
      <c r="H42" s="52" t="s">
        <v>569</v>
      </c>
      <c r="I42" s="23">
        <v>1612340</v>
      </c>
      <c r="J42" s="53">
        <v>0.55619999468326498</v>
      </c>
      <c r="K42" s="53">
        <v>5.0999999999999997E-2</v>
      </c>
      <c r="L42" s="54">
        <v>0.38541666666666669</v>
      </c>
      <c r="M42" s="53">
        <v>0.60719997000000003</v>
      </c>
      <c r="N42" s="53">
        <v>0.75019990000000003</v>
      </c>
      <c r="O42" s="7"/>
    </row>
    <row r="43" spans="1:15" ht="15.75" customHeight="1" x14ac:dyDescent="0.15">
      <c r="A43" s="55">
        <v>42803</v>
      </c>
      <c r="B43" s="56" t="s">
        <v>244</v>
      </c>
      <c r="C43" s="57">
        <v>0.39583333333333331</v>
      </c>
      <c r="D43" s="57">
        <v>0.47916666666666669</v>
      </c>
      <c r="E43" s="52" t="s">
        <v>580</v>
      </c>
      <c r="F43" s="23">
        <v>1612366</v>
      </c>
      <c r="G43" s="7"/>
      <c r="H43" s="52" t="s">
        <v>569</v>
      </c>
      <c r="I43" s="23">
        <v>1612340</v>
      </c>
      <c r="J43" s="53">
        <v>0.54724999815225595</v>
      </c>
      <c r="K43" s="53">
        <v>-4.4999999999999998E-2</v>
      </c>
      <c r="L43" s="54">
        <v>0.39583333333333331</v>
      </c>
      <c r="M43" s="53">
        <v>0.50224996</v>
      </c>
      <c r="N43" s="53">
        <v>0.63862187000000004</v>
      </c>
      <c r="O43" s="7"/>
    </row>
    <row r="44" spans="1:15" ht="15.75" customHeight="1" x14ac:dyDescent="0.15">
      <c r="A44" s="55">
        <v>42804</v>
      </c>
      <c r="B44" s="56" t="s">
        <v>329</v>
      </c>
      <c r="C44" s="57">
        <v>0.4375</v>
      </c>
      <c r="D44" s="57">
        <v>0.46736111111111112</v>
      </c>
      <c r="E44" s="52" t="s">
        <v>608</v>
      </c>
      <c r="F44" s="23">
        <v>1612340</v>
      </c>
      <c r="G44" s="7"/>
      <c r="H44" s="52" t="s">
        <v>579</v>
      </c>
      <c r="I44" s="23">
        <v>1615680</v>
      </c>
      <c r="J44" s="53">
        <v>0.44362502545118299</v>
      </c>
      <c r="K44" s="53">
        <v>-3.7999999999999999E-2</v>
      </c>
      <c r="L44" s="54">
        <v>0.4375</v>
      </c>
      <c r="M44" s="53">
        <v>0.40562504999999999</v>
      </c>
      <c r="N44" s="53">
        <v>0.47585230000000001</v>
      </c>
      <c r="O44" s="7"/>
    </row>
    <row r="45" spans="1:15" ht="15.75" customHeight="1" x14ac:dyDescent="0.15">
      <c r="A45" s="50">
        <v>42804</v>
      </c>
      <c r="B45" s="7" t="s">
        <v>201</v>
      </c>
      <c r="C45" s="51">
        <v>0.41666666666666669</v>
      </c>
      <c r="D45" s="51">
        <v>0.45833333333333331</v>
      </c>
      <c r="E45" s="52" t="s">
        <v>569</v>
      </c>
      <c r="F45" s="23">
        <v>1612340</v>
      </c>
      <c r="G45" s="7"/>
      <c r="H45" s="52" t="s">
        <v>569</v>
      </c>
      <c r="I45" s="23">
        <v>1612340</v>
      </c>
      <c r="J45" s="53">
        <v>0.44000000059604599</v>
      </c>
      <c r="K45" s="53">
        <v>-9.8000000000000004E-2</v>
      </c>
      <c r="L45" s="54">
        <v>0.41666666666666669</v>
      </c>
      <c r="M45" s="53">
        <v>0.34200000000000003</v>
      </c>
      <c r="N45" s="53">
        <v>0.4088852</v>
      </c>
      <c r="O45" s="7"/>
    </row>
    <row r="46" spans="1:15" ht="15.75" customHeight="1" x14ac:dyDescent="0.15">
      <c r="A46" s="55">
        <v>42804</v>
      </c>
      <c r="B46" s="56" t="s">
        <v>219</v>
      </c>
      <c r="C46" s="57">
        <v>0.38541666666666669</v>
      </c>
      <c r="D46" s="57">
        <v>0.44791666666666669</v>
      </c>
      <c r="E46" s="52" t="s">
        <v>572</v>
      </c>
      <c r="F46" s="7" t="s">
        <v>573</v>
      </c>
      <c r="G46" s="7" t="s">
        <v>574</v>
      </c>
      <c r="H46" s="52" t="s">
        <v>569</v>
      </c>
      <c r="I46" s="23">
        <v>1612340</v>
      </c>
      <c r="J46" s="53">
        <v>0.43093332846959398</v>
      </c>
      <c r="K46" s="53">
        <v>-0.10256</v>
      </c>
      <c r="L46" s="54">
        <v>0.40486111111111112</v>
      </c>
      <c r="M46" s="53">
        <v>0.32837329999999998</v>
      </c>
      <c r="N46" s="53">
        <v>0.35400563000000002</v>
      </c>
      <c r="O46" s="7"/>
    </row>
    <row r="47" spans="1:15" ht="15.75" customHeight="1" x14ac:dyDescent="0.15">
      <c r="A47" s="50">
        <v>42806</v>
      </c>
      <c r="B47" s="7" t="s">
        <v>293</v>
      </c>
      <c r="C47" s="51">
        <v>0.39930555555555558</v>
      </c>
      <c r="D47" s="51">
        <v>0.43333333333333335</v>
      </c>
      <c r="E47" s="52" t="s">
        <v>590</v>
      </c>
      <c r="F47" s="23">
        <v>1617760</v>
      </c>
      <c r="G47" s="7"/>
      <c r="H47" s="52" t="s">
        <v>590</v>
      </c>
      <c r="I47" s="23">
        <v>1617760</v>
      </c>
      <c r="J47" s="53">
        <v>0.70087499171495404</v>
      </c>
      <c r="K47" s="53">
        <v>-3.5999999999999997E-2</v>
      </c>
      <c r="L47" s="54">
        <v>0.39930555555555558</v>
      </c>
      <c r="M47" s="53">
        <v>0.66487499999999999</v>
      </c>
      <c r="N47" s="53">
        <v>0.70941496000000004</v>
      </c>
      <c r="O47" s="7"/>
    </row>
    <row r="48" spans="1:15" ht="15.75" customHeight="1" x14ac:dyDescent="0.15">
      <c r="A48" s="50">
        <v>42810</v>
      </c>
      <c r="B48" s="7" t="s">
        <v>337</v>
      </c>
      <c r="C48" s="51">
        <v>0.48055555555555557</v>
      </c>
      <c r="D48" s="51">
        <v>0.55208333333333337</v>
      </c>
      <c r="E48" s="52" t="s">
        <v>582</v>
      </c>
      <c r="F48" s="23">
        <v>1617433</v>
      </c>
      <c r="G48" s="7"/>
      <c r="H48" s="52" t="s">
        <v>582</v>
      </c>
      <c r="I48" s="23">
        <v>1617433</v>
      </c>
      <c r="J48" s="53">
        <v>0.498999995343825</v>
      </c>
      <c r="K48" s="53">
        <v>-0.04</v>
      </c>
      <c r="L48" s="54">
        <v>0.51180555555555551</v>
      </c>
      <c r="M48" s="53">
        <v>0.45900000000000002</v>
      </c>
      <c r="N48" s="53">
        <v>0.48213460000000002</v>
      </c>
      <c r="O48" s="7"/>
    </row>
    <row r="49" spans="1:15" ht="15.75" customHeight="1" x14ac:dyDescent="0.15">
      <c r="A49" s="58">
        <v>42822</v>
      </c>
      <c r="B49" s="59" t="s">
        <v>216</v>
      </c>
      <c r="C49" s="60">
        <v>0.40277777777777779</v>
      </c>
      <c r="D49" s="60">
        <v>0.45833333333333331</v>
      </c>
      <c r="E49" s="52" t="s">
        <v>569</v>
      </c>
      <c r="F49" s="23">
        <v>1612340</v>
      </c>
      <c r="G49" s="7"/>
      <c r="H49" s="52" t="s">
        <v>569</v>
      </c>
      <c r="I49" s="23">
        <v>1612340</v>
      </c>
      <c r="J49" s="53">
        <v>0.50499999523162797</v>
      </c>
      <c r="K49" s="53">
        <v>-0.27300000000000002</v>
      </c>
      <c r="L49" s="54">
        <v>0.43611111111111112</v>
      </c>
      <c r="M49" s="53">
        <v>0.23200000000000001</v>
      </c>
      <c r="N49" s="53">
        <v>0.25237036000000002</v>
      </c>
      <c r="O49" s="7"/>
    </row>
    <row r="50" spans="1:15" ht="15.75" customHeight="1" x14ac:dyDescent="0.15">
      <c r="A50" s="50">
        <v>42823</v>
      </c>
      <c r="B50" s="7" t="s">
        <v>244</v>
      </c>
      <c r="C50" s="51">
        <v>0.38541666666666669</v>
      </c>
      <c r="D50" s="51">
        <v>0.46875</v>
      </c>
      <c r="E50" s="52" t="s">
        <v>580</v>
      </c>
      <c r="F50" s="23">
        <v>1612366</v>
      </c>
      <c r="G50" s="7"/>
      <c r="H50" s="52" t="s">
        <v>569</v>
      </c>
      <c r="I50" s="23">
        <v>1612340</v>
      </c>
      <c r="J50" s="53">
        <v>0.50090001225471403</v>
      </c>
      <c r="K50" s="53">
        <v>-0.189</v>
      </c>
      <c r="L50" s="54">
        <v>0.46041666666666664</v>
      </c>
      <c r="M50" s="53">
        <v>0.31190002</v>
      </c>
      <c r="N50" s="53">
        <v>0.42689177</v>
      </c>
      <c r="O50" s="7"/>
    </row>
    <row r="51" spans="1:15" ht="15.75" customHeight="1" x14ac:dyDescent="0.15">
      <c r="A51" s="58">
        <v>42825</v>
      </c>
      <c r="B51" s="59" t="s">
        <v>246</v>
      </c>
      <c r="C51" s="60">
        <v>0.41736111111111113</v>
      </c>
      <c r="D51" s="60">
        <v>0.45069444444444445</v>
      </c>
      <c r="E51" s="52" t="s">
        <v>575</v>
      </c>
      <c r="F51" s="23">
        <v>1612340</v>
      </c>
      <c r="G51" s="7"/>
      <c r="H51" s="52" t="s">
        <v>569</v>
      </c>
      <c r="I51" s="23">
        <v>1612340</v>
      </c>
      <c r="J51" s="53">
        <v>0.52250000089406901</v>
      </c>
      <c r="K51" s="53">
        <v>-2.3E-2</v>
      </c>
      <c r="L51" s="54">
        <v>0.45069444444444445</v>
      </c>
      <c r="M51" s="53">
        <v>0.49949998000000001</v>
      </c>
      <c r="N51" s="53">
        <v>0.59298974000000004</v>
      </c>
      <c r="O51" s="7"/>
    </row>
    <row r="52" spans="1:15" ht="15.75" customHeight="1" x14ac:dyDescent="0.15">
      <c r="A52" s="50">
        <v>42826</v>
      </c>
      <c r="B52" s="7" t="s">
        <v>303</v>
      </c>
      <c r="C52" s="51">
        <v>0.47083333333333333</v>
      </c>
      <c r="D52" s="51">
        <v>0.50416666666666665</v>
      </c>
      <c r="E52" s="52" t="s">
        <v>595</v>
      </c>
      <c r="F52" s="7" t="s">
        <v>596</v>
      </c>
      <c r="G52" s="7" t="s">
        <v>597</v>
      </c>
      <c r="H52" s="52" t="s">
        <v>579</v>
      </c>
      <c r="I52" s="23">
        <v>1615680</v>
      </c>
      <c r="J52" s="53">
        <v>0.57362499833106995</v>
      </c>
      <c r="K52" s="53">
        <v>-5.8719404000000003E-2</v>
      </c>
      <c r="L52" s="54">
        <v>0.48680555555555555</v>
      </c>
      <c r="M52" s="53">
        <v>0.51490559999999996</v>
      </c>
      <c r="N52" s="53">
        <v>0.51903630000000001</v>
      </c>
      <c r="O52" s="7"/>
    </row>
    <row r="53" spans="1:15" ht="15.75" customHeight="1" x14ac:dyDescent="0.15">
      <c r="A53" s="50">
        <v>42827</v>
      </c>
      <c r="B53" s="7" t="s">
        <v>340</v>
      </c>
      <c r="C53" s="51">
        <v>0.48680555555555555</v>
      </c>
      <c r="D53" s="51">
        <v>0.52500000000000002</v>
      </c>
      <c r="E53" s="52" t="s">
        <v>581</v>
      </c>
      <c r="F53" s="23">
        <v>1617760</v>
      </c>
      <c r="G53" s="7"/>
      <c r="H53" s="52" t="s">
        <v>582</v>
      </c>
      <c r="I53" s="23">
        <v>1617433</v>
      </c>
      <c r="J53" s="53">
        <v>0.47499999072816601</v>
      </c>
      <c r="K53" s="53">
        <v>4.0869999999999997E-2</v>
      </c>
      <c r="L53" s="54">
        <v>0.52500000000000002</v>
      </c>
      <c r="M53" s="53">
        <v>0.51587000000000005</v>
      </c>
      <c r="N53" s="53">
        <v>0.55136806000000005</v>
      </c>
      <c r="O53" s="7"/>
    </row>
    <row r="54" spans="1:15" ht="15.75" customHeight="1" x14ac:dyDescent="0.15">
      <c r="A54" s="58">
        <v>42832</v>
      </c>
      <c r="B54" s="59" t="s">
        <v>250</v>
      </c>
      <c r="C54" s="60">
        <v>0.375</v>
      </c>
      <c r="D54" s="60">
        <v>0.47916666666666669</v>
      </c>
      <c r="E54" s="52" t="s">
        <v>609</v>
      </c>
      <c r="F54" s="23">
        <v>1612340</v>
      </c>
      <c r="G54" s="7"/>
      <c r="H54" s="52" t="s">
        <v>569</v>
      </c>
      <c r="I54" s="23">
        <v>1612340</v>
      </c>
      <c r="J54" s="53">
        <v>0.59919999599456697</v>
      </c>
      <c r="K54" s="53">
        <v>-8.6999999999999994E-2</v>
      </c>
      <c r="L54" s="54">
        <v>0.375</v>
      </c>
      <c r="M54" s="53">
        <v>0.51219999999999999</v>
      </c>
      <c r="N54" s="53">
        <v>0.77798809999999996</v>
      </c>
      <c r="O54" s="7"/>
    </row>
    <row r="55" spans="1:15" ht="15.75" customHeight="1" x14ac:dyDescent="0.15">
      <c r="A55" s="50">
        <v>42834</v>
      </c>
      <c r="B55" s="7" t="s">
        <v>301</v>
      </c>
      <c r="C55" s="51">
        <v>0.36875000000000002</v>
      </c>
      <c r="D55" s="51">
        <v>0.41041666666666665</v>
      </c>
      <c r="E55" s="52" t="s">
        <v>570</v>
      </c>
      <c r="F55" s="23">
        <v>1611400</v>
      </c>
      <c r="G55" s="7"/>
      <c r="H55" s="52" t="s">
        <v>571</v>
      </c>
      <c r="I55" s="23">
        <v>1611400</v>
      </c>
      <c r="J55" s="53">
        <v>0.76150000691413799</v>
      </c>
      <c r="K55" s="53">
        <v>-9.0090000000000003E-2</v>
      </c>
      <c r="L55" s="54">
        <v>0.36875000000000002</v>
      </c>
      <c r="M55" s="53">
        <v>0.67140999999999995</v>
      </c>
      <c r="N55" s="53">
        <v>0.69979899999999995</v>
      </c>
      <c r="O55" s="7"/>
    </row>
    <row r="56" spans="1:15" ht="15.75" customHeight="1" x14ac:dyDescent="0.15">
      <c r="A56" s="50">
        <v>42835</v>
      </c>
      <c r="B56" s="7" t="s">
        <v>216</v>
      </c>
      <c r="C56" s="51">
        <v>0.3888888888888889</v>
      </c>
      <c r="D56" s="51">
        <v>0.4236111111111111</v>
      </c>
      <c r="E56" s="52" t="s">
        <v>569</v>
      </c>
      <c r="F56" s="23">
        <v>1612340</v>
      </c>
      <c r="G56" s="7"/>
      <c r="H56" s="52" t="s">
        <v>569</v>
      </c>
      <c r="I56" s="23">
        <v>1612340</v>
      </c>
      <c r="J56" s="53">
        <v>0.602125003933906</v>
      </c>
      <c r="K56" s="53">
        <v>-0.16700000000000001</v>
      </c>
      <c r="L56" s="54">
        <v>0.4</v>
      </c>
      <c r="M56" s="53">
        <v>0.43512499999999998</v>
      </c>
      <c r="N56" s="53">
        <v>0.44253673999999998</v>
      </c>
      <c r="O56" s="7"/>
    </row>
    <row r="57" spans="1:15" ht="13" x14ac:dyDescent="0.15">
      <c r="A57" s="50">
        <v>42836</v>
      </c>
      <c r="B57" s="7" t="s">
        <v>301</v>
      </c>
      <c r="C57" s="51">
        <v>0.39583333333333331</v>
      </c>
      <c r="D57" s="51">
        <v>0.44374999999999998</v>
      </c>
      <c r="E57" s="52" t="s">
        <v>570</v>
      </c>
      <c r="F57" s="23">
        <v>1611400</v>
      </c>
      <c r="G57" s="7"/>
      <c r="H57" s="52" t="s">
        <v>571</v>
      </c>
      <c r="I57" s="23">
        <v>1611400</v>
      </c>
      <c r="J57" s="53">
        <v>0.70941666265328696</v>
      </c>
      <c r="K57" s="53">
        <v>-0.13922999999999999</v>
      </c>
      <c r="L57" s="54">
        <v>0.39861111111111114</v>
      </c>
      <c r="M57" s="53">
        <v>0.57018670000000005</v>
      </c>
      <c r="N57" s="53">
        <v>0.59855270000000005</v>
      </c>
      <c r="O57" s="7"/>
    </row>
    <row r="58" spans="1:15" ht="13" x14ac:dyDescent="0.15">
      <c r="A58" s="50">
        <v>42836</v>
      </c>
      <c r="B58" s="7" t="s">
        <v>266</v>
      </c>
      <c r="C58" s="51">
        <v>0.40416666666666667</v>
      </c>
      <c r="D58" s="51">
        <v>0.44097222222222221</v>
      </c>
      <c r="E58" s="52" t="s">
        <v>570</v>
      </c>
      <c r="F58" s="23">
        <v>1611400</v>
      </c>
      <c r="G58" s="7"/>
      <c r="H58" s="52" t="s">
        <v>571</v>
      </c>
      <c r="I58" s="23">
        <v>1611400</v>
      </c>
      <c r="J58" s="53">
        <v>0.70688888099458402</v>
      </c>
      <c r="K58" s="53">
        <v>-0.13832</v>
      </c>
      <c r="L58" s="54">
        <v>0.40416666666666667</v>
      </c>
      <c r="M58" s="53">
        <v>0.56856879999999999</v>
      </c>
      <c r="N58" s="53">
        <v>0.5978405</v>
      </c>
      <c r="O58" s="7"/>
    </row>
    <row r="59" spans="1:15" ht="13" x14ac:dyDescent="0.15">
      <c r="A59" s="50">
        <v>42837</v>
      </c>
      <c r="B59" s="7" t="s">
        <v>266</v>
      </c>
      <c r="C59" s="51">
        <v>0.3611111111111111</v>
      </c>
      <c r="D59" s="51">
        <v>0.44097222222222221</v>
      </c>
      <c r="E59" s="52" t="s">
        <v>570</v>
      </c>
      <c r="F59" s="23">
        <v>1611400</v>
      </c>
      <c r="G59" s="7"/>
      <c r="H59" s="52" t="s">
        <v>571</v>
      </c>
      <c r="I59" s="23">
        <v>1611400</v>
      </c>
      <c r="J59" s="53">
        <v>0.62094736726660404</v>
      </c>
      <c r="K59" s="53">
        <v>-0.13922999999999999</v>
      </c>
      <c r="L59" s="54">
        <v>0.4152777777777778</v>
      </c>
      <c r="M59" s="53">
        <v>0.48171734999999999</v>
      </c>
      <c r="N59" s="53">
        <v>0.51894890000000005</v>
      </c>
      <c r="O59" s="7"/>
    </row>
    <row r="60" spans="1:15" ht="13" x14ac:dyDescent="0.15">
      <c r="A60" s="50">
        <v>42837</v>
      </c>
      <c r="B60" s="7" t="s">
        <v>355</v>
      </c>
      <c r="C60" s="51">
        <v>0.39791666666666664</v>
      </c>
      <c r="D60" s="51">
        <v>0.44097222222222221</v>
      </c>
      <c r="E60" s="52" t="s">
        <v>575</v>
      </c>
      <c r="F60" s="23">
        <v>1612340</v>
      </c>
      <c r="G60" s="7"/>
      <c r="H60" s="52" t="s">
        <v>569</v>
      </c>
      <c r="I60" s="23">
        <v>1612340</v>
      </c>
      <c r="J60" s="53">
        <v>0.66580000519752502</v>
      </c>
      <c r="K60" s="53">
        <v>-0.13800000000000001</v>
      </c>
      <c r="L60" s="54">
        <v>0.43194444444444446</v>
      </c>
      <c r="M60" s="53">
        <v>0.52779995999999996</v>
      </c>
      <c r="N60" s="53">
        <v>0.54868894999999995</v>
      </c>
      <c r="O60" s="7"/>
    </row>
    <row r="61" spans="1:15" ht="13" x14ac:dyDescent="0.15">
      <c r="A61" s="50">
        <v>42838</v>
      </c>
      <c r="B61" s="7" t="s">
        <v>259</v>
      </c>
      <c r="C61" s="51">
        <v>0.40277777777777779</v>
      </c>
      <c r="D61" s="51">
        <v>0.47847222222222224</v>
      </c>
      <c r="E61" s="52" t="s">
        <v>590</v>
      </c>
      <c r="F61" s="23">
        <v>1617760</v>
      </c>
      <c r="G61" s="7"/>
      <c r="H61" s="52" t="s">
        <v>590</v>
      </c>
      <c r="I61" s="23">
        <v>1617760</v>
      </c>
      <c r="J61" s="53">
        <v>0.58833333849906899</v>
      </c>
      <c r="K61" s="53">
        <v>-0.192</v>
      </c>
      <c r="L61" s="54">
        <v>0.41736111111111113</v>
      </c>
      <c r="M61" s="53">
        <v>0.39633337000000002</v>
      </c>
      <c r="N61" s="53">
        <v>0.46086976000000002</v>
      </c>
      <c r="O61" s="7"/>
    </row>
    <row r="62" spans="1:15" ht="13" x14ac:dyDescent="0.15">
      <c r="A62" s="50">
        <v>42838</v>
      </c>
      <c r="B62" s="7" t="s">
        <v>352</v>
      </c>
      <c r="C62" s="51">
        <v>0.4375</v>
      </c>
      <c r="D62" s="51">
        <v>0.47916666666666669</v>
      </c>
      <c r="E62" s="7" t="s">
        <v>598</v>
      </c>
      <c r="F62" s="7" t="s">
        <v>599</v>
      </c>
      <c r="G62" s="7" t="s">
        <v>600</v>
      </c>
      <c r="H62" s="7" t="s">
        <v>594</v>
      </c>
      <c r="I62" s="23">
        <v>1612480</v>
      </c>
      <c r="J62" s="53">
        <v>0.63949999809265101</v>
      </c>
      <c r="K62" s="53">
        <v>-5.1659999999999998E-2</v>
      </c>
      <c r="L62" s="54">
        <v>0.4375</v>
      </c>
      <c r="M62" s="53">
        <v>0.58784000000000003</v>
      </c>
      <c r="N62" s="53">
        <v>0.65665810000000002</v>
      </c>
      <c r="O62" s="7"/>
    </row>
    <row r="63" spans="1:15" ht="13" x14ac:dyDescent="0.15">
      <c r="A63" s="58">
        <v>42838</v>
      </c>
      <c r="B63" s="59" t="s">
        <v>226</v>
      </c>
      <c r="C63" s="60">
        <v>0.4375</v>
      </c>
      <c r="D63" s="60">
        <v>0.45833333333333331</v>
      </c>
      <c r="E63" s="52" t="s">
        <v>610</v>
      </c>
      <c r="F63" s="7" t="s">
        <v>611</v>
      </c>
      <c r="G63" s="7" t="s">
        <v>612</v>
      </c>
      <c r="H63" s="52" t="s">
        <v>594</v>
      </c>
      <c r="I63" s="23">
        <v>1612480</v>
      </c>
      <c r="J63" s="53">
        <v>0.64539998769760099</v>
      </c>
      <c r="K63" s="53">
        <v>-5.1659999999999998E-2</v>
      </c>
      <c r="L63" s="54">
        <v>0.4375</v>
      </c>
      <c r="M63" s="53">
        <v>0.59374000000000005</v>
      </c>
      <c r="N63" s="53">
        <v>0.62297046</v>
      </c>
      <c r="O63" s="7"/>
    </row>
    <row r="64" spans="1:15" ht="13" x14ac:dyDescent="0.15">
      <c r="A64" s="50">
        <v>42844</v>
      </c>
      <c r="B64" s="7" t="s">
        <v>244</v>
      </c>
      <c r="C64" s="51">
        <v>0.38541666666666669</v>
      </c>
      <c r="D64" s="51">
        <v>0.46875</v>
      </c>
      <c r="E64" s="52" t="s">
        <v>580</v>
      </c>
      <c r="F64" s="23">
        <v>1612366</v>
      </c>
      <c r="G64" s="7"/>
      <c r="H64" s="52" t="s">
        <v>569</v>
      </c>
      <c r="I64" s="23">
        <v>1612340</v>
      </c>
      <c r="J64" s="53">
        <v>0.80300000011920902</v>
      </c>
      <c r="K64" s="53">
        <v>0.40400000000000003</v>
      </c>
      <c r="L64" s="54">
        <v>0.38541666666666669</v>
      </c>
      <c r="M64" s="53">
        <v>1.2070000000000001</v>
      </c>
      <c r="N64" s="53">
        <v>1.2988759000000001</v>
      </c>
      <c r="O64" s="7"/>
    </row>
    <row r="65" spans="1:15" ht="13" x14ac:dyDescent="0.15">
      <c r="A65" s="50">
        <v>42844</v>
      </c>
      <c r="B65" s="7" t="s">
        <v>369</v>
      </c>
      <c r="C65" s="51">
        <v>0.35416666666666669</v>
      </c>
      <c r="D65" s="51">
        <v>0.5</v>
      </c>
      <c r="E65" s="52" t="s">
        <v>613</v>
      </c>
      <c r="F65" s="7" t="s">
        <v>614</v>
      </c>
      <c r="G65" s="7" t="s">
        <v>615</v>
      </c>
      <c r="H65" s="52" t="s">
        <v>571</v>
      </c>
      <c r="I65" s="23">
        <v>1611400</v>
      </c>
      <c r="J65" s="53">
        <v>0.57422856262751898</v>
      </c>
      <c r="K65" s="53">
        <v>0.37301000000000001</v>
      </c>
      <c r="L65" s="54">
        <v>0.35416666666666669</v>
      </c>
      <c r="M65" s="53">
        <v>0.94723855999999995</v>
      </c>
      <c r="N65" s="53">
        <v>1.0282359999999999</v>
      </c>
      <c r="O65" s="7"/>
    </row>
    <row r="66" spans="1:15" ht="13" x14ac:dyDescent="0.15">
      <c r="A66" s="50">
        <v>42850</v>
      </c>
      <c r="B66" s="7" t="s">
        <v>244</v>
      </c>
      <c r="C66" s="51">
        <v>0.39583333333333331</v>
      </c>
      <c r="D66" s="51">
        <v>0.45833333333333331</v>
      </c>
      <c r="E66" s="52" t="s">
        <v>580</v>
      </c>
      <c r="F66" s="23">
        <v>1612366</v>
      </c>
      <c r="G66" s="7"/>
      <c r="H66" s="52" t="s">
        <v>569</v>
      </c>
      <c r="I66" s="23">
        <v>1612340</v>
      </c>
      <c r="J66" s="53">
        <v>0.81820000012715599</v>
      </c>
      <c r="K66" s="53">
        <v>-0.26500000000000001</v>
      </c>
      <c r="L66" s="54">
        <v>0.39583333333333331</v>
      </c>
      <c r="M66" s="53">
        <v>0.55320000000000003</v>
      </c>
      <c r="N66" s="53">
        <v>0.67981539999999996</v>
      </c>
      <c r="O66" s="7"/>
    </row>
    <row r="67" spans="1:15" ht="13" x14ac:dyDescent="0.15">
      <c r="A67" s="50">
        <v>42850</v>
      </c>
      <c r="B67" s="7" t="s">
        <v>250</v>
      </c>
      <c r="C67" s="51">
        <v>0.3888888888888889</v>
      </c>
      <c r="D67" s="51">
        <v>0.47916666666666669</v>
      </c>
      <c r="E67" s="52" t="s">
        <v>609</v>
      </c>
      <c r="F67" s="23">
        <v>1612340</v>
      </c>
      <c r="G67" s="7"/>
      <c r="H67" s="52" t="s">
        <v>569</v>
      </c>
      <c r="I67" s="23">
        <v>1612340</v>
      </c>
      <c r="J67" s="53">
        <v>0.83228570506686195</v>
      </c>
      <c r="K67" s="53">
        <v>-0.32900000000000001</v>
      </c>
      <c r="L67" s="54">
        <v>0.3888888888888889</v>
      </c>
      <c r="M67" s="53">
        <v>0.50328569999999995</v>
      </c>
      <c r="N67" s="53">
        <v>0.71422463999999997</v>
      </c>
      <c r="O67" s="7"/>
    </row>
    <row r="68" spans="1:15" ht="13" x14ac:dyDescent="0.15">
      <c r="A68" s="50">
        <v>42850</v>
      </c>
      <c r="B68" s="7" t="s">
        <v>374</v>
      </c>
      <c r="C68" s="51">
        <v>0.40625</v>
      </c>
      <c r="D68" s="51">
        <v>0.46875</v>
      </c>
      <c r="E68" s="52" t="s">
        <v>616</v>
      </c>
      <c r="F68" s="23">
        <v>1612340</v>
      </c>
      <c r="G68" s="7"/>
      <c r="H68" s="52" t="s">
        <v>579</v>
      </c>
      <c r="I68" s="23">
        <v>1615680</v>
      </c>
      <c r="J68" s="53">
        <v>0.74026664892832394</v>
      </c>
      <c r="K68" s="53">
        <v>-0.29599999999999999</v>
      </c>
      <c r="L68" s="54">
        <v>0.40625</v>
      </c>
      <c r="M68" s="53">
        <v>0.44426662</v>
      </c>
      <c r="N68" s="53">
        <v>0.62436557000000004</v>
      </c>
      <c r="O68" s="7"/>
    </row>
    <row r="69" spans="1:15" ht="13" x14ac:dyDescent="0.15">
      <c r="A69" s="50">
        <v>42851</v>
      </c>
      <c r="B69" s="7" t="s">
        <v>369</v>
      </c>
      <c r="C69" s="51">
        <v>0.375</v>
      </c>
      <c r="D69" s="51">
        <v>0.5625</v>
      </c>
      <c r="E69" s="52" t="s">
        <v>613</v>
      </c>
      <c r="F69" s="7" t="s">
        <v>614</v>
      </c>
      <c r="G69" s="7" t="s">
        <v>615</v>
      </c>
      <c r="H69" s="52" t="s">
        <v>571</v>
      </c>
      <c r="I69" s="23">
        <v>1611400</v>
      </c>
      <c r="J69" s="53">
        <v>0.33697777787844302</v>
      </c>
      <c r="K69" s="53">
        <v>-0.38451000000000002</v>
      </c>
      <c r="L69" s="54">
        <v>0.38611111111111113</v>
      </c>
      <c r="M69" s="53">
        <v>-4.7532230000000002E-2</v>
      </c>
      <c r="N69" s="53">
        <v>0.50337799999999999</v>
      </c>
      <c r="O69" s="7"/>
    </row>
    <row r="70" spans="1:15" ht="13" x14ac:dyDescent="0.15">
      <c r="A70" s="50">
        <v>42851</v>
      </c>
      <c r="B70" s="7" t="s">
        <v>340</v>
      </c>
      <c r="C70" s="51">
        <v>0.38541666666666669</v>
      </c>
      <c r="D70" s="51">
        <v>0.45833333333333331</v>
      </c>
      <c r="E70" s="52" t="s">
        <v>581</v>
      </c>
      <c r="F70" s="23">
        <v>1617760</v>
      </c>
      <c r="G70" s="7"/>
      <c r="H70" s="52" t="s">
        <v>582</v>
      </c>
      <c r="I70" s="23">
        <v>1617433</v>
      </c>
      <c r="J70" s="53">
        <v>0.436176471850451</v>
      </c>
      <c r="K70" s="53">
        <v>-0.35041</v>
      </c>
      <c r="L70" s="54">
        <v>0.38541666666666669</v>
      </c>
      <c r="M70" s="53">
        <v>8.5766464000000001E-2</v>
      </c>
      <c r="N70" s="53">
        <v>0.26245686000000001</v>
      </c>
      <c r="O70" s="7"/>
    </row>
    <row r="71" spans="1:15" ht="13" x14ac:dyDescent="0.15">
      <c r="A71" s="50">
        <v>42851</v>
      </c>
      <c r="B71" s="7" t="s">
        <v>293</v>
      </c>
      <c r="C71" s="51">
        <v>0.39930555555555558</v>
      </c>
      <c r="D71" s="51">
        <v>0.4548611111111111</v>
      </c>
      <c r="E71" s="52" t="s">
        <v>590</v>
      </c>
      <c r="F71" s="23">
        <v>1617760</v>
      </c>
      <c r="G71" s="7"/>
      <c r="H71" s="52" t="s">
        <v>590</v>
      </c>
      <c r="I71" s="23">
        <v>1617760</v>
      </c>
      <c r="J71" s="53">
        <v>0.45778572133609202</v>
      </c>
      <c r="K71" s="53">
        <v>-0.46700000000000003</v>
      </c>
      <c r="L71" s="54">
        <v>0.39930555555555558</v>
      </c>
      <c r="M71" s="53">
        <v>-9.2142820000000007E-3</v>
      </c>
      <c r="N71" s="53">
        <v>0.23371164999999999</v>
      </c>
      <c r="O71" s="7"/>
    </row>
    <row r="72" spans="1:15" ht="13" x14ac:dyDescent="0.15">
      <c r="A72" s="50">
        <v>42851</v>
      </c>
      <c r="B72" s="7" t="s">
        <v>216</v>
      </c>
      <c r="C72" s="51">
        <v>0.40277777777777779</v>
      </c>
      <c r="D72" s="51">
        <v>0.44791666666666669</v>
      </c>
      <c r="E72" s="52" t="s">
        <v>569</v>
      </c>
      <c r="F72" s="23">
        <v>1612340</v>
      </c>
      <c r="G72" s="7"/>
      <c r="H72" s="52" t="s">
        <v>569</v>
      </c>
      <c r="I72" s="23">
        <v>1612340</v>
      </c>
      <c r="J72" s="53">
        <v>0.62918181852860799</v>
      </c>
      <c r="K72" s="53">
        <v>-0.35399999999999998</v>
      </c>
      <c r="L72" s="54">
        <v>0.40347222222222223</v>
      </c>
      <c r="M72" s="53">
        <v>0.27518179999999998</v>
      </c>
      <c r="N72" s="53">
        <v>0.31013632000000002</v>
      </c>
      <c r="O72" s="7"/>
    </row>
    <row r="73" spans="1:15" ht="13" x14ac:dyDescent="0.15">
      <c r="A73" s="50">
        <v>42852</v>
      </c>
      <c r="B73" s="7" t="s">
        <v>293</v>
      </c>
      <c r="C73" s="51">
        <v>0.3611111111111111</v>
      </c>
      <c r="D73" s="51">
        <v>0.45833333333333331</v>
      </c>
      <c r="E73" s="52" t="s">
        <v>590</v>
      </c>
      <c r="F73" s="23">
        <v>1617760</v>
      </c>
      <c r="G73" s="7"/>
      <c r="H73" s="52" t="s">
        <v>590</v>
      </c>
      <c r="I73" s="23">
        <v>1617760</v>
      </c>
      <c r="J73" s="53">
        <v>0.57291304287703104</v>
      </c>
      <c r="K73" s="53">
        <v>-0.56100000000000005</v>
      </c>
      <c r="L73" s="54">
        <v>0.3972222222222222</v>
      </c>
      <c r="M73" s="53">
        <v>1.1913061000000001E-2</v>
      </c>
      <c r="N73" s="53">
        <v>9.9827945000000001E-2</v>
      </c>
      <c r="O73" s="7"/>
    </row>
    <row r="74" spans="1:15" ht="13" x14ac:dyDescent="0.15">
      <c r="A74" s="50">
        <v>42852</v>
      </c>
      <c r="B74" s="7" t="s">
        <v>201</v>
      </c>
      <c r="C74" s="51">
        <v>0.37847222222222221</v>
      </c>
      <c r="D74" s="51">
        <v>0.4236111111111111</v>
      </c>
      <c r="E74" s="52" t="s">
        <v>569</v>
      </c>
      <c r="F74" s="23">
        <v>1612340</v>
      </c>
      <c r="G74" s="7"/>
      <c r="H74" s="52" t="s">
        <v>569</v>
      </c>
      <c r="I74" s="23">
        <v>1612340</v>
      </c>
      <c r="J74" s="53">
        <v>0.61045454848896297</v>
      </c>
      <c r="K74" s="53">
        <v>-0.33500000000000002</v>
      </c>
      <c r="L74" s="54">
        <v>0.4236111111111111</v>
      </c>
      <c r="M74" s="53">
        <v>0.27545455000000002</v>
      </c>
      <c r="N74" s="53">
        <v>0.3351364</v>
      </c>
      <c r="O74" s="7"/>
    </row>
    <row r="75" spans="1:15" ht="13" x14ac:dyDescent="0.15">
      <c r="A75" s="58">
        <v>42852</v>
      </c>
      <c r="B75" s="59" t="s">
        <v>201</v>
      </c>
      <c r="C75" s="60">
        <v>0.4236111111111111</v>
      </c>
      <c r="D75" s="60">
        <v>0.47222222222222221</v>
      </c>
      <c r="E75" s="52" t="s">
        <v>569</v>
      </c>
      <c r="F75" s="23">
        <v>1612340</v>
      </c>
      <c r="G75" s="7"/>
      <c r="H75" s="52" t="s">
        <v>569</v>
      </c>
      <c r="I75" s="23">
        <v>1612340</v>
      </c>
      <c r="J75" s="53">
        <v>0.635750005642573</v>
      </c>
      <c r="K75" s="53">
        <v>-0.33800000000000002</v>
      </c>
      <c r="L75" s="54">
        <v>0.42777777777777776</v>
      </c>
      <c r="M75" s="53">
        <v>0.29775000000000001</v>
      </c>
      <c r="N75" s="53">
        <v>0.32855284000000001</v>
      </c>
      <c r="O75" s="7"/>
    </row>
    <row r="76" spans="1:15" ht="13" x14ac:dyDescent="0.15">
      <c r="A76" s="50">
        <v>42853</v>
      </c>
      <c r="B76" s="7" t="s">
        <v>374</v>
      </c>
      <c r="C76" s="51">
        <v>0.47083333333333333</v>
      </c>
      <c r="D76" s="51">
        <v>0.49861111111111112</v>
      </c>
      <c r="E76" s="52" t="s">
        <v>616</v>
      </c>
      <c r="F76" s="23">
        <v>1612340</v>
      </c>
      <c r="G76" s="7"/>
      <c r="H76" s="52" t="s">
        <v>579</v>
      </c>
      <c r="I76" s="23">
        <v>1615680</v>
      </c>
      <c r="J76" s="53">
        <v>0.72842856815883095</v>
      </c>
      <c r="K76" s="53">
        <v>-0.26500000000000001</v>
      </c>
      <c r="L76" s="54">
        <v>0.47083333333333333</v>
      </c>
      <c r="M76" s="53">
        <v>0.46342855999999999</v>
      </c>
      <c r="N76" s="53">
        <v>0.50052613000000001</v>
      </c>
      <c r="O76" s="7"/>
    </row>
    <row r="77" spans="1:15" ht="13" x14ac:dyDescent="0.15">
      <c r="A77" s="58">
        <v>42853</v>
      </c>
      <c r="B77" s="59" t="s">
        <v>266</v>
      </c>
      <c r="C77" s="60">
        <v>0.44791666666666669</v>
      </c>
      <c r="D77" s="60">
        <v>0.50486111111111109</v>
      </c>
      <c r="E77" s="52" t="s">
        <v>570</v>
      </c>
      <c r="F77" s="23">
        <v>1611400</v>
      </c>
      <c r="G77" s="7"/>
      <c r="H77" s="52" t="s">
        <v>571</v>
      </c>
      <c r="I77" s="23">
        <v>1611400</v>
      </c>
      <c r="J77" s="53">
        <v>0.51628571748733498</v>
      </c>
      <c r="K77" s="53">
        <v>-0.28665000000000002</v>
      </c>
      <c r="L77" s="54">
        <v>0.44791666666666669</v>
      </c>
      <c r="M77" s="53">
        <v>0.22963571999999999</v>
      </c>
      <c r="N77" s="53">
        <v>0.31633784999999998</v>
      </c>
      <c r="O77" s="7"/>
    </row>
    <row r="78" spans="1:15" ht="13" x14ac:dyDescent="0.15">
      <c r="A78" s="58">
        <v>42853</v>
      </c>
      <c r="B78" s="59" t="s">
        <v>293</v>
      </c>
      <c r="C78" s="60">
        <v>0.3888888888888889</v>
      </c>
      <c r="D78" s="60">
        <v>0.44791666666666669</v>
      </c>
      <c r="E78" s="52" t="s">
        <v>590</v>
      </c>
      <c r="F78" s="23">
        <v>1617760</v>
      </c>
      <c r="G78" s="7"/>
      <c r="H78" s="52" t="s">
        <v>590</v>
      </c>
      <c r="I78" s="23">
        <v>1617760</v>
      </c>
      <c r="J78" s="53">
        <v>0.51321427524089802</v>
      </c>
      <c r="K78" s="53">
        <v>-0.502</v>
      </c>
      <c r="L78" s="54">
        <v>0.42638888888888887</v>
      </c>
      <c r="M78" s="53">
        <v>1.1214316E-2</v>
      </c>
      <c r="N78" s="53">
        <v>4.2202663000000001E-2</v>
      </c>
      <c r="O78" s="7"/>
    </row>
    <row r="79" spans="1:15" ht="13" x14ac:dyDescent="0.15">
      <c r="A79" s="50">
        <v>42860</v>
      </c>
      <c r="B79" s="7" t="s">
        <v>244</v>
      </c>
      <c r="C79" s="51">
        <v>0.38541666666666669</v>
      </c>
      <c r="D79" s="51">
        <v>0.45833333333333331</v>
      </c>
      <c r="E79" s="52" t="s">
        <v>580</v>
      </c>
      <c r="F79" s="23">
        <v>1612366</v>
      </c>
      <c r="G79" s="7"/>
      <c r="H79" s="52" t="s">
        <v>569</v>
      </c>
      <c r="I79" s="23">
        <v>1612340</v>
      </c>
      <c r="J79" s="53">
        <v>0.71729412850211605</v>
      </c>
      <c r="K79" s="53">
        <v>0.20599999999999999</v>
      </c>
      <c r="L79" s="54">
        <v>0.38541666666666669</v>
      </c>
      <c r="M79" s="53">
        <v>0.92329419999999995</v>
      </c>
      <c r="N79" s="53">
        <v>1.1795960999999999</v>
      </c>
      <c r="O79" s="7"/>
    </row>
    <row r="80" spans="1:15" ht="13" x14ac:dyDescent="0.15">
      <c r="A80" s="50">
        <v>42860</v>
      </c>
      <c r="B80" s="7" t="s">
        <v>394</v>
      </c>
      <c r="C80" s="51">
        <v>0.51041666666666663</v>
      </c>
      <c r="D80" s="51">
        <v>0.55208333333333337</v>
      </c>
      <c r="E80" s="52" t="s">
        <v>581</v>
      </c>
      <c r="F80" s="23">
        <v>1617760</v>
      </c>
      <c r="G80" s="7"/>
      <c r="H80" s="52" t="s">
        <v>582</v>
      </c>
      <c r="I80" s="23">
        <v>1617433</v>
      </c>
      <c r="J80" s="53">
        <v>0.49440000057220401</v>
      </c>
      <c r="K80" s="53">
        <v>1.0311300999999999</v>
      </c>
      <c r="L80" s="54">
        <v>0.55208333333333337</v>
      </c>
      <c r="M80" s="53">
        <v>1.5255301000000001</v>
      </c>
      <c r="N80" s="53">
        <v>1.5402039999999999</v>
      </c>
      <c r="O80" s="7"/>
    </row>
    <row r="81" spans="1:15" ht="13" x14ac:dyDescent="0.15">
      <c r="A81" s="50">
        <v>42865</v>
      </c>
      <c r="B81" s="7" t="s">
        <v>230</v>
      </c>
      <c r="C81" s="51">
        <v>0.39583333333333331</v>
      </c>
      <c r="D81" s="51">
        <v>0.46527777777777779</v>
      </c>
      <c r="E81" s="52" t="s">
        <v>576</v>
      </c>
      <c r="F81" s="7" t="s">
        <v>577</v>
      </c>
      <c r="G81" s="7" t="s">
        <v>604</v>
      </c>
      <c r="H81" s="52" t="s">
        <v>579</v>
      </c>
      <c r="I81" s="23">
        <v>1615680</v>
      </c>
      <c r="J81" s="53">
        <v>0.59011764386120902</v>
      </c>
      <c r="K81" s="53">
        <v>2.2680001000000002E-2</v>
      </c>
      <c r="L81" s="54">
        <v>0.39583333333333331</v>
      </c>
      <c r="M81" s="53">
        <v>0.61279760000000005</v>
      </c>
      <c r="N81" s="53">
        <v>0.82727390000000001</v>
      </c>
      <c r="O81" s="7"/>
    </row>
    <row r="82" spans="1:15" ht="13" x14ac:dyDescent="0.15">
      <c r="A82" s="61">
        <v>42865</v>
      </c>
      <c r="B82" s="62" t="s">
        <v>467</v>
      </c>
      <c r="C82" s="63">
        <v>0.36319444444444443</v>
      </c>
      <c r="D82" s="63">
        <v>0.37083333333333335</v>
      </c>
      <c r="E82" s="52" t="s">
        <v>617</v>
      </c>
      <c r="F82" s="23">
        <v>1615680</v>
      </c>
      <c r="G82" s="7"/>
      <c r="H82" s="52" t="s">
        <v>579</v>
      </c>
      <c r="I82" s="23">
        <v>1615680</v>
      </c>
      <c r="J82" s="53">
        <v>0.44400000572204501</v>
      </c>
      <c r="K82" s="53">
        <v>-0.10854000599999999</v>
      </c>
      <c r="L82" s="54">
        <v>0.36319444444444443</v>
      </c>
      <c r="M82" s="53">
        <v>0.33545999999999998</v>
      </c>
      <c r="N82" s="53">
        <v>0.34706998</v>
      </c>
      <c r="O82" s="7"/>
    </row>
    <row r="83" spans="1:15" ht="13" x14ac:dyDescent="0.15">
      <c r="A83" s="50">
        <v>42866</v>
      </c>
      <c r="B83" s="7" t="s">
        <v>400</v>
      </c>
      <c r="C83" s="51">
        <v>0.36805555555555558</v>
      </c>
      <c r="D83" s="51">
        <v>0.41319444444444442</v>
      </c>
      <c r="E83" s="52" t="s">
        <v>618</v>
      </c>
      <c r="F83" s="23">
        <v>1611347</v>
      </c>
      <c r="G83" s="7"/>
      <c r="H83" s="52" t="s">
        <v>571</v>
      </c>
      <c r="I83" s="23">
        <v>1611400</v>
      </c>
      <c r="J83" s="53">
        <v>0.213454545898871</v>
      </c>
      <c r="K83" s="53">
        <v>-0.27</v>
      </c>
      <c r="L83" s="54">
        <v>0.37847222222222221</v>
      </c>
      <c r="M83" s="53">
        <v>-5.6545466000000003E-2</v>
      </c>
      <c r="N83" s="53">
        <v>-4.0530305000000003E-2</v>
      </c>
      <c r="O83" s="7"/>
    </row>
    <row r="84" spans="1:15" ht="13" x14ac:dyDescent="0.15">
      <c r="A84" s="50">
        <v>42866</v>
      </c>
      <c r="B84" s="7" t="s">
        <v>244</v>
      </c>
      <c r="C84" s="51">
        <v>0.38541666666666669</v>
      </c>
      <c r="D84" s="51">
        <v>0.45833333333333331</v>
      </c>
      <c r="E84" s="52" t="s">
        <v>580</v>
      </c>
      <c r="F84" s="23">
        <v>1612366</v>
      </c>
      <c r="G84" s="7"/>
      <c r="H84" s="52" t="s">
        <v>569</v>
      </c>
      <c r="I84" s="23">
        <v>1612340</v>
      </c>
      <c r="J84" s="53">
        <v>0.50394118884030503</v>
      </c>
      <c r="K84" s="53">
        <v>-6.9000000000000006E-2</v>
      </c>
      <c r="L84" s="54">
        <v>0.40902777777777777</v>
      </c>
      <c r="M84" s="53">
        <v>0.43494116999999999</v>
      </c>
      <c r="N84" s="53">
        <v>0.46418646000000002</v>
      </c>
      <c r="O84" s="7"/>
    </row>
    <row r="85" spans="1:15" ht="13" x14ac:dyDescent="0.15">
      <c r="A85" s="58">
        <v>42866</v>
      </c>
      <c r="B85" s="59" t="s">
        <v>219</v>
      </c>
      <c r="C85" s="60">
        <v>0.4</v>
      </c>
      <c r="D85" s="60">
        <v>0.45833333333333331</v>
      </c>
      <c r="E85" s="52" t="s">
        <v>572</v>
      </c>
      <c r="F85" s="7" t="s">
        <v>573</v>
      </c>
      <c r="G85" s="7" t="s">
        <v>574</v>
      </c>
      <c r="H85" s="52" t="s">
        <v>569</v>
      </c>
      <c r="I85" s="23">
        <v>1612340</v>
      </c>
      <c r="J85" s="53">
        <v>0.50042858294078196</v>
      </c>
      <c r="K85" s="53">
        <v>-9.5879993999999996E-2</v>
      </c>
      <c r="L85" s="54">
        <v>0.40902777777777777</v>
      </c>
      <c r="M85" s="53">
        <v>0.40454856</v>
      </c>
      <c r="N85" s="53">
        <v>0.44169491999999999</v>
      </c>
      <c r="O85" s="7"/>
    </row>
    <row r="86" spans="1:15" ht="13" x14ac:dyDescent="0.15">
      <c r="A86" s="58">
        <v>42866</v>
      </c>
      <c r="B86" s="59" t="s">
        <v>377</v>
      </c>
      <c r="C86" s="60">
        <v>0.36458333333333331</v>
      </c>
      <c r="D86" s="60">
        <v>0.44791666666666669</v>
      </c>
      <c r="E86" s="52" t="s">
        <v>576</v>
      </c>
      <c r="F86" s="7" t="s">
        <v>577</v>
      </c>
      <c r="G86" s="7" t="s">
        <v>605</v>
      </c>
      <c r="H86" s="52" t="s">
        <v>579</v>
      </c>
      <c r="I86" s="23">
        <v>1615680</v>
      </c>
      <c r="J86" s="53">
        <v>0.65514999628067005</v>
      </c>
      <c r="K86" s="53">
        <v>-0.15984000000000001</v>
      </c>
      <c r="L86" s="54">
        <v>0.36458333333333331</v>
      </c>
      <c r="M86" s="53">
        <v>0.49530999999999997</v>
      </c>
      <c r="N86" s="53">
        <v>0.64562189999999997</v>
      </c>
      <c r="O86" s="7"/>
    </row>
    <row r="87" spans="1:15" ht="13" x14ac:dyDescent="0.15">
      <c r="A87" s="50">
        <v>42867</v>
      </c>
      <c r="B87" s="7" t="s">
        <v>216</v>
      </c>
      <c r="C87" s="51">
        <v>0.45833333333333331</v>
      </c>
      <c r="D87" s="51">
        <v>0.51041666666666663</v>
      </c>
      <c r="E87" s="52" t="s">
        <v>569</v>
      </c>
      <c r="F87" s="23">
        <v>1612340</v>
      </c>
      <c r="G87" s="7"/>
      <c r="H87" s="52" t="s">
        <v>569</v>
      </c>
      <c r="I87" s="23">
        <v>1612340</v>
      </c>
      <c r="J87" s="53">
        <v>0.45584615606528001</v>
      </c>
      <c r="K87" s="53">
        <v>-3.5000000000000003E-2</v>
      </c>
      <c r="L87" s="54">
        <v>0.45833333333333331</v>
      </c>
      <c r="M87" s="53">
        <v>0.42084616000000002</v>
      </c>
      <c r="N87" s="53">
        <v>0.54820139999999995</v>
      </c>
      <c r="O87" s="7"/>
    </row>
    <row r="88" spans="1:15" ht="13" x14ac:dyDescent="0.15">
      <c r="A88" s="58">
        <v>42874</v>
      </c>
      <c r="B88" s="59" t="s">
        <v>400</v>
      </c>
      <c r="C88" s="60">
        <v>0.36249999999999999</v>
      </c>
      <c r="D88" s="60">
        <v>0.41111111111111109</v>
      </c>
      <c r="E88" s="52" t="s">
        <v>618</v>
      </c>
      <c r="F88" s="23">
        <v>1611347</v>
      </c>
      <c r="G88" s="7"/>
      <c r="H88" s="52" t="s">
        <v>571</v>
      </c>
      <c r="I88" s="23">
        <v>1611400</v>
      </c>
      <c r="J88" s="53">
        <v>0.200083335240681</v>
      </c>
      <c r="K88" s="53">
        <v>0.48299999999999998</v>
      </c>
      <c r="L88" s="54">
        <v>0.36249999999999999</v>
      </c>
      <c r="M88" s="53">
        <v>0.68308336000000003</v>
      </c>
      <c r="N88" s="53">
        <v>0.79011149999999997</v>
      </c>
      <c r="O88" s="7"/>
    </row>
    <row r="89" spans="1:15" ht="13" x14ac:dyDescent="0.15">
      <c r="A89" s="50">
        <v>42879</v>
      </c>
      <c r="B89" s="7" t="s">
        <v>247</v>
      </c>
      <c r="C89" s="51">
        <v>0.38541666666666669</v>
      </c>
      <c r="D89" s="51">
        <v>0.46875</v>
      </c>
      <c r="E89" s="52" t="s">
        <v>587</v>
      </c>
      <c r="F89" s="7" t="s">
        <v>588</v>
      </c>
      <c r="G89" s="7" t="s">
        <v>619</v>
      </c>
      <c r="H89" s="52" t="s">
        <v>590</v>
      </c>
      <c r="I89" s="23">
        <v>1617760</v>
      </c>
      <c r="J89" s="53">
        <v>0.68979999423027005</v>
      </c>
      <c r="K89" s="53">
        <v>-0.22800000000000001</v>
      </c>
      <c r="L89" s="54">
        <v>0.38541666666666669</v>
      </c>
      <c r="M89" s="53">
        <v>0.46180004000000002</v>
      </c>
      <c r="N89" s="53">
        <v>1.0796264</v>
      </c>
      <c r="O89" s="7"/>
    </row>
    <row r="90" spans="1:15" ht="13" x14ac:dyDescent="0.15">
      <c r="A90" s="50">
        <v>42908</v>
      </c>
      <c r="B90" s="7" t="s">
        <v>246</v>
      </c>
      <c r="C90" s="51">
        <v>0.31944444444444442</v>
      </c>
      <c r="D90" s="51">
        <v>0.39583333333333331</v>
      </c>
      <c r="E90" s="52" t="s">
        <v>575</v>
      </c>
      <c r="F90" s="23">
        <v>1612340</v>
      </c>
      <c r="G90" s="7"/>
      <c r="H90" s="52" t="s">
        <v>569</v>
      </c>
      <c r="I90" s="23">
        <v>1612340</v>
      </c>
      <c r="J90" s="53">
        <v>0.278666663500997</v>
      </c>
      <c r="K90" s="53">
        <v>-0.33300000000000002</v>
      </c>
      <c r="L90" s="54">
        <v>0.33124999999999999</v>
      </c>
      <c r="M90" s="53">
        <v>-5.4333329999999999E-2</v>
      </c>
      <c r="N90" s="53">
        <v>1.19459545E-2</v>
      </c>
      <c r="O90" s="7"/>
    </row>
    <row r="91" spans="1:15" ht="13" x14ac:dyDescent="0.15">
      <c r="A91" s="50">
        <v>42910</v>
      </c>
      <c r="B91" s="7" t="s">
        <v>219</v>
      </c>
      <c r="C91" s="51">
        <v>0.34722222222222221</v>
      </c>
      <c r="D91" s="51">
        <v>0.45833333333333331</v>
      </c>
      <c r="E91" s="52" t="s">
        <v>572</v>
      </c>
      <c r="F91" s="7" t="s">
        <v>573</v>
      </c>
      <c r="G91" s="7" t="s">
        <v>574</v>
      </c>
      <c r="H91" s="52" t="s">
        <v>569</v>
      </c>
      <c r="I91" s="23">
        <v>1612340</v>
      </c>
      <c r="J91" s="53">
        <v>0.209999998601583</v>
      </c>
      <c r="K91" s="53">
        <v>-0.27104</v>
      </c>
      <c r="L91" s="54">
        <v>0.3972222222222222</v>
      </c>
      <c r="M91" s="53">
        <v>-6.1039999999999997E-2</v>
      </c>
      <c r="N91" s="53">
        <v>3.6068326000000001E-3</v>
      </c>
      <c r="O91" s="7"/>
    </row>
    <row r="92" spans="1:15" ht="13" x14ac:dyDescent="0.15">
      <c r="A92" s="50">
        <v>42911</v>
      </c>
      <c r="B92" s="7" t="s">
        <v>250</v>
      </c>
      <c r="C92" s="51">
        <v>0.375</v>
      </c>
      <c r="D92" s="51">
        <v>0.45833333333333331</v>
      </c>
      <c r="E92" s="52" t="s">
        <v>609</v>
      </c>
      <c r="F92" s="23">
        <v>1612340</v>
      </c>
      <c r="G92" s="7"/>
      <c r="H92" s="52" t="s">
        <v>569</v>
      </c>
      <c r="I92" s="23">
        <v>1612340</v>
      </c>
      <c r="J92" s="53">
        <v>0.19220000058412501</v>
      </c>
      <c r="K92" s="53">
        <v>-0.17199999999999999</v>
      </c>
      <c r="L92" s="54">
        <v>0.42499999999999999</v>
      </c>
      <c r="M92" s="53">
        <v>2.0199999999999999E-2</v>
      </c>
      <c r="N92" s="53">
        <v>5.7390086E-2</v>
      </c>
      <c r="O92" s="7"/>
    </row>
    <row r="93" spans="1:15" ht="13" x14ac:dyDescent="0.15">
      <c r="A93" s="50">
        <v>43134</v>
      </c>
      <c r="B93" s="7" t="s">
        <v>201</v>
      </c>
      <c r="C93" s="51">
        <v>0.48958333333333331</v>
      </c>
      <c r="D93" s="51">
        <v>0.5625</v>
      </c>
      <c r="E93" s="52" t="s">
        <v>569</v>
      </c>
      <c r="F93" s="23">
        <v>1612340</v>
      </c>
      <c r="G93" s="7"/>
      <c r="H93" s="52" t="s">
        <v>569</v>
      </c>
      <c r="I93" s="23">
        <v>1612340</v>
      </c>
      <c r="J93" s="53">
        <v>0.42464706301689098</v>
      </c>
      <c r="K93" s="53">
        <v>-0.109</v>
      </c>
      <c r="L93" s="54">
        <v>0.54166666666666663</v>
      </c>
      <c r="M93" s="53">
        <v>0.31564706999999997</v>
      </c>
      <c r="N93" s="53">
        <v>0.35789236000000002</v>
      </c>
      <c r="O93" s="7"/>
    </row>
    <row r="94" spans="1:15" ht="13" x14ac:dyDescent="0.15">
      <c r="A94" s="61">
        <v>43147</v>
      </c>
      <c r="B94" s="62" t="s">
        <v>201</v>
      </c>
      <c r="C94" s="63">
        <v>0.45833333333333331</v>
      </c>
      <c r="D94" s="63">
        <v>0.52083333333333337</v>
      </c>
      <c r="E94" s="52" t="s">
        <v>569</v>
      </c>
      <c r="F94" s="23">
        <v>1612340</v>
      </c>
      <c r="G94" s="7"/>
      <c r="H94" s="52" t="s">
        <v>569</v>
      </c>
      <c r="I94" s="23">
        <v>1612340</v>
      </c>
      <c r="J94" s="53">
        <v>0.440400000413258</v>
      </c>
      <c r="K94" s="53">
        <v>-3.9E-2</v>
      </c>
      <c r="L94" s="54">
        <v>0.47291666666666665</v>
      </c>
      <c r="M94" s="53">
        <v>0.40139999999999998</v>
      </c>
      <c r="N94" s="53">
        <v>0.43104832999999998</v>
      </c>
      <c r="O94" s="7"/>
    </row>
    <row r="95" spans="1:15" ht="13" x14ac:dyDescent="0.15">
      <c r="A95" s="50">
        <v>43148</v>
      </c>
      <c r="B95" s="7" t="s">
        <v>244</v>
      </c>
      <c r="C95" s="51">
        <v>0.49861111111111112</v>
      </c>
      <c r="D95" s="51">
        <v>0.56874999999999998</v>
      </c>
      <c r="E95" s="52" t="s">
        <v>580</v>
      </c>
      <c r="F95" s="23">
        <v>1612366</v>
      </c>
      <c r="G95" s="7"/>
      <c r="H95" s="52" t="s">
        <v>569</v>
      </c>
      <c r="I95" s="23">
        <v>1612340</v>
      </c>
      <c r="J95" s="53">
        <v>0.329352939830106</v>
      </c>
      <c r="K95" s="53">
        <v>1.0999999999999999E-2</v>
      </c>
      <c r="L95" s="54">
        <v>0.49861111111111112</v>
      </c>
      <c r="M95" s="53">
        <v>0.34035294999999999</v>
      </c>
      <c r="N95" s="53">
        <v>0.42113729999999999</v>
      </c>
      <c r="O95" s="7"/>
    </row>
    <row r="96" spans="1:15" ht="13" x14ac:dyDescent="0.15">
      <c r="A96" s="55">
        <v>43160</v>
      </c>
      <c r="B96" s="56" t="s">
        <v>219</v>
      </c>
      <c r="C96" s="57">
        <v>0.375</v>
      </c>
      <c r="D96" s="57">
        <v>0.4513888888888889</v>
      </c>
      <c r="E96" s="52" t="s">
        <v>572</v>
      </c>
      <c r="F96" s="7" t="s">
        <v>573</v>
      </c>
      <c r="G96" s="7" t="s">
        <v>574</v>
      </c>
      <c r="H96" s="52" t="s">
        <v>569</v>
      </c>
      <c r="I96" s="23">
        <v>1612340</v>
      </c>
      <c r="J96" s="53">
        <v>0.25484210958606301</v>
      </c>
      <c r="K96" s="53">
        <v>-0.1787</v>
      </c>
      <c r="L96" s="54">
        <v>0.44305555555555554</v>
      </c>
      <c r="M96" s="53">
        <v>7.6142100000000004E-2</v>
      </c>
      <c r="N96" s="53">
        <v>0.16377199000000001</v>
      </c>
      <c r="O96" s="7"/>
    </row>
    <row r="97" spans="1:15" ht="13" x14ac:dyDescent="0.15">
      <c r="A97" s="50">
        <v>43160</v>
      </c>
      <c r="B97" s="7" t="s">
        <v>233</v>
      </c>
      <c r="C97" s="51">
        <v>0.39583333333333331</v>
      </c>
      <c r="D97" s="51">
        <v>0.43888888888888888</v>
      </c>
      <c r="E97" s="52" t="s">
        <v>586</v>
      </c>
      <c r="F97" s="23">
        <v>1612340</v>
      </c>
      <c r="G97" s="7"/>
      <c r="H97" s="52" t="s">
        <v>579</v>
      </c>
      <c r="I97" s="23">
        <v>1615680</v>
      </c>
      <c r="J97" s="53">
        <v>0.16600000858306799</v>
      </c>
      <c r="K97" s="53">
        <v>-0.2</v>
      </c>
      <c r="L97" s="54">
        <v>0.43611111111111112</v>
      </c>
      <c r="M97" s="53">
        <v>-3.3999993999999999E-2</v>
      </c>
      <c r="N97" s="53">
        <v>6.3809619999999996E-3</v>
      </c>
      <c r="O97" s="7"/>
    </row>
    <row r="98" spans="1:15" ht="13" x14ac:dyDescent="0.15">
      <c r="A98" s="50">
        <v>43163</v>
      </c>
      <c r="B98" s="7" t="s">
        <v>293</v>
      </c>
      <c r="C98" s="51">
        <v>0.42708333333333331</v>
      </c>
      <c r="D98" s="51">
        <v>0.53125</v>
      </c>
      <c r="E98" s="52" t="s">
        <v>590</v>
      </c>
      <c r="F98" s="23">
        <v>1617760</v>
      </c>
      <c r="G98" s="7"/>
      <c r="H98" s="52" t="s">
        <v>590</v>
      </c>
      <c r="I98" s="23">
        <v>1617760</v>
      </c>
      <c r="J98" s="53">
        <v>0.13440000116825099</v>
      </c>
      <c r="K98" s="53">
        <v>-7.5999999999999998E-2</v>
      </c>
      <c r="L98" s="54">
        <v>0.46180555555555558</v>
      </c>
      <c r="M98" s="53">
        <v>5.8399998000000002E-2</v>
      </c>
      <c r="N98" s="53">
        <v>0.14971124</v>
      </c>
      <c r="O98" s="7"/>
    </row>
    <row r="99" spans="1:15" ht="13" x14ac:dyDescent="0.15">
      <c r="A99" s="58">
        <v>43175</v>
      </c>
      <c r="B99" s="59" t="s">
        <v>230</v>
      </c>
      <c r="C99" s="60">
        <v>0.41666666666666669</v>
      </c>
      <c r="D99" s="60">
        <v>0.5</v>
      </c>
      <c r="E99" s="52" t="s">
        <v>576</v>
      </c>
      <c r="F99" s="7" t="s">
        <v>577</v>
      </c>
      <c r="G99" s="7" t="s">
        <v>604</v>
      </c>
      <c r="H99" s="52" t="s">
        <v>579</v>
      </c>
      <c r="I99" s="23">
        <v>1615680</v>
      </c>
      <c r="J99" s="53">
        <v>0.23574998974800099</v>
      </c>
      <c r="K99" s="53">
        <v>0.22625999999999999</v>
      </c>
      <c r="L99" s="54">
        <v>0.41666666666666669</v>
      </c>
      <c r="M99" s="53">
        <v>0.46200999999999998</v>
      </c>
      <c r="N99" s="53">
        <v>0.65965443999999995</v>
      </c>
      <c r="O99" s="7"/>
    </row>
    <row r="100" spans="1:15" ht="13" x14ac:dyDescent="0.15">
      <c r="A100" s="50">
        <v>43207</v>
      </c>
      <c r="B100" s="7" t="s">
        <v>244</v>
      </c>
      <c r="C100" s="51">
        <v>0.38541666666666669</v>
      </c>
      <c r="D100" s="51">
        <v>0.44444444444444442</v>
      </c>
      <c r="E100" s="52" t="s">
        <v>580</v>
      </c>
      <c r="F100" s="23">
        <v>1612366</v>
      </c>
      <c r="G100" s="7"/>
      <c r="H100" s="52" t="s">
        <v>569</v>
      </c>
      <c r="I100" s="23">
        <v>1612340</v>
      </c>
      <c r="J100" s="53">
        <v>0.19164285595927899</v>
      </c>
      <c r="K100" s="53">
        <v>-0.154</v>
      </c>
      <c r="L100" s="54">
        <v>0.44444444444444442</v>
      </c>
      <c r="M100" s="53">
        <v>3.7642849999999999E-2</v>
      </c>
      <c r="N100" s="53">
        <v>0.11334053400000001</v>
      </c>
      <c r="O100" s="7"/>
    </row>
    <row r="101" spans="1:15" ht="13" x14ac:dyDescent="0.15">
      <c r="A101" s="58">
        <v>43208</v>
      </c>
      <c r="B101" s="59" t="s">
        <v>515</v>
      </c>
      <c r="C101" s="60">
        <v>0.41111111111111109</v>
      </c>
      <c r="D101" s="60">
        <v>0.4513888888888889</v>
      </c>
      <c r="E101" s="52" t="s">
        <v>620</v>
      </c>
      <c r="F101" s="23">
        <v>1617760</v>
      </c>
      <c r="G101" s="7"/>
      <c r="H101" s="52" t="s">
        <v>590</v>
      </c>
      <c r="I101" s="23">
        <v>1617760</v>
      </c>
      <c r="J101" s="53">
        <v>0.24249999672174399</v>
      </c>
      <c r="K101" s="53">
        <v>-0.372</v>
      </c>
      <c r="L101" s="54">
        <v>0.43402777777777779</v>
      </c>
      <c r="M101" s="53">
        <v>-0.12950001999999999</v>
      </c>
      <c r="N101" s="53">
        <v>-0.11726271000000001</v>
      </c>
      <c r="O101" s="7"/>
    </row>
    <row r="102" spans="1:15" ht="13" x14ac:dyDescent="0.15">
      <c r="A102" s="58">
        <v>43211</v>
      </c>
      <c r="B102" s="59" t="s">
        <v>293</v>
      </c>
      <c r="C102" s="60">
        <v>0.47916666666666669</v>
      </c>
      <c r="D102" s="60">
        <v>0.54166666666666663</v>
      </c>
      <c r="E102" s="52" t="s">
        <v>590</v>
      </c>
      <c r="F102" s="23">
        <v>1617760</v>
      </c>
      <c r="G102" s="7"/>
      <c r="H102" s="52" t="s">
        <v>590</v>
      </c>
      <c r="I102" s="23">
        <v>1617760</v>
      </c>
      <c r="J102" s="53">
        <v>0.18139999806880899</v>
      </c>
      <c r="K102" s="53">
        <v>6.9000000000000006E-2</v>
      </c>
      <c r="L102" s="54">
        <v>0.53194444444444444</v>
      </c>
      <c r="M102" s="53">
        <v>0.25040000000000001</v>
      </c>
      <c r="N102" s="53">
        <v>0.28577363</v>
      </c>
      <c r="O102" s="7"/>
    </row>
    <row r="103" spans="1:15" ht="13" x14ac:dyDescent="0.15">
      <c r="A103" s="50">
        <v>43212</v>
      </c>
      <c r="B103" s="7" t="s">
        <v>293</v>
      </c>
      <c r="C103" s="51">
        <v>0.5541666666666667</v>
      </c>
      <c r="D103" s="51">
        <v>0.64583333333333337</v>
      </c>
      <c r="E103" s="52" t="s">
        <v>590</v>
      </c>
      <c r="F103" s="23">
        <v>1617760</v>
      </c>
      <c r="G103" s="7"/>
      <c r="H103" s="52" t="s">
        <v>590</v>
      </c>
      <c r="I103" s="23">
        <v>1617760</v>
      </c>
      <c r="J103" s="53">
        <v>0.30049999329176802</v>
      </c>
      <c r="K103" s="53">
        <v>0.26300000000000001</v>
      </c>
      <c r="L103" s="54">
        <v>0.59097222222222223</v>
      </c>
      <c r="M103" s="53">
        <v>0.56350005000000003</v>
      </c>
      <c r="N103" s="53">
        <v>0.59065040000000002</v>
      </c>
      <c r="O103" s="7"/>
    </row>
    <row r="104" spans="1:15" ht="13" x14ac:dyDescent="0.15">
      <c r="A104" s="58">
        <v>43213</v>
      </c>
      <c r="B104" s="59" t="s">
        <v>219</v>
      </c>
      <c r="C104" s="60">
        <v>0.33333333333333331</v>
      </c>
      <c r="D104" s="60">
        <v>0.45833333333333331</v>
      </c>
      <c r="E104" s="52" t="s">
        <v>572</v>
      </c>
      <c r="F104" s="7" t="s">
        <v>573</v>
      </c>
      <c r="G104" s="7" t="s">
        <v>574</v>
      </c>
      <c r="H104" s="52" t="s">
        <v>569</v>
      </c>
      <c r="I104" s="23">
        <v>1612340</v>
      </c>
      <c r="J104" s="53">
        <v>6.5833332637945802E-2</v>
      </c>
      <c r="K104" s="53">
        <v>0.12062</v>
      </c>
      <c r="L104" s="54">
        <v>0.33333333333333331</v>
      </c>
      <c r="M104" s="53">
        <v>0.18645333</v>
      </c>
      <c r="N104" s="53">
        <v>0.44951874000000003</v>
      </c>
      <c r="O104" s="7"/>
    </row>
    <row r="105" spans="1:15" ht="13" x14ac:dyDescent="0.15">
      <c r="A105" s="50">
        <v>43214</v>
      </c>
      <c r="B105" s="7" t="s">
        <v>244</v>
      </c>
      <c r="C105" s="51">
        <v>0.375</v>
      </c>
      <c r="D105" s="51">
        <v>0.44444444444444442</v>
      </c>
      <c r="E105" s="52" t="s">
        <v>580</v>
      </c>
      <c r="F105" s="23">
        <v>1612366</v>
      </c>
      <c r="G105" s="7"/>
      <c r="H105" s="52" t="s">
        <v>569</v>
      </c>
      <c r="I105" s="23">
        <v>1612340</v>
      </c>
      <c r="J105" s="53">
        <v>8.0176476170034899E-2</v>
      </c>
      <c r="K105" s="53">
        <v>0.158</v>
      </c>
      <c r="L105" s="54">
        <v>0.375</v>
      </c>
      <c r="M105" s="53">
        <v>0.23817648</v>
      </c>
      <c r="N105" s="53">
        <v>0.43758239999999998</v>
      </c>
      <c r="O105" s="7"/>
    </row>
    <row r="106" spans="1:15" ht="13" x14ac:dyDescent="0.15">
      <c r="A106" s="55">
        <v>43214</v>
      </c>
      <c r="B106" s="56" t="s">
        <v>201</v>
      </c>
      <c r="C106" s="57">
        <v>0.38541666666666669</v>
      </c>
      <c r="D106" s="57">
        <v>0.40972222222222221</v>
      </c>
      <c r="E106" s="52" t="s">
        <v>569</v>
      </c>
      <c r="F106" s="23">
        <v>1612340</v>
      </c>
      <c r="G106" s="7"/>
      <c r="H106" s="52" t="s">
        <v>569</v>
      </c>
      <c r="I106" s="23">
        <v>1612340</v>
      </c>
      <c r="J106" s="53">
        <v>7.0000005265076895E-2</v>
      </c>
      <c r="K106" s="53">
        <v>0.222</v>
      </c>
      <c r="L106" s="54">
        <v>0.38541666666666669</v>
      </c>
      <c r="M106" s="53">
        <v>0.29199999999999998</v>
      </c>
      <c r="N106" s="53">
        <v>0.36747220000000003</v>
      </c>
      <c r="O106" s="7"/>
    </row>
    <row r="107" spans="1:15" ht="13" x14ac:dyDescent="0.15">
      <c r="A107" s="50">
        <v>43215</v>
      </c>
      <c r="B107" s="7" t="s">
        <v>340</v>
      </c>
      <c r="C107" s="51">
        <v>0.31597222222222221</v>
      </c>
      <c r="D107" s="51">
        <v>0.34375</v>
      </c>
      <c r="E107" s="52" t="s">
        <v>581</v>
      </c>
      <c r="F107" s="23">
        <v>1617760</v>
      </c>
      <c r="G107" s="7"/>
      <c r="H107" s="52" t="s">
        <v>582</v>
      </c>
      <c r="I107" s="23">
        <v>1617433</v>
      </c>
      <c r="J107" s="53">
        <v>0.43957142744745498</v>
      </c>
      <c r="K107" s="53">
        <v>0.10586001</v>
      </c>
      <c r="L107" s="54">
        <v>0.31597222222222221</v>
      </c>
      <c r="M107" s="53">
        <v>0.54543143999999999</v>
      </c>
      <c r="N107" s="53">
        <v>0.59097509999999998</v>
      </c>
      <c r="O107" s="7"/>
    </row>
    <row r="108" spans="1:15" ht="13" x14ac:dyDescent="0.15">
      <c r="A108" s="50">
        <v>43216</v>
      </c>
      <c r="B108" s="7" t="s">
        <v>329</v>
      </c>
      <c r="C108" s="51">
        <v>0.39583333333333331</v>
      </c>
      <c r="D108" s="51">
        <v>0.4236111111111111</v>
      </c>
      <c r="E108" s="52" t="s">
        <v>608</v>
      </c>
      <c r="F108" s="23">
        <v>1612340</v>
      </c>
      <c r="G108" s="7"/>
      <c r="H108" s="52" t="s">
        <v>579</v>
      </c>
      <c r="I108" s="23">
        <v>1615680</v>
      </c>
      <c r="J108" s="53">
        <v>4.5142854963030103E-2</v>
      </c>
      <c r="K108" s="53">
        <v>-7.0000000000000001E-3</v>
      </c>
      <c r="L108" s="54">
        <v>0.39583333333333331</v>
      </c>
      <c r="M108" s="53">
        <v>3.8142856000000003E-2</v>
      </c>
      <c r="N108" s="53">
        <v>0.13326481000000001</v>
      </c>
      <c r="O108" s="7"/>
    </row>
    <row r="109" spans="1:15" ht="13" x14ac:dyDescent="0.15">
      <c r="A109" s="58">
        <v>43217</v>
      </c>
      <c r="B109" s="59" t="s">
        <v>377</v>
      </c>
      <c r="C109" s="60">
        <v>0.4284722222222222</v>
      </c>
      <c r="D109" s="60">
        <v>0.47361111111111109</v>
      </c>
      <c r="E109" s="52" t="s">
        <v>576</v>
      </c>
      <c r="F109" s="7" t="s">
        <v>577</v>
      </c>
      <c r="G109" s="7" t="s">
        <v>605</v>
      </c>
      <c r="H109" s="52" t="s">
        <v>579</v>
      </c>
      <c r="I109" s="23">
        <v>1615680</v>
      </c>
      <c r="J109" s="53">
        <v>0.158363645726984</v>
      </c>
      <c r="K109" s="53">
        <v>0.48546</v>
      </c>
      <c r="L109" s="54">
        <v>0.4284722222222222</v>
      </c>
      <c r="M109" s="53">
        <v>0.64382360000000005</v>
      </c>
      <c r="N109" s="53">
        <v>0.78366727000000003</v>
      </c>
      <c r="O109" s="7"/>
    </row>
    <row r="110" spans="1:15" ht="13" x14ac:dyDescent="0.15">
      <c r="A110" s="58">
        <v>43219</v>
      </c>
      <c r="B110" s="59" t="s">
        <v>374</v>
      </c>
      <c r="C110" s="60">
        <v>0.35625000000000001</v>
      </c>
      <c r="D110" s="60">
        <v>0.44791666666666669</v>
      </c>
      <c r="E110" s="52" t="s">
        <v>616</v>
      </c>
      <c r="F110" s="23">
        <v>1612340</v>
      </c>
      <c r="G110" s="7"/>
      <c r="H110" s="52" t="s">
        <v>579</v>
      </c>
      <c r="I110" s="23">
        <v>1615680</v>
      </c>
      <c r="J110" s="53">
        <v>4.6954544091766498E-2</v>
      </c>
      <c r="K110" s="53">
        <v>-0.23300000000000001</v>
      </c>
      <c r="L110" s="54">
        <v>0.38958333333333334</v>
      </c>
      <c r="M110" s="53">
        <v>-0.18604545</v>
      </c>
      <c r="N110" s="53">
        <v>-0.13694772</v>
      </c>
      <c r="O110" s="7"/>
    </row>
    <row r="111" spans="1:15" ht="13" x14ac:dyDescent="0.15">
      <c r="A111" s="58">
        <v>43221</v>
      </c>
      <c r="B111" s="59" t="s">
        <v>456</v>
      </c>
      <c r="C111" s="60">
        <v>0.38541666666666669</v>
      </c>
      <c r="D111" s="60">
        <v>0.44097222222222221</v>
      </c>
      <c r="E111" s="52" t="s">
        <v>621</v>
      </c>
      <c r="F111" s="23">
        <v>1612480</v>
      </c>
      <c r="G111" s="7"/>
      <c r="H111" s="52" t="s">
        <v>594</v>
      </c>
      <c r="I111" s="23">
        <v>1612480</v>
      </c>
      <c r="J111" s="53">
        <v>0.11130769034990801</v>
      </c>
      <c r="K111" s="53">
        <v>-0.24374999</v>
      </c>
      <c r="L111" s="54">
        <v>0.38541666666666669</v>
      </c>
      <c r="M111" s="53">
        <v>-0.13244230000000001</v>
      </c>
      <c r="N111" s="53">
        <v>-3.7451570000000003E-2</v>
      </c>
      <c r="O111" s="7"/>
    </row>
    <row r="112" spans="1:15" ht="13" x14ac:dyDescent="0.15">
      <c r="A112" s="58">
        <v>43222</v>
      </c>
      <c r="B112" s="59" t="s">
        <v>216</v>
      </c>
      <c r="C112" s="60">
        <v>0.38541666666666669</v>
      </c>
      <c r="D112" s="60">
        <v>0.4375</v>
      </c>
      <c r="E112" s="52" t="s">
        <v>569</v>
      </c>
      <c r="F112" s="23">
        <v>1612340</v>
      </c>
      <c r="G112" s="7"/>
      <c r="H112" s="52" t="s">
        <v>569</v>
      </c>
      <c r="I112" s="23">
        <v>1612340</v>
      </c>
      <c r="J112" s="53">
        <v>0.13975000071028801</v>
      </c>
      <c r="K112" s="53">
        <v>-8.7999999999999995E-2</v>
      </c>
      <c r="L112" s="54">
        <v>0.4375</v>
      </c>
      <c r="M112" s="53">
        <v>5.1750004000000002E-2</v>
      </c>
      <c r="N112" s="53">
        <v>0.10688158</v>
      </c>
      <c r="O112" s="7"/>
    </row>
    <row r="113" spans="1:15" ht="13" x14ac:dyDescent="0.15">
      <c r="A113" s="50">
        <v>43230</v>
      </c>
      <c r="B113" s="7" t="s">
        <v>201</v>
      </c>
      <c r="C113" s="51">
        <v>0.3611111111111111</v>
      </c>
      <c r="D113" s="51">
        <v>0.40277777777777779</v>
      </c>
      <c r="E113" s="52" t="s">
        <v>569</v>
      </c>
      <c r="F113" s="23">
        <v>1612340</v>
      </c>
      <c r="G113" s="7"/>
      <c r="H113" s="52" t="s">
        <v>569</v>
      </c>
      <c r="I113" s="23">
        <v>1612340</v>
      </c>
      <c r="J113" s="53">
        <v>-3.4499998390674497E-2</v>
      </c>
      <c r="K113" s="53">
        <v>0.13600000000000001</v>
      </c>
      <c r="L113" s="54">
        <v>0.3611111111111111</v>
      </c>
      <c r="M113" s="53">
        <v>0.101500005</v>
      </c>
      <c r="N113" s="53">
        <v>0.22559835</v>
      </c>
      <c r="O113" s="7"/>
    </row>
    <row r="114" spans="1:15" ht="13" x14ac:dyDescent="0.15">
      <c r="A114" s="50">
        <v>43231</v>
      </c>
      <c r="B114" s="7" t="s">
        <v>201</v>
      </c>
      <c r="C114" s="51">
        <v>0.375</v>
      </c>
      <c r="D114" s="51">
        <v>0.40972222222222221</v>
      </c>
      <c r="E114" s="52" t="s">
        <v>569</v>
      </c>
      <c r="F114" s="23">
        <v>1612340</v>
      </c>
      <c r="G114" s="7"/>
      <c r="H114" s="52" t="s">
        <v>569</v>
      </c>
      <c r="I114" s="23">
        <v>1612340</v>
      </c>
      <c r="J114" s="53">
        <v>-1.36666662163204E-2</v>
      </c>
      <c r="K114" s="53">
        <v>7.0999999999999994E-2</v>
      </c>
      <c r="L114" s="54">
        <v>0.375</v>
      </c>
      <c r="M114" s="53">
        <v>5.7333334999999999E-2</v>
      </c>
      <c r="N114" s="53">
        <v>0.17503922</v>
      </c>
      <c r="O114" s="7"/>
    </row>
    <row r="115" spans="1:15" ht="13" x14ac:dyDescent="0.15">
      <c r="A115" s="58">
        <v>43232</v>
      </c>
      <c r="B115" s="59" t="s">
        <v>374</v>
      </c>
      <c r="C115" s="60">
        <v>0.37152777777777779</v>
      </c>
      <c r="D115" s="60">
        <v>0.42083333333333334</v>
      </c>
      <c r="E115" s="52" t="s">
        <v>616</v>
      </c>
      <c r="F115" s="23">
        <v>1612340</v>
      </c>
      <c r="G115" s="7"/>
      <c r="H115" s="52" t="s">
        <v>579</v>
      </c>
      <c r="I115" s="23">
        <v>1615680</v>
      </c>
      <c r="J115" s="53">
        <v>0.107272711667147</v>
      </c>
      <c r="K115" s="53">
        <v>-0.10199999999999999</v>
      </c>
      <c r="L115" s="54">
        <v>0.37152777777777779</v>
      </c>
      <c r="M115" s="53">
        <v>5.2727162999999999E-3</v>
      </c>
      <c r="N115" s="53">
        <v>0.15917549</v>
      </c>
      <c r="O115" s="7"/>
    </row>
    <row r="116" spans="1:15" ht="13" x14ac:dyDescent="0.15">
      <c r="A116" s="55">
        <v>43234</v>
      </c>
      <c r="B116" s="56" t="s">
        <v>216</v>
      </c>
      <c r="C116" s="57">
        <v>0.38263888888888886</v>
      </c>
      <c r="D116" s="57">
        <v>0.41944444444444445</v>
      </c>
      <c r="E116" s="52" t="s">
        <v>569</v>
      </c>
      <c r="F116" s="23">
        <v>1612340</v>
      </c>
      <c r="G116" s="7"/>
      <c r="H116" s="52" t="s">
        <v>569</v>
      </c>
      <c r="I116" s="23">
        <v>1612340</v>
      </c>
      <c r="J116" s="53">
        <v>8.3444443013932904E-2</v>
      </c>
      <c r="K116" s="53">
        <v>-0.28899999999999998</v>
      </c>
      <c r="L116" s="54">
        <v>0.38263888888888886</v>
      </c>
      <c r="M116" s="53">
        <v>-0.20555556</v>
      </c>
      <c r="N116" s="53">
        <v>-0.15372222999999999</v>
      </c>
      <c r="O116" s="7"/>
    </row>
    <row r="117" spans="1:15" ht="13" x14ac:dyDescent="0.15">
      <c r="A117" s="58">
        <v>43235</v>
      </c>
      <c r="B117" s="59" t="s">
        <v>216</v>
      </c>
      <c r="C117" s="60">
        <v>0.38263888888888886</v>
      </c>
      <c r="D117" s="60">
        <v>0.40833333333333333</v>
      </c>
      <c r="E117" s="52" t="s">
        <v>569</v>
      </c>
      <c r="F117" s="23">
        <v>1612340</v>
      </c>
      <c r="G117" s="7"/>
      <c r="H117" s="52" t="s">
        <v>569</v>
      </c>
      <c r="I117" s="23">
        <v>1612340</v>
      </c>
      <c r="J117" s="53">
        <v>0.14950000494718499</v>
      </c>
      <c r="K117" s="53">
        <v>-0.315</v>
      </c>
      <c r="L117" s="54">
        <v>0.39097222222222222</v>
      </c>
      <c r="M117" s="53">
        <v>-0.16549999000000001</v>
      </c>
      <c r="N117" s="53">
        <v>-0.16231578999999999</v>
      </c>
      <c r="O117" s="7"/>
    </row>
    <row r="118" spans="1:15" ht="13" x14ac:dyDescent="0.15">
      <c r="A118" s="58">
        <v>43236</v>
      </c>
      <c r="B118" s="59" t="s">
        <v>259</v>
      </c>
      <c r="C118" s="60">
        <v>0.375</v>
      </c>
      <c r="D118" s="60">
        <v>0.41666666666666669</v>
      </c>
      <c r="E118" s="52" t="s">
        <v>590</v>
      </c>
      <c r="F118" s="23">
        <v>1617760</v>
      </c>
      <c r="G118" s="7"/>
      <c r="H118" s="52" t="s">
        <v>590</v>
      </c>
      <c r="I118" s="23">
        <v>1617760</v>
      </c>
      <c r="J118" s="53">
        <v>0.40000000894069598</v>
      </c>
      <c r="K118" s="53">
        <v>-0.56599999999999995</v>
      </c>
      <c r="L118" s="54">
        <v>0.38958333333333334</v>
      </c>
      <c r="M118" s="53">
        <v>-0.16599997999999999</v>
      </c>
      <c r="N118" s="53">
        <v>-0.15013114999999999</v>
      </c>
      <c r="O118" s="7"/>
    </row>
    <row r="119" spans="1:15" ht="13" x14ac:dyDescent="0.15">
      <c r="A119" s="50">
        <v>43236</v>
      </c>
      <c r="B119" s="7" t="s">
        <v>266</v>
      </c>
      <c r="C119" s="51">
        <v>0.40625</v>
      </c>
      <c r="D119" s="51">
        <v>0.45555555555555555</v>
      </c>
      <c r="E119" s="52" t="s">
        <v>570</v>
      </c>
      <c r="F119" s="23">
        <v>1611400</v>
      </c>
      <c r="G119" s="7"/>
      <c r="H119" s="52" t="s">
        <v>571</v>
      </c>
      <c r="I119" s="23">
        <v>1611400</v>
      </c>
      <c r="J119" s="53">
        <v>0.21175000319878201</v>
      </c>
      <c r="K119" s="53">
        <v>-0.31759003000000002</v>
      </c>
      <c r="L119" s="54">
        <v>0.40625</v>
      </c>
      <c r="M119" s="53">
        <v>-0.10584003</v>
      </c>
      <c r="N119" s="53">
        <v>-5.178348E-2</v>
      </c>
      <c r="O119" s="7"/>
    </row>
    <row r="120" spans="1:15" ht="13" x14ac:dyDescent="0.15">
      <c r="A120" s="58">
        <v>43237</v>
      </c>
      <c r="B120" s="59" t="s">
        <v>216</v>
      </c>
      <c r="C120" s="60">
        <v>0.375</v>
      </c>
      <c r="D120" s="60">
        <v>0.45833333333333331</v>
      </c>
      <c r="E120" s="52" t="s">
        <v>569</v>
      </c>
      <c r="F120" s="23">
        <v>1612340</v>
      </c>
      <c r="G120" s="7"/>
      <c r="H120" s="52" t="s">
        <v>569</v>
      </c>
      <c r="I120" s="23">
        <v>1612340</v>
      </c>
      <c r="J120" s="53">
        <v>0.14179999940097299</v>
      </c>
      <c r="K120" s="53">
        <v>-0.23499999999999999</v>
      </c>
      <c r="L120" s="54">
        <v>0.44236111111111109</v>
      </c>
      <c r="M120" s="53">
        <v>-9.3200000000000005E-2</v>
      </c>
      <c r="N120" s="53">
        <v>-2.9117352999999999E-2</v>
      </c>
      <c r="O120" s="7"/>
    </row>
    <row r="121" spans="1:15" ht="13" x14ac:dyDescent="0.15">
      <c r="A121" s="50">
        <v>43238</v>
      </c>
      <c r="B121" s="7" t="s">
        <v>201</v>
      </c>
      <c r="C121" s="51">
        <v>0.42708333333333331</v>
      </c>
      <c r="D121" s="51">
        <v>0.46736111111111112</v>
      </c>
      <c r="E121" s="52" t="s">
        <v>569</v>
      </c>
      <c r="F121" s="23">
        <v>1612340</v>
      </c>
      <c r="G121" s="7"/>
      <c r="H121" s="52" t="s">
        <v>569</v>
      </c>
      <c r="I121" s="23">
        <v>1612340</v>
      </c>
      <c r="J121" s="53">
        <v>4.1599999368190699E-2</v>
      </c>
      <c r="K121" s="53">
        <v>-0.11700000000000001</v>
      </c>
      <c r="L121" s="54">
        <v>0.46736111111111112</v>
      </c>
      <c r="M121" s="53">
        <v>-7.5399994999999997E-2</v>
      </c>
      <c r="N121" s="53">
        <v>-4.1383046999999999E-2</v>
      </c>
      <c r="O121" s="7"/>
    </row>
    <row r="122" spans="1:15" ht="13" x14ac:dyDescent="0.15">
      <c r="A122" s="55">
        <v>43238</v>
      </c>
      <c r="B122" s="56" t="s">
        <v>259</v>
      </c>
      <c r="C122" s="57">
        <v>0.3888888888888889</v>
      </c>
      <c r="D122" s="57">
        <v>0.41666666666666669</v>
      </c>
      <c r="E122" s="52" t="s">
        <v>590</v>
      </c>
      <c r="F122" s="23">
        <v>1617760</v>
      </c>
      <c r="G122" s="7"/>
      <c r="H122" s="52" t="s">
        <v>590</v>
      </c>
      <c r="I122" s="23">
        <v>1617760</v>
      </c>
      <c r="J122" s="53">
        <v>0.26883332928021703</v>
      </c>
      <c r="K122" s="53">
        <v>-0.27200000000000002</v>
      </c>
      <c r="L122" s="54">
        <v>0.41666666666666669</v>
      </c>
      <c r="M122" s="53">
        <v>-3.1666756000000001E-3</v>
      </c>
      <c r="N122" s="53">
        <v>6.839431E-2</v>
      </c>
      <c r="O122" s="7"/>
    </row>
    <row r="123" spans="1:15" ht="13" x14ac:dyDescent="0.15">
      <c r="A123" s="58">
        <v>43239</v>
      </c>
      <c r="B123" s="59" t="s">
        <v>369</v>
      </c>
      <c r="C123" s="60">
        <v>0.45694444444444443</v>
      </c>
      <c r="D123" s="60">
        <v>0.47569444444444442</v>
      </c>
      <c r="E123" s="52" t="s">
        <v>613</v>
      </c>
      <c r="F123" s="7" t="s">
        <v>614</v>
      </c>
      <c r="G123" s="7" t="s">
        <v>615</v>
      </c>
      <c r="H123" s="52" t="s">
        <v>571</v>
      </c>
      <c r="I123" s="23">
        <v>1611400</v>
      </c>
      <c r="J123" s="53">
        <v>0.13539999872446001</v>
      </c>
      <c r="K123" s="53">
        <v>-5.7210006000000001E-2</v>
      </c>
      <c r="L123" s="54">
        <v>0.47569444444444442</v>
      </c>
      <c r="M123" s="53">
        <v>7.8189990000000001E-2</v>
      </c>
      <c r="N123" s="53">
        <v>8.9893929999999997E-2</v>
      </c>
      <c r="O123" s="7"/>
    </row>
    <row r="124" spans="1:15" ht="13" x14ac:dyDescent="0.15">
      <c r="A124" s="58">
        <v>43241</v>
      </c>
      <c r="B124" s="59" t="s">
        <v>230</v>
      </c>
      <c r="C124" s="60">
        <v>0.46875</v>
      </c>
      <c r="D124" s="60">
        <v>0.54166666666666663</v>
      </c>
      <c r="E124" s="52" t="s">
        <v>576</v>
      </c>
      <c r="F124" s="7" t="s">
        <v>577</v>
      </c>
      <c r="G124" s="7" t="s">
        <v>604</v>
      </c>
      <c r="H124" s="52" t="s">
        <v>579</v>
      </c>
      <c r="I124" s="23">
        <v>1615680</v>
      </c>
      <c r="J124" s="53">
        <v>9.2117649667403198E-2</v>
      </c>
      <c r="K124" s="53">
        <v>0.21006</v>
      </c>
      <c r="L124" s="54">
        <v>0.52708333333333335</v>
      </c>
      <c r="M124" s="53">
        <v>0.30217767000000001</v>
      </c>
      <c r="N124" s="53">
        <v>0.31690027999999998</v>
      </c>
      <c r="O124" s="7"/>
    </row>
    <row r="125" spans="1:15" ht="13" x14ac:dyDescent="0.15">
      <c r="A125" s="55">
        <v>43311</v>
      </c>
      <c r="B125" s="56" t="s">
        <v>246</v>
      </c>
      <c r="C125" s="57">
        <v>0.39027777777777778</v>
      </c>
      <c r="D125" s="57">
        <v>0.44791666666666669</v>
      </c>
      <c r="E125" s="52" t="s">
        <v>575</v>
      </c>
      <c r="F125" s="23">
        <v>1612340</v>
      </c>
      <c r="G125" s="7"/>
      <c r="H125" s="52" t="s">
        <v>569</v>
      </c>
      <c r="I125" s="23">
        <v>1612340</v>
      </c>
      <c r="J125" s="53">
        <v>0.172357141971588</v>
      </c>
      <c r="K125" s="53">
        <v>0.26</v>
      </c>
      <c r="L125" s="54">
        <v>0.4465277777777778</v>
      </c>
      <c r="M125" s="53">
        <v>0.43235712999999998</v>
      </c>
      <c r="N125" s="53">
        <v>0.48258337000000001</v>
      </c>
      <c r="O125" s="7"/>
    </row>
    <row r="126" spans="1:15" ht="13" x14ac:dyDescent="0.15">
      <c r="A126" s="58">
        <v>43416</v>
      </c>
      <c r="B126" s="59" t="s">
        <v>216</v>
      </c>
      <c r="C126" s="60">
        <v>0.64236111111111116</v>
      </c>
      <c r="D126" s="60">
        <v>0.67013888888888884</v>
      </c>
      <c r="E126" s="52" t="s">
        <v>569</v>
      </c>
      <c r="F126" s="23">
        <v>1612340</v>
      </c>
      <c r="G126" s="7"/>
      <c r="H126" s="52" t="s">
        <v>569</v>
      </c>
      <c r="I126" s="23">
        <v>1612340</v>
      </c>
      <c r="J126" s="53">
        <v>0.156666671236356</v>
      </c>
      <c r="K126" s="53">
        <v>0.39600000000000002</v>
      </c>
      <c r="L126" s="54">
        <v>0.64236111111111116</v>
      </c>
      <c r="M126" s="53">
        <v>0.55266665999999998</v>
      </c>
      <c r="N126" s="53">
        <v>0.56810570000000005</v>
      </c>
      <c r="O126" s="7"/>
    </row>
    <row r="127" spans="1:15" ht="13" x14ac:dyDescent="0.15">
      <c r="A127" s="50">
        <v>43485</v>
      </c>
      <c r="B127" s="7" t="s">
        <v>201</v>
      </c>
      <c r="C127" s="51">
        <v>0.40625</v>
      </c>
      <c r="D127" s="51">
        <v>0.44791666666666669</v>
      </c>
      <c r="E127" s="52" t="s">
        <v>569</v>
      </c>
      <c r="F127" s="23">
        <v>1612340</v>
      </c>
      <c r="G127" s="7"/>
      <c r="H127" s="52" t="s">
        <v>569</v>
      </c>
      <c r="I127" s="23">
        <v>1612340</v>
      </c>
      <c r="J127" s="53">
        <v>0.219899997115135</v>
      </c>
      <c r="K127" s="53">
        <v>-4.2999999999999997E-2</v>
      </c>
      <c r="L127" s="54">
        <v>0.44791666666666669</v>
      </c>
      <c r="M127" s="53">
        <v>0.1769</v>
      </c>
      <c r="N127" s="53">
        <v>0.22840819000000001</v>
      </c>
      <c r="O127" s="7"/>
    </row>
    <row r="128" spans="1:15" ht="13" x14ac:dyDescent="0.15">
      <c r="A128" s="58">
        <v>43515</v>
      </c>
      <c r="B128" s="59" t="s">
        <v>244</v>
      </c>
      <c r="C128" s="60">
        <v>0.38541666666666669</v>
      </c>
      <c r="D128" s="60">
        <v>0.42708333333333331</v>
      </c>
      <c r="E128" s="52" t="s">
        <v>580</v>
      </c>
      <c r="F128" s="23">
        <v>1612366</v>
      </c>
      <c r="G128" s="7"/>
      <c r="H128" s="52" t="s">
        <v>569</v>
      </c>
      <c r="I128" s="23">
        <v>1612340</v>
      </c>
      <c r="J128" s="53">
        <v>6.0300000384449902E-2</v>
      </c>
      <c r="K128" s="53">
        <v>-9.0999999999999998E-2</v>
      </c>
      <c r="L128" s="54">
        <v>0.42708333333333331</v>
      </c>
      <c r="M128" s="53">
        <v>-3.0699997999999999E-2</v>
      </c>
      <c r="N128" s="53">
        <v>0.10623442399999999</v>
      </c>
      <c r="O128" s="7"/>
    </row>
    <row r="129" spans="1:15" ht="13" x14ac:dyDescent="0.15">
      <c r="A129" s="58">
        <v>43515</v>
      </c>
      <c r="B129" s="59" t="s">
        <v>266</v>
      </c>
      <c r="C129" s="60">
        <v>0.4201388888888889</v>
      </c>
      <c r="D129" s="60">
        <v>0.51041666666666663</v>
      </c>
      <c r="E129" s="52" t="s">
        <v>570</v>
      </c>
      <c r="F129" s="23">
        <v>1611400</v>
      </c>
      <c r="G129" s="7"/>
      <c r="H129" s="52" t="s">
        <v>571</v>
      </c>
      <c r="I129" s="23">
        <v>1611400</v>
      </c>
      <c r="J129" s="53">
        <v>0.18099999935789499</v>
      </c>
      <c r="K129" s="53">
        <v>3.5490002E-2</v>
      </c>
      <c r="L129" s="54">
        <v>0.4375</v>
      </c>
      <c r="M129" s="53">
        <v>0.21648999999999999</v>
      </c>
      <c r="N129" s="53">
        <v>0.27145817999999999</v>
      </c>
      <c r="O129" s="7"/>
    </row>
    <row r="130" spans="1:15" ht="13" x14ac:dyDescent="0.15">
      <c r="A130" s="58">
        <v>43516</v>
      </c>
      <c r="B130" s="59" t="s">
        <v>244</v>
      </c>
      <c r="C130" s="60">
        <v>0.39444444444444443</v>
      </c>
      <c r="D130" s="60">
        <v>0.47916666666666669</v>
      </c>
      <c r="E130" s="52" t="s">
        <v>580</v>
      </c>
      <c r="F130" s="23">
        <v>1612366</v>
      </c>
      <c r="G130" s="7"/>
      <c r="H130" s="52" t="s">
        <v>569</v>
      </c>
      <c r="I130" s="23">
        <v>1612340</v>
      </c>
      <c r="J130" s="53">
        <v>2.6599999424070101E-2</v>
      </c>
      <c r="K130" s="53">
        <v>-0.16800000000000001</v>
      </c>
      <c r="L130" s="54">
        <v>0.47847222222222224</v>
      </c>
      <c r="M130" s="53">
        <v>-0.1414</v>
      </c>
      <c r="N130" s="53">
        <v>5.0868289999999997E-2</v>
      </c>
      <c r="O130" s="7"/>
    </row>
    <row r="131" spans="1:15" ht="13" x14ac:dyDescent="0.15">
      <c r="A131" s="50">
        <v>43517</v>
      </c>
      <c r="B131" s="7" t="s">
        <v>440</v>
      </c>
      <c r="C131" s="51">
        <v>0.45833333333333331</v>
      </c>
      <c r="D131" s="51">
        <v>0.49027777777777776</v>
      </c>
      <c r="E131" s="52" t="s">
        <v>569</v>
      </c>
      <c r="F131" s="23">
        <v>1612340</v>
      </c>
      <c r="G131" s="7"/>
      <c r="H131" s="52" t="s">
        <v>569</v>
      </c>
      <c r="I131" s="23">
        <v>1612340</v>
      </c>
      <c r="J131" s="53">
        <v>4.2375000193714998E-2</v>
      </c>
      <c r="K131" s="53">
        <v>-0.20100000000000001</v>
      </c>
      <c r="L131" s="54">
        <v>0.49027777777777776</v>
      </c>
      <c r="M131" s="53">
        <v>-0.15862499999999999</v>
      </c>
      <c r="N131" s="53">
        <v>-0.106029265</v>
      </c>
      <c r="O131" s="7"/>
    </row>
    <row r="132" spans="1:15" ht="13" x14ac:dyDescent="0.15">
      <c r="A132" s="50">
        <v>43519</v>
      </c>
      <c r="B132" s="7" t="s">
        <v>266</v>
      </c>
      <c r="C132" s="51">
        <v>0.36875000000000002</v>
      </c>
      <c r="D132" s="51">
        <v>0.40625</v>
      </c>
      <c r="E132" s="52" t="s">
        <v>570</v>
      </c>
      <c r="F132" s="23">
        <v>1611400</v>
      </c>
      <c r="G132" s="7"/>
      <c r="H132" s="52" t="s">
        <v>571</v>
      </c>
      <c r="I132" s="23">
        <v>1611400</v>
      </c>
      <c r="J132" s="53">
        <v>-0.116222222646077</v>
      </c>
      <c r="K132" s="53">
        <v>0.54418003999999998</v>
      </c>
      <c r="L132" s="54">
        <v>0.40625</v>
      </c>
      <c r="M132" s="53">
        <v>0.4279578</v>
      </c>
      <c r="N132" s="53">
        <v>0.57026522999999996</v>
      </c>
      <c r="O132" s="7"/>
    </row>
    <row r="133" spans="1:15" ht="13" x14ac:dyDescent="0.15">
      <c r="A133" s="50">
        <v>43519</v>
      </c>
      <c r="B133" s="7" t="s">
        <v>266</v>
      </c>
      <c r="C133" s="51">
        <v>0.53472222222222221</v>
      </c>
      <c r="D133" s="51">
        <v>0.60416666666666663</v>
      </c>
      <c r="E133" s="52" t="s">
        <v>570</v>
      </c>
      <c r="F133" s="23">
        <v>1611400</v>
      </c>
      <c r="G133" s="7"/>
      <c r="H133" s="52" t="s">
        <v>571</v>
      </c>
      <c r="I133" s="23">
        <v>1611400</v>
      </c>
      <c r="J133" s="53">
        <v>-5.6250002817250701E-3</v>
      </c>
      <c r="K133" s="53">
        <v>-5.2780000000000001E-2</v>
      </c>
      <c r="L133" s="54">
        <v>0.53472222222222221</v>
      </c>
      <c r="M133" s="53">
        <v>-5.8404997E-2</v>
      </c>
      <c r="N133" s="53">
        <v>5.4391580000000004E-3</v>
      </c>
      <c r="O133" s="7"/>
    </row>
    <row r="134" spans="1:15" ht="13" x14ac:dyDescent="0.15">
      <c r="A134" s="50">
        <v>43520</v>
      </c>
      <c r="B134" s="7" t="s">
        <v>293</v>
      </c>
      <c r="C134" s="51">
        <v>0.55208333333333337</v>
      </c>
      <c r="D134" s="51">
        <v>0.59375</v>
      </c>
      <c r="E134" s="52" t="s">
        <v>590</v>
      </c>
      <c r="F134" s="23">
        <v>1617760</v>
      </c>
      <c r="G134" s="7"/>
      <c r="H134" s="52" t="s">
        <v>590</v>
      </c>
      <c r="I134" s="23">
        <v>1617760</v>
      </c>
      <c r="J134" s="53">
        <v>0.11769999936223</v>
      </c>
      <c r="K134" s="53">
        <v>5.3999999999999999E-2</v>
      </c>
      <c r="L134" s="54">
        <v>0.55208333333333337</v>
      </c>
      <c r="M134" s="53">
        <v>0.17169999999999999</v>
      </c>
      <c r="N134" s="53">
        <v>0.23574919</v>
      </c>
      <c r="O134" s="7"/>
    </row>
    <row r="135" spans="1:15" ht="13" x14ac:dyDescent="0.15">
      <c r="A135" s="55">
        <v>43525</v>
      </c>
      <c r="B135" s="56" t="s">
        <v>244</v>
      </c>
      <c r="C135" s="57">
        <v>0.38541666666666669</v>
      </c>
      <c r="D135" s="57">
        <v>0.47222222222222221</v>
      </c>
      <c r="E135" s="52" t="s">
        <v>580</v>
      </c>
      <c r="F135" s="23">
        <v>1612366</v>
      </c>
      <c r="G135" s="7"/>
      <c r="H135" s="52" t="s">
        <v>569</v>
      </c>
      <c r="I135" s="23">
        <v>1612340</v>
      </c>
      <c r="J135" s="53">
        <v>-1.42857148533775E-2</v>
      </c>
      <c r="K135" s="53">
        <v>0.191</v>
      </c>
      <c r="L135" s="54">
        <v>0.38541666666666669</v>
      </c>
      <c r="M135" s="53">
        <v>0.17671429</v>
      </c>
      <c r="N135" s="53">
        <v>0.24612700000000001</v>
      </c>
      <c r="O135" s="7"/>
    </row>
    <row r="136" spans="1:15" ht="13" x14ac:dyDescent="0.15">
      <c r="A136" s="55">
        <v>43528</v>
      </c>
      <c r="B136" s="56" t="s">
        <v>400</v>
      </c>
      <c r="C136" s="57">
        <v>0.39583333333333331</v>
      </c>
      <c r="D136" s="57">
        <v>0.44097222222222221</v>
      </c>
      <c r="E136" s="52" t="s">
        <v>618</v>
      </c>
      <c r="F136" s="23">
        <v>1611347</v>
      </c>
      <c r="G136" s="7"/>
      <c r="H136" s="52" t="s">
        <v>571</v>
      </c>
      <c r="I136" s="23">
        <v>1611400</v>
      </c>
      <c r="J136" s="53">
        <v>-6.67272724888541E-2</v>
      </c>
      <c r="K136" s="53">
        <v>0.111</v>
      </c>
      <c r="L136" s="54">
        <v>0.39652777777777776</v>
      </c>
      <c r="M136" s="53">
        <v>4.4272730000000003E-2</v>
      </c>
      <c r="N136" s="53">
        <v>6.8196975000000007E-2</v>
      </c>
      <c r="O136" s="7"/>
    </row>
    <row r="137" spans="1:15" ht="13" x14ac:dyDescent="0.15">
      <c r="A137" s="50">
        <v>43531</v>
      </c>
      <c r="B137" s="7" t="s">
        <v>266</v>
      </c>
      <c r="C137" s="51">
        <v>0.4375</v>
      </c>
      <c r="D137" s="51">
        <v>0.50208333333333333</v>
      </c>
      <c r="E137" s="52" t="s">
        <v>570</v>
      </c>
      <c r="F137" s="23">
        <v>1611400</v>
      </c>
      <c r="G137" s="7"/>
      <c r="H137" s="52" t="s">
        <v>571</v>
      </c>
      <c r="I137" s="23">
        <v>1611400</v>
      </c>
      <c r="J137" s="53">
        <v>-3.18125004414469E-2</v>
      </c>
      <c r="K137" s="53">
        <v>3.1850003000000002E-2</v>
      </c>
      <c r="L137" s="54">
        <v>0.44374999999999998</v>
      </c>
      <c r="M137" s="64">
        <v>3.7502497000000001E-5</v>
      </c>
      <c r="N137" s="53">
        <v>3.7570159999999998E-2</v>
      </c>
      <c r="O137" s="7"/>
    </row>
    <row r="138" spans="1:15" ht="13" x14ac:dyDescent="0.15">
      <c r="A138" s="55">
        <v>43531</v>
      </c>
      <c r="B138" s="56" t="s">
        <v>233</v>
      </c>
      <c r="C138" s="57">
        <v>0.43541666666666667</v>
      </c>
      <c r="D138" s="57">
        <v>0.47430555555555554</v>
      </c>
      <c r="E138" s="52" t="s">
        <v>586</v>
      </c>
      <c r="F138" s="23">
        <v>1612340</v>
      </c>
      <c r="G138" s="7"/>
      <c r="H138" s="52" t="s">
        <v>579</v>
      </c>
      <c r="I138" s="23">
        <v>1615680</v>
      </c>
      <c r="J138" s="53">
        <v>-3.3888886372248302E-2</v>
      </c>
      <c r="K138" s="53">
        <v>-6.6000000000000003E-2</v>
      </c>
      <c r="L138" s="54">
        <v>0.46319444444444446</v>
      </c>
      <c r="M138" s="53">
        <v>-9.9888889999999994E-2</v>
      </c>
      <c r="N138" s="53">
        <v>-8.7836259999999999E-2</v>
      </c>
      <c r="O138" s="7"/>
    </row>
    <row r="139" spans="1:15" ht="16" x14ac:dyDescent="0.2">
      <c r="A139" s="65">
        <v>43533</v>
      </c>
      <c r="B139" s="22" t="s">
        <v>244</v>
      </c>
      <c r="C139" s="38">
        <v>0.45277777777777778</v>
      </c>
      <c r="D139" s="38">
        <v>0.48194444444444445</v>
      </c>
      <c r="E139" s="52" t="s">
        <v>580</v>
      </c>
      <c r="F139" s="23">
        <v>1612366</v>
      </c>
      <c r="G139" s="7"/>
      <c r="H139" s="52" t="s">
        <v>569</v>
      </c>
      <c r="I139" s="23">
        <v>1612340</v>
      </c>
      <c r="J139" s="23">
        <v>1.8285714355962601E-2</v>
      </c>
      <c r="K139" s="23">
        <v>5.8000000000000003E-2</v>
      </c>
      <c r="L139" s="54">
        <v>0.48194444444444445</v>
      </c>
      <c r="M139" s="23">
        <v>7.6285710000000007E-2</v>
      </c>
      <c r="N139" s="23">
        <v>0.11821595</v>
      </c>
    </row>
    <row r="140" spans="1:15" ht="16" x14ac:dyDescent="0.2">
      <c r="A140" s="50">
        <v>43536</v>
      </c>
      <c r="B140" s="22" t="s">
        <v>201</v>
      </c>
      <c r="C140" s="38">
        <v>0.5625</v>
      </c>
      <c r="D140" s="66">
        <v>0.66666666666666663</v>
      </c>
      <c r="E140" s="52" t="s">
        <v>569</v>
      </c>
      <c r="F140" s="23">
        <v>1612340</v>
      </c>
      <c r="G140" s="7"/>
      <c r="H140" s="52" t="s">
        <v>569</v>
      </c>
      <c r="I140" s="23">
        <v>1612340</v>
      </c>
      <c r="J140" s="23">
        <v>9.90000012516975E-2</v>
      </c>
      <c r="K140" s="23">
        <v>5.0000000000000001E-3</v>
      </c>
      <c r="L140" s="54">
        <v>0.5625</v>
      </c>
      <c r="M140" s="23">
        <v>0.104</v>
      </c>
      <c r="N140" s="23">
        <v>0.21427151999999999</v>
      </c>
    </row>
    <row r="141" spans="1:15" ht="16" x14ac:dyDescent="0.2">
      <c r="A141" s="58">
        <v>43536</v>
      </c>
      <c r="B141" s="39" t="s">
        <v>473</v>
      </c>
      <c r="C141" s="67">
        <v>0.39305555555555555</v>
      </c>
      <c r="D141" s="67">
        <v>0.4375</v>
      </c>
      <c r="E141" s="52" t="s">
        <v>621</v>
      </c>
      <c r="F141" s="23">
        <v>1612480</v>
      </c>
      <c r="G141" s="7"/>
      <c r="H141" s="52" t="s">
        <v>594</v>
      </c>
      <c r="I141" s="23">
        <v>1612480</v>
      </c>
      <c r="J141" s="23">
        <v>8.0900004506111095E-2</v>
      </c>
      <c r="K141" s="23">
        <v>8.6999999999999994E-2</v>
      </c>
      <c r="L141" s="54">
        <v>0.4375</v>
      </c>
      <c r="M141" s="23">
        <v>0.16789999999999999</v>
      </c>
      <c r="N141" s="23">
        <v>0.24088076</v>
      </c>
    </row>
    <row r="142" spans="1:15" ht="16" x14ac:dyDescent="0.2">
      <c r="A142" s="55">
        <v>43556</v>
      </c>
      <c r="B142" s="41" t="s">
        <v>456</v>
      </c>
      <c r="C142" s="68">
        <v>0.36458333333333331</v>
      </c>
      <c r="D142" s="68">
        <v>0.45833333333333331</v>
      </c>
      <c r="E142" s="52" t="s">
        <v>621</v>
      </c>
      <c r="F142" s="23">
        <v>1612480</v>
      </c>
      <c r="G142" s="7"/>
      <c r="H142" s="52" t="s">
        <v>594</v>
      </c>
      <c r="I142" s="23">
        <v>1612480</v>
      </c>
      <c r="J142" s="23">
        <v>0.40281817587939101</v>
      </c>
      <c r="K142" s="23">
        <v>0.33524999999999999</v>
      </c>
      <c r="L142" s="54">
        <v>0.36458333333333331</v>
      </c>
      <c r="M142" s="23">
        <v>0.73806815999999997</v>
      </c>
      <c r="N142" s="23">
        <v>0.90707179999999998</v>
      </c>
    </row>
    <row r="143" spans="1:15" ht="13" x14ac:dyDescent="0.15">
      <c r="A143" s="55">
        <v>43557</v>
      </c>
      <c r="B143" s="56" t="s">
        <v>456</v>
      </c>
      <c r="C143" s="57">
        <v>0.36458333333333331</v>
      </c>
      <c r="D143" s="57">
        <v>0.46875</v>
      </c>
      <c r="E143" s="52" t="s">
        <v>621</v>
      </c>
      <c r="F143" s="23">
        <v>1612480</v>
      </c>
      <c r="G143" s="7"/>
      <c r="H143" s="52" t="s">
        <v>594</v>
      </c>
      <c r="I143" s="23">
        <v>1612480</v>
      </c>
      <c r="J143" s="23">
        <v>0.33495999455451902</v>
      </c>
      <c r="K143" s="23">
        <v>0.24225000999999999</v>
      </c>
      <c r="L143" s="54">
        <v>0.36458333333333331</v>
      </c>
      <c r="M143" s="23">
        <v>0.57721</v>
      </c>
      <c r="N143" s="23">
        <v>0.80414209999999997</v>
      </c>
    </row>
    <row r="144" spans="1:15" ht="13" x14ac:dyDescent="0.15">
      <c r="A144" s="50">
        <v>43558</v>
      </c>
      <c r="B144" s="7" t="s">
        <v>456</v>
      </c>
      <c r="C144" s="51">
        <v>0.375</v>
      </c>
      <c r="D144" s="51">
        <v>0.45833333333333331</v>
      </c>
      <c r="E144" s="52" t="s">
        <v>621</v>
      </c>
      <c r="F144" s="23">
        <v>1612480</v>
      </c>
      <c r="G144" s="7"/>
      <c r="H144" s="52" t="s">
        <v>594</v>
      </c>
      <c r="I144" s="23">
        <v>1612480</v>
      </c>
      <c r="J144" s="23">
        <v>0.208599996566772</v>
      </c>
      <c r="K144" s="23">
        <v>0.16200000000000001</v>
      </c>
      <c r="L144" s="54">
        <v>0.375</v>
      </c>
      <c r="M144" s="23">
        <v>0.37059999999999998</v>
      </c>
      <c r="N144" s="23">
        <v>0.57272190000000001</v>
      </c>
    </row>
    <row r="145" spans="1:14" ht="13" x14ac:dyDescent="0.15">
      <c r="A145" s="58">
        <v>43558</v>
      </c>
      <c r="B145" s="59" t="s">
        <v>216</v>
      </c>
      <c r="C145" s="60">
        <v>0.39305555555555555</v>
      </c>
      <c r="D145" s="60">
        <v>0.44791666666666669</v>
      </c>
      <c r="E145" s="52" t="s">
        <v>569</v>
      </c>
      <c r="F145" s="23">
        <v>1612340</v>
      </c>
      <c r="G145" s="7"/>
      <c r="H145" s="52" t="s">
        <v>569</v>
      </c>
      <c r="I145" s="23">
        <v>1612340</v>
      </c>
      <c r="J145" s="23">
        <v>0.21507692222411801</v>
      </c>
      <c r="K145" s="23">
        <v>-9.8000000000000004E-2</v>
      </c>
      <c r="L145" s="54">
        <v>0.39305555555555555</v>
      </c>
      <c r="M145" s="23">
        <v>0.117076926</v>
      </c>
      <c r="N145" s="23">
        <v>0.16538942000000001</v>
      </c>
    </row>
    <row r="146" spans="1:14" ht="13" x14ac:dyDescent="0.15">
      <c r="A146" s="50">
        <v>43559</v>
      </c>
      <c r="B146" s="7" t="s">
        <v>456</v>
      </c>
      <c r="C146" s="51">
        <v>0.375</v>
      </c>
      <c r="D146" s="51">
        <v>0.47916666666666669</v>
      </c>
      <c r="E146" s="52" t="s">
        <v>621</v>
      </c>
      <c r="F146" s="23">
        <v>1612480</v>
      </c>
      <c r="G146" s="7"/>
      <c r="H146" s="52" t="s">
        <v>594</v>
      </c>
      <c r="I146" s="23">
        <v>1612480</v>
      </c>
      <c r="J146" s="23">
        <v>0.28839999437332098</v>
      </c>
      <c r="K146" s="23">
        <v>4.5749999999999999E-2</v>
      </c>
      <c r="L146" s="54">
        <v>0.375</v>
      </c>
      <c r="M146" s="23">
        <v>0.33415</v>
      </c>
      <c r="N146" s="23">
        <v>0.58808709999999997</v>
      </c>
    </row>
    <row r="147" spans="1:14" ht="13" x14ac:dyDescent="0.15">
      <c r="A147" s="58">
        <v>43560</v>
      </c>
      <c r="B147" s="59" t="s">
        <v>544</v>
      </c>
      <c r="C147" s="60">
        <v>0.43055555555555558</v>
      </c>
      <c r="D147" s="60">
        <v>0.4548611111111111</v>
      </c>
      <c r="E147" s="52" t="s">
        <v>622</v>
      </c>
      <c r="F147" s="7" t="s">
        <v>588</v>
      </c>
      <c r="G147" s="7" t="s">
        <v>623</v>
      </c>
      <c r="H147" s="52" t="s">
        <v>582</v>
      </c>
      <c r="I147" s="23">
        <v>1617433</v>
      </c>
      <c r="J147" s="23">
        <v>0.23366666833559599</v>
      </c>
      <c r="K147" s="23">
        <v>-1.34E-2</v>
      </c>
      <c r="L147" s="54">
        <v>0.43055555555555558</v>
      </c>
      <c r="M147" s="23">
        <v>0.22026667</v>
      </c>
      <c r="N147" s="23">
        <v>0.28281859999999998</v>
      </c>
    </row>
    <row r="148" spans="1:14" ht="13" x14ac:dyDescent="0.15">
      <c r="A148" s="58">
        <v>43562</v>
      </c>
      <c r="B148" s="59" t="s">
        <v>293</v>
      </c>
      <c r="C148" s="60">
        <v>0.45833333333333331</v>
      </c>
      <c r="D148" s="60">
        <v>0.47916666666666669</v>
      </c>
      <c r="E148" s="52" t="s">
        <v>590</v>
      </c>
      <c r="F148" s="23">
        <v>1617760</v>
      </c>
      <c r="G148" s="7"/>
      <c r="H148" s="52" t="s">
        <v>590</v>
      </c>
      <c r="I148" s="23">
        <v>1617760</v>
      </c>
      <c r="J148" s="23">
        <v>0.369000005722045</v>
      </c>
      <c r="K148" s="23">
        <v>-0.14000000000000001</v>
      </c>
      <c r="L148" s="54">
        <v>0.45833333333333331</v>
      </c>
      <c r="M148" s="23">
        <v>0.22900002</v>
      </c>
      <c r="N148" s="23">
        <v>0.29038712</v>
      </c>
    </row>
    <row r="149" spans="1:14" ht="13" x14ac:dyDescent="0.15">
      <c r="A149" s="50">
        <v>43563</v>
      </c>
      <c r="B149" s="7" t="s">
        <v>400</v>
      </c>
      <c r="C149" s="51">
        <v>0.4548611111111111</v>
      </c>
      <c r="D149" s="51">
        <v>0.48958333333333331</v>
      </c>
      <c r="E149" s="52" t="s">
        <v>618</v>
      </c>
      <c r="F149" s="23">
        <v>1611347</v>
      </c>
      <c r="G149" s="7"/>
      <c r="H149" s="52" t="s">
        <v>571</v>
      </c>
      <c r="I149" s="23">
        <v>1611400</v>
      </c>
      <c r="J149" s="23">
        <v>0.12662500329315601</v>
      </c>
      <c r="K149" s="23">
        <v>-0.23699999999999999</v>
      </c>
      <c r="L149" s="54">
        <v>0.4548611111111111</v>
      </c>
      <c r="M149" s="23">
        <v>-0.110375</v>
      </c>
      <c r="N149" s="23">
        <v>-8.5865200000000003E-2</v>
      </c>
    </row>
    <row r="150" spans="1:14" ht="13" x14ac:dyDescent="0.15">
      <c r="A150" s="50">
        <v>43564</v>
      </c>
      <c r="B150" s="7" t="s">
        <v>456</v>
      </c>
      <c r="C150" s="51">
        <v>0.36319444444444443</v>
      </c>
      <c r="D150" s="51">
        <v>0.39583333333333331</v>
      </c>
      <c r="E150" s="52" t="s">
        <v>621</v>
      </c>
      <c r="F150" s="23">
        <v>1612480</v>
      </c>
      <c r="G150" s="7"/>
      <c r="H150" s="52" t="s">
        <v>594</v>
      </c>
      <c r="I150" s="23">
        <v>1612480</v>
      </c>
      <c r="J150" s="23">
        <v>0.132285712020737</v>
      </c>
      <c r="K150" s="23">
        <v>-0.11324999500000001</v>
      </c>
      <c r="L150" s="54">
        <v>0.39583333333333331</v>
      </c>
      <c r="M150" s="23">
        <v>1.9035719999999999E-2</v>
      </c>
      <c r="N150" s="23">
        <v>7.3723220000000006E-2</v>
      </c>
    </row>
    <row r="151" spans="1:14" ht="13" x14ac:dyDescent="0.15">
      <c r="A151" s="50">
        <v>43564</v>
      </c>
      <c r="B151" s="7" t="s">
        <v>244</v>
      </c>
      <c r="C151" s="51">
        <v>0.39583333333333331</v>
      </c>
      <c r="D151" s="51">
        <v>0.4375</v>
      </c>
      <c r="E151" s="52" t="s">
        <v>580</v>
      </c>
      <c r="F151" s="23">
        <v>1612366</v>
      </c>
      <c r="G151" s="7"/>
      <c r="H151" s="52" t="s">
        <v>569</v>
      </c>
      <c r="I151" s="23">
        <v>1612340</v>
      </c>
      <c r="J151" s="23">
        <v>0.22940000146627401</v>
      </c>
      <c r="K151" s="23">
        <v>0.13</v>
      </c>
      <c r="L151" s="54">
        <v>0.4375</v>
      </c>
      <c r="M151" s="23">
        <v>0.3594</v>
      </c>
      <c r="N151" s="23">
        <v>0.43692463999999998</v>
      </c>
    </row>
    <row r="152" spans="1:14" ht="13" x14ac:dyDescent="0.15">
      <c r="A152" s="58">
        <v>43564</v>
      </c>
      <c r="B152" s="59" t="s">
        <v>246</v>
      </c>
      <c r="C152" s="60">
        <v>0.3888888888888889</v>
      </c>
      <c r="D152" s="60">
        <v>0.45833333333333331</v>
      </c>
      <c r="E152" s="52" t="s">
        <v>575</v>
      </c>
      <c r="F152" s="23">
        <v>1612340</v>
      </c>
      <c r="G152" s="7"/>
      <c r="H152" s="52" t="s">
        <v>569</v>
      </c>
      <c r="I152" s="23">
        <v>1612340</v>
      </c>
      <c r="J152" s="23">
        <v>0.20931250043213301</v>
      </c>
      <c r="K152" s="23">
        <v>-1.7999999999999999E-2</v>
      </c>
      <c r="L152" s="54">
        <v>0.45833333333333331</v>
      </c>
      <c r="M152" s="23">
        <v>0.19131249</v>
      </c>
      <c r="N152" s="23">
        <v>0.32445111999999998</v>
      </c>
    </row>
    <row r="153" spans="1:14" ht="13" x14ac:dyDescent="0.15">
      <c r="A153" s="58">
        <v>43566</v>
      </c>
      <c r="B153" s="59" t="s">
        <v>246</v>
      </c>
      <c r="C153" s="60">
        <v>0.3888888888888889</v>
      </c>
      <c r="D153" s="60">
        <v>0.46180555555555558</v>
      </c>
      <c r="E153" s="52" t="s">
        <v>575</v>
      </c>
      <c r="F153" s="23">
        <v>1612340</v>
      </c>
      <c r="G153" s="7"/>
      <c r="H153" s="52" t="s">
        <v>569</v>
      </c>
      <c r="I153" s="23">
        <v>1612340</v>
      </c>
      <c r="J153" s="23">
        <v>0.33576470788787299</v>
      </c>
      <c r="K153" s="23">
        <v>0.26600000000000001</v>
      </c>
      <c r="L153" s="54">
        <v>0.46180555555555558</v>
      </c>
      <c r="M153" s="23">
        <v>0.60176470000000004</v>
      </c>
      <c r="N153" s="23">
        <v>0.67311379999999998</v>
      </c>
    </row>
    <row r="154" spans="1:14" ht="13" x14ac:dyDescent="0.15">
      <c r="A154" s="55">
        <v>43566</v>
      </c>
      <c r="B154" s="56" t="s">
        <v>473</v>
      </c>
      <c r="C154" s="57">
        <v>0.41666666666666669</v>
      </c>
      <c r="D154" s="57">
        <v>0.47916666666666669</v>
      </c>
      <c r="E154" s="52" t="s">
        <v>621</v>
      </c>
      <c r="F154" s="23">
        <v>1612480</v>
      </c>
      <c r="G154" s="7"/>
      <c r="H154" s="52" t="s">
        <v>594</v>
      </c>
      <c r="I154" s="23">
        <v>1612480</v>
      </c>
      <c r="J154" s="23">
        <v>0.272600001096725</v>
      </c>
      <c r="K154" s="23">
        <v>-2.0250000000000001E-2</v>
      </c>
      <c r="L154" s="54">
        <v>0.47847222222222224</v>
      </c>
      <c r="M154" s="23">
        <v>0.25235000000000002</v>
      </c>
      <c r="N154" s="23">
        <v>0.29856149999999998</v>
      </c>
    </row>
    <row r="155" spans="1:14" ht="13" x14ac:dyDescent="0.15">
      <c r="A155" s="58">
        <v>43567</v>
      </c>
      <c r="B155" s="59" t="s">
        <v>473</v>
      </c>
      <c r="C155" s="60">
        <v>0.41666666666666669</v>
      </c>
      <c r="D155" s="60">
        <v>0.5</v>
      </c>
      <c r="E155" s="52" t="s">
        <v>621</v>
      </c>
      <c r="F155" s="23">
        <v>1612480</v>
      </c>
      <c r="G155" s="7"/>
      <c r="H155" s="52" t="s">
        <v>594</v>
      </c>
      <c r="I155" s="23">
        <v>1612480</v>
      </c>
      <c r="J155" s="23">
        <v>0.36414999812841398</v>
      </c>
      <c r="K155" s="23">
        <v>0.12674999000000001</v>
      </c>
      <c r="L155" s="54">
        <v>0.5</v>
      </c>
      <c r="M155" s="23">
        <v>0.49089998000000001</v>
      </c>
      <c r="N155" s="23">
        <v>0.56356317</v>
      </c>
    </row>
    <row r="156" spans="1:14" ht="13" x14ac:dyDescent="0.15">
      <c r="A156" s="50">
        <v>43571</v>
      </c>
      <c r="B156" s="7" t="s">
        <v>244</v>
      </c>
      <c r="C156" s="51">
        <v>0.3888888888888889</v>
      </c>
      <c r="D156" s="51">
        <v>0.41319444444444442</v>
      </c>
      <c r="E156" s="52" t="s">
        <v>580</v>
      </c>
      <c r="F156" s="23">
        <v>1612366</v>
      </c>
      <c r="G156" s="7"/>
      <c r="H156" s="52" t="s">
        <v>569</v>
      </c>
      <c r="I156" s="23">
        <v>1612340</v>
      </c>
      <c r="J156" s="23">
        <v>0.179666670660177</v>
      </c>
      <c r="K156" s="23">
        <v>-0.159</v>
      </c>
      <c r="L156" s="54">
        <v>0.3888888888888889</v>
      </c>
      <c r="M156" s="23">
        <v>2.0666673999999999E-2</v>
      </c>
      <c r="N156" s="23">
        <v>7.8750000000000001E-2</v>
      </c>
    </row>
    <row r="157" spans="1:14" ht="13" x14ac:dyDescent="0.15">
      <c r="A157" s="50">
        <v>43571</v>
      </c>
      <c r="B157" s="7" t="s">
        <v>201</v>
      </c>
      <c r="C157" s="51">
        <v>0.3576388888888889</v>
      </c>
      <c r="D157" s="51">
        <v>0.41666666666666669</v>
      </c>
      <c r="E157" s="52" t="s">
        <v>569</v>
      </c>
      <c r="F157" s="23">
        <v>1612340</v>
      </c>
      <c r="G157" s="7"/>
      <c r="H157" s="52" t="s">
        <v>569</v>
      </c>
      <c r="I157" s="23">
        <v>1612340</v>
      </c>
      <c r="J157" s="23">
        <v>0.16064286019120799</v>
      </c>
      <c r="K157" s="23">
        <v>-0.24299999999999999</v>
      </c>
      <c r="L157" s="54">
        <v>0.3576388888888889</v>
      </c>
      <c r="M157" s="23">
        <v>-8.2357139999999995E-2</v>
      </c>
      <c r="N157" s="23">
        <v>1.0084723E-2</v>
      </c>
    </row>
    <row r="158" spans="1:14" ht="13" x14ac:dyDescent="0.15">
      <c r="A158" s="50">
        <v>43572</v>
      </c>
      <c r="B158" s="7" t="s">
        <v>201</v>
      </c>
      <c r="C158" s="51">
        <v>0.3611111111111111</v>
      </c>
      <c r="D158" s="51">
        <v>0.41666666666666669</v>
      </c>
      <c r="E158" s="52" t="s">
        <v>569</v>
      </c>
      <c r="F158" s="23">
        <v>1612340</v>
      </c>
      <c r="G158" s="7"/>
      <c r="H158" s="52" t="s">
        <v>569</v>
      </c>
      <c r="I158" s="23">
        <v>1612340</v>
      </c>
      <c r="J158" s="23">
        <v>0.18576922898109099</v>
      </c>
      <c r="K158" s="23">
        <v>-0.29599999999999999</v>
      </c>
      <c r="L158" s="54">
        <v>0.36944444444444446</v>
      </c>
      <c r="M158" s="23">
        <v>-0.11023077000000001</v>
      </c>
      <c r="N158" s="23">
        <v>-7.3255464000000006E-2</v>
      </c>
    </row>
    <row r="159" spans="1:14" ht="13" x14ac:dyDescent="0.15">
      <c r="A159" s="55">
        <v>43572</v>
      </c>
      <c r="B159" s="56" t="s">
        <v>259</v>
      </c>
      <c r="C159" s="57">
        <v>0.36805555555555558</v>
      </c>
      <c r="D159" s="57">
        <v>0.44791666666666669</v>
      </c>
      <c r="E159" s="52" t="s">
        <v>590</v>
      </c>
      <c r="F159" s="23">
        <v>1617760</v>
      </c>
      <c r="G159" s="7"/>
      <c r="H159" s="52" t="s">
        <v>590</v>
      </c>
      <c r="I159" s="23">
        <v>1617760</v>
      </c>
      <c r="J159" s="23">
        <v>0.36073684221819802</v>
      </c>
      <c r="K159" s="23">
        <v>-0.14599999999999999</v>
      </c>
      <c r="L159" s="54">
        <v>0.36805555555555558</v>
      </c>
      <c r="M159" s="23">
        <v>0.21473685000000001</v>
      </c>
      <c r="N159" s="23">
        <v>0.59318506999999998</v>
      </c>
    </row>
    <row r="160" spans="1:14" ht="13" x14ac:dyDescent="0.15">
      <c r="A160" s="50">
        <v>43573</v>
      </c>
      <c r="B160" s="7" t="s">
        <v>340</v>
      </c>
      <c r="C160" s="51">
        <v>0.41319444444444442</v>
      </c>
      <c r="D160" s="51">
        <v>0.47916666666666669</v>
      </c>
      <c r="E160" s="52" t="s">
        <v>581</v>
      </c>
      <c r="F160" s="23">
        <v>1617760</v>
      </c>
      <c r="G160" s="7"/>
      <c r="H160" s="52" t="s">
        <v>582</v>
      </c>
      <c r="I160" s="23">
        <v>1617433</v>
      </c>
      <c r="J160" s="23">
        <v>0.39320000211397799</v>
      </c>
      <c r="K160" s="23">
        <v>-4.3549999999999998E-2</v>
      </c>
      <c r="L160" s="54">
        <v>0.41319444444444442</v>
      </c>
      <c r="M160" s="23">
        <v>0.34965003</v>
      </c>
      <c r="N160" s="23">
        <v>0.62804199999999999</v>
      </c>
    </row>
    <row r="161" spans="1:14" ht="13" x14ac:dyDescent="0.15">
      <c r="A161" s="55">
        <v>43573</v>
      </c>
      <c r="B161" s="56" t="s">
        <v>259</v>
      </c>
      <c r="C161" s="57">
        <v>0.375</v>
      </c>
      <c r="D161" s="57">
        <v>0.44791666666666669</v>
      </c>
      <c r="E161" s="52" t="s">
        <v>590</v>
      </c>
      <c r="F161" s="23">
        <v>1617760</v>
      </c>
      <c r="G161" s="7"/>
      <c r="H161" s="52" t="s">
        <v>590</v>
      </c>
      <c r="I161" s="23">
        <v>1617760</v>
      </c>
      <c r="J161" s="23">
        <v>0.29183333118756599</v>
      </c>
      <c r="K161" s="23">
        <v>-0.33600000000000002</v>
      </c>
      <c r="L161" s="54">
        <v>0.375</v>
      </c>
      <c r="M161" s="23">
        <v>-4.4166654E-2</v>
      </c>
      <c r="N161" s="23">
        <v>0.24139936000000001</v>
      </c>
    </row>
    <row r="162" spans="1:14" ht="13" x14ac:dyDescent="0.15">
      <c r="A162" s="50">
        <v>43573</v>
      </c>
      <c r="B162" s="7" t="s">
        <v>489</v>
      </c>
      <c r="C162" s="51">
        <v>0.375</v>
      </c>
      <c r="D162" s="51">
        <v>0.47916666666666669</v>
      </c>
      <c r="E162" s="52" t="s">
        <v>581</v>
      </c>
      <c r="F162" s="23">
        <v>1617760</v>
      </c>
      <c r="G162" s="7"/>
      <c r="H162" s="52" t="s">
        <v>582</v>
      </c>
      <c r="I162" s="23">
        <v>1617433</v>
      </c>
      <c r="J162" s="23">
        <v>0.37808000206947301</v>
      </c>
      <c r="K162" s="23">
        <v>-0.22512001000000001</v>
      </c>
      <c r="L162" s="54">
        <v>0.375</v>
      </c>
      <c r="M162" s="23">
        <v>0.15296000000000001</v>
      </c>
      <c r="N162" s="23">
        <v>0.47288724999999998</v>
      </c>
    </row>
    <row r="163" spans="1:14" ht="13" x14ac:dyDescent="0.15">
      <c r="A163" s="50">
        <v>43573</v>
      </c>
      <c r="B163" s="7" t="s">
        <v>201</v>
      </c>
      <c r="C163" s="51">
        <v>0.375</v>
      </c>
      <c r="D163" s="51">
        <v>0.43055555555555558</v>
      </c>
      <c r="E163" s="52" t="s">
        <v>569</v>
      </c>
      <c r="F163" s="23">
        <v>1612340</v>
      </c>
      <c r="G163" s="7"/>
      <c r="H163" s="52" t="s">
        <v>569</v>
      </c>
      <c r="I163" s="23">
        <v>1612340</v>
      </c>
      <c r="J163" s="23">
        <v>0.108000001737049</v>
      </c>
      <c r="K163" s="23">
        <v>-0.32100000000000001</v>
      </c>
      <c r="L163" s="54">
        <v>0.3888888888888889</v>
      </c>
      <c r="M163" s="23">
        <v>-0.21299999999999999</v>
      </c>
      <c r="N163" s="23">
        <v>-0.18767901000000001</v>
      </c>
    </row>
    <row r="164" spans="1:14" ht="13" x14ac:dyDescent="0.15">
      <c r="A164" s="50">
        <v>43573</v>
      </c>
      <c r="B164" s="7" t="s">
        <v>492</v>
      </c>
      <c r="C164" s="51">
        <v>0.35416666666666669</v>
      </c>
      <c r="D164" s="51">
        <v>0.39930555555555558</v>
      </c>
      <c r="E164" s="52" t="s">
        <v>609</v>
      </c>
      <c r="F164" s="23">
        <v>1612340</v>
      </c>
      <c r="G164" s="7"/>
      <c r="H164" s="52" t="s">
        <v>569</v>
      </c>
      <c r="I164" s="23">
        <v>1612340</v>
      </c>
      <c r="J164" s="23">
        <v>7.0181819525631906E-2</v>
      </c>
      <c r="K164" s="23">
        <v>-0.32100000000000001</v>
      </c>
      <c r="L164" s="54">
        <v>0.3888888888888889</v>
      </c>
      <c r="M164" s="23">
        <v>-0.25081819999999999</v>
      </c>
      <c r="N164" s="23">
        <v>-0.22333333999999999</v>
      </c>
    </row>
    <row r="165" spans="1:14" ht="13" x14ac:dyDescent="0.15">
      <c r="A165" s="50">
        <v>43577</v>
      </c>
      <c r="B165" s="7" t="s">
        <v>301</v>
      </c>
      <c r="C165" s="51">
        <v>0.45833333333333331</v>
      </c>
      <c r="D165" s="51">
        <v>0.5</v>
      </c>
      <c r="E165" s="52" t="s">
        <v>570</v>
      </c>
      <c r="F165" s="23">
        <v>1611400</v>
      </c>
      <c r="G165" s="7"/>
      <c r="H165" s="52" t="s">
        <v>571</v>
      </c>
      <c r="I165" s="23">
        <v>1611400</v>
      </c>
      <c r="J165" s="23">
        <v>0.31960000097751601</v>
      </c>
      <c r="K165" s="23">
        <v>-0.1729</v>
      </c>
      <c r="L165" s="54">
        <v>0.45833333333333331</v>
      </c>
      <c r="M165" s="23">
        <v>0.14669998000000001</v>
      </c>
      <c r="N165" s="23">
        <v>0.17889309</v>
      </c>
    </row>
    <row r="166" spans="1:14" ht="13" x14ac:dyDescent="0.15">
      <c r="A166" s="55">
        <v>43577</v>
      </c>
      <c r="B166" s="56" t="s">
        <v>266</v>
      </c>
      <c r="C166" s="57">
        <v>0.46180555555555558</v>
      </c>
      <c r="D166" s="57">
        <v>0.5</v>
      </c>
      <c r="E166" s="52" t="s">
        <v>570</v>
      </c>
      <c r="F166" s="23">
        <v>1611400</v>
      </c>
      <c r="G166" s="7"/>
      <c r="H166" s="52" t="s">
        <v>571</v>
      </c>
      <c r="I166" s="23">
        <v>1611400</v>
      </c>
      <c r="J166" s="23">
        <v>0.32155555817815901</v>
      </c>
      <c r="K166" s="23">
        <v>-0.17108000000000001</v>
      </c>
      <c r="L166" s="54">
        <v>0.46180555555555558</v>
      </c>
      <c r="M166" s="23">
        <v>0.15047556000000001</v>
      </c>
      <c r="N166" s="23">
        <v>0.18369055000000001</v>
      </c>
    </row>
    <row r="167" spans="1:14" ht="13" x14ac:dyDescent="0.15">
      <c r="A167" s="50">
        <v>43577</v>
      </c>
      <c r="B167" s="7" t="s">
        <v>293</v>
      </c>
      <c r="C167" s="51">
        <v>0.41736111111111113</v>
      </c>
      <c r="D167" s="51">
        <v>0.45694444444444443</v>
      </c>
      <c r="E167" s="52" t="s">
        <v>590</v>
      </c>
      <c r="F167" s="23">
        <v>1617760</v>
      </c>
      <c r="G167" s="7"/>
      <c r="H167" s="52" t="s">
        <v>590</v>
      </c>
      <c r="I167" s="23">
        <v>1617760</v>
      </c>
      <c r="J167" s="23">
        <v>0.511666662163204</v>
      </c>
      <c r="K167" s="23">
        <v>-0.26500000000000001</v>
      </c>
      <c r="L167" s="54">
        <v>0.44166666666666665</v>
      </c>
      <c r="M167" s="23">
        <v>0.24666667</v>
      </c>
      <c r="N167" s="23">
        <v>0.25832181999999998</v>
      </c>
    </row>
    <row r="168" spans="1:14" ht="13" x14ac:dyDescent="0.15">
      <c r="A168" s="50">
        <v>43578</v>
      </c>
      <c r="B168" s="7" t="s">
        <v>201</v>
      </c>
      <c r="C168" s="51">
        <v>0.47916666666666669</v>
      </c>
      <c r="D168" s="51">
        <v>0.51041666666666663</v>
      </c>
      <c r="E168" s="52" t="s">
        <v>569</v>
      </c>
      <c r="F168" s="23">
        <v>1612340</v>
      </c>
      <c r="G168" s="7"/>
      <c r="H168" s="52" t="s">
        <v>569</v>
      </c>
      <c r="I168" s="23">
        <v>1612340</v>
      </c>
      <c r="J168" s="23">
        <v>0.13674999959766801</v>
      </c>
      <c r="K168" s="23">
        <v>8.0000000000000002E-3</v>
      </c>
      <c r="L168" s="54">
        <v>0.49166666666666664</v>
      </c>
      <c r="M168" s="23">
        <v>0.14474999999999999</v>
      </c>
      <c r="N168" s="23">
        <v>0.14759781999999999</v>
      </c>
    </row>
    <row r="169" spans="1:14" ht="13" x14ac:dyDescent="0.15">
      <c r="A169" s="55">
        <v>43587</v>
      </c>
      <c r="B169" s="56" t="s">
        <v>499</v>
      </c>
      <c r="C169" s="57">
        <v>0.39444444444444443</v>
      </c>
      <c r="D169" s="57">
        <v>0.42708333333333331</v>
      </c>
      <c r="E169" s="52" t="s">
        <v>576</v>
      </c>
      <c r="F169" s="7" t="s">
        <v>577</v>
      </c>
      <c r="G169" s="7" t="s">
        <v>624</v>
      </c>
      <c r="H169" s="52" t="s">
        <v>579</v>
      </c>
      <c r="I169" s="23">
        <v>1615680</v>
      </c>
      <c r="J169" s="23">
        <v>0.272124994546175</v>
      </c>
      <c r="K169" s="23">
        <v>0.25866001999999999</v>
      </c>
      <c r="L169" s="54">
        <v>0.39444444444444443</v>
      </c>
      <c r="M169" s="23">
        <v>0.53078499999999995</v>
      </c>
      <c r="N169" s="23">
        <v>0.62744500000000003</v>
      </c>
    </row>
    <row r="170" spans="1:14" ht="13" x14ac:dyDescent="0.15">
      <c r="A170" s="58">
        <v>43588</v>
      </c>
      <c r="B170" s="59" t="s">
        <v>250</v>
      </c>
      <c r="C170" s="60">
        <v>0.375</v>
      </c>
      <c r="D170" s="60">
        <v>0.5</v>
      </c>
      <c r="E170" s="52" t="s">
        <v>609</v>
      </c>
      <c r="F170" s="23">
        <v>1612340</v>
      </c>
      <c r="G170" s="7"/>
      <c r="H170" s="52" t="s">
        <v>569</v>
      </c>
      <c r="I170" s="23">
        <v>1612340</v>
      </c>
      <c r="J170" s="23">
        <v>0.239266666273276</v>
      </c>
      <c r="K170" s="23">
        <v>-0.17899999999999999</v>
      </c>
      <c r="L170" s="54">
        <v>0.375</v>
      </c>
      <c r="M170" s="23">
        <v>6.026666E-2</v>
      </c>
      <c r="N170" s="23">
        <v>0.34424450000000001</v>
      </c>
    </row>
    <row r="171" spans="1:14" ht="13" x14ac:dyDescent="0.15">
      <c r="A171" s="58">
        <v>43591</v>
      </c>
      <c r="B171" s="59" t="s">
        <v>250</v>
      </c>
      <c r="C171" s="60">
        <v>0.40625</v>
      </c>
      <c r="D171" s="60">
        <v>0.47916666666666669</v>
      </c>
      <c r="E171" s="52" t="s">
        <v>609</v>
      </c>
      <c r="F171" s="23">
        <v>1612340</v>
      </c>
      <c r="G171" s="7"/>
      <c r="H171" s="52" t="s">
        <v>569</v>
      </c>
      <c r="I171" s="23">
        <v>1612340</v>
      </c>
      <c r="J171" s="23">
        <v>0.16905882472500999</v>
      </c>
      <c r="K171" s="23">
        <v>-0.20300000000000001</v>
      </c>
      <c r="L171" s="54">
        <v>0.42708333333333331</v>
      </c>
      <c r="M171" s="23">
        <v>-3.3941165000000002E-2</v>
      </c>
      <c r="N171" s="23">
        <v>-1.0638124000000001E-3</v>
      </c>
    </row>
    <row r="172" spans="1:14" ht="13" x14ac:dyDescent="0.15">
      <c r="A172" s="58">
        <v>43592</v>
      </c>
      <c r="B172" s="59" t="s">
        <v>250</v>
      </c>
      <c r="C172" s="60">
        <v>0.4375</v>
      </c>
      <c r="D172" s="60">
        <v>0.47916666666666669</v>
      </c>
      <c r="E172" s="52" t="s">
        <v>609</v>
      </c>
      <c r="F172" s="23">
        <v>1612340</v>
      </c>
      <c r="G172" s="7"/>
      <c r="H172" s="52" t="s">
        <v>569</v>
      </c>
      <c r="I172" s="23">
        <v>1612340</v>
      </c>
      <c r="J172" s="23">
        <v>0.18610000312328301</v>
      </c>
      <c r="K172" s="23">
        <v>-0.16300000000000001</v>
      </c>
      <c r="L172" s="54">
        <v>0.44583333333333336</v>
      </c>
      <c r="M172" s="23">
        <v>2.3100004E-2</v>
      </c>
      <c r="N172" s="23">
        <v>3.2116400000000003E-2</v>
      </c>
    </row>
    <row r="173" spans="1:14" ht="13" x14ac:dyDescent="0.15">
      <c r="A173" s="58">
        <v>43593</v>
      </c>
      <c r="B173" s="59" t="s">
        <v>355</v>
      </c>
      <c r="C173" s="60">
        <v>0.38472222222222224</v>
      </c>
      <c r="D173" s="60">
        <v>0.42986111111111114</v>
      </c>
      <c r="E173" s="52" t="s">
        <v>575</v>
      </c>
      <c r="F173" s="23">
        <v>1612340</v>
      </c>
      <c r="G173" s="7"/>
      <c r="H173" s="52" t="s">
        <v>569</v>
      </c>
      <c r="I173" s="23">
        <v>1612340</v>
      </c>
      <c r="J173" s="23">
        <v>8.5363634269345803E-2</v>
      </c>
      <c r="K173" s="23">
        <v>-1.4999999999999999E-2</v>
      </c>
      <c r="L173" s="54">
        <v>0.42986111111111114</v>
      </c>
      <c r="M173" s="23">
        <v>7.0363629999999996E-2</v>
      </c>
      <c r="N173" s="23">
        <v>0.14992425000000001</v>
      </c>
    </row>
    <row r="174" spans="1:14" ht="13" x14ac:dyDescent="0.15">
      <c r="A174" s="50">
        <v>43602</v>
      </c>
      <c r="B174" s="7" t="s">
        <v>489</v>
      </c>
      <c r="C174" s="51">
        <v>0.36458333333333331</v>
      </c>
      <c r="D174" s="51">
        <v>0.44791666666666669</v>
      </c>
      <c r="E174" s="52" t="s">
        <v>581</v>
      </c>
      <c r="F174" s="23">
        <v>1617760</v>
      </c>
      <c r="G174" s="7"/>
      <c r="H174" s="52" t="s">
        <v>582</v>
      </c>
      <c r="I174" s="23">
        <v>1617433</v>
      </c>
      <c r="J174" s="23">
        <v>0.36445000618696199</v>
      </c>
      <c r="K174" s="23">
        <v>-0.23718001</v>
      </c>
      <c r="L174" s="54">
        <v>0.36458333333333331</v>
      </c>
      <c r="M174" s="23">
        <v>0.12726999999999999</v>
      </c>
      <c r="N174" s="23">
        <v>0.41966685999999997</v>
      </c>
    </row>
    <row r="175" spans="1:14" ht="13" x14ac:dyDescent="0.15">
      <c r="A175" s="50">
        <v>43602</v>
      </c>
      <c r="B175" s="7" t="s">
        <v>244</v>
      </c>
      <c r="C175" s="51">
        <v>0.35416666666666669</v>
      </c>
      <c r="D175" s="51">
        <v>0.4375</v>
      </c>
      <c r="E175" s="52" t="s">
        <v>580</v>
      </c>
      <c r="F175" s="23">
        <v>1612366</v>
      </c>
      <c r="G175" s="7"/>
      <c r="H175" s="52" t="s">
        <v>569</v>
      </c>
      <c r="I175" s="23">
        <v>1612340</v>
      </c>
      <c r="J175" s="23">
        <v>0.31260000169277102</v>
      </c>
      <c r="K175" s="23">
        <v>-0.3</v>
      </c>
      <c r="L175" s="54">
        <v>0.35972222222222222</v>
      </c>
      <c r="M175" s="23">
        <v>1.2600004999999999E-2</v>
      </c>
      <c r="N175" s="23">
        <v>0.11412068</v>
      </c>
    </row>
    <row r="176" spans="1:14" ht="13" x14ac:dyDescent="0.15">
      <c r="A176" s="58">
        <v>43602</v>
      </c>
      <c r="B176" s="59" t="s">
        <v>377</v>
      </c>
      <c r="C176" s="60">
        <v>0.3888888888888889</v>
      </c>
      <c r="D176" s="60">
        <v>0.45833333333333331</v>
      </c>
      <c r="E176" s="52" t="s">
        <v>576</v>
      </c>
      <c r="F176" s="7" t="s">
        <v>577</v>
      </c>
      <c r="G176" s="7" t="s">
        <v>605</v>
      </c>
      <c r="H176" s="52" t="s">
        <v>579</v>
      </c>
      <c r="I176" s="23">
        <v>1615680</v>
      </c>
      <c r="J176" s="23">
        <v>0.194187498651444</v>
      </c>
      <c r="K176" s="23">
        <v>8.6400000000000005E-2</v>
      </c>
      <c r="L176" s="54">
        <v>0.3888888888888889</v>
      </c>
      <c r="M176" s="23">
        <v>0.28058749999999999</v>
      </c>
      <c r="N176" s="23">
        <v>0.53987306000000002</v>
      </c>
    </row>
    <row r="177" spans="1:14" ht="13" x14ac:dyDescent="0.15">
      <c r="A177" s="58">
        <v>43605</v>
      </c>
      <c r="B177" s="59" t="s">
        <v>307</v>
      </c>
      <c r="C177" s="60">
        <v>0.40625</v>
      </c>
      <c r="D177" s="60">
        <v>0.46875</v>
      </c>
      <c r="E177" s="52" t="s">
        <v>590</v>
      </c>
      <c r="F177" s="23">
        <v>1617760</v>
      </c>
      <c r="G177" s="7"/>
      <c r="H177" s="52" t="s">
        <v>590</v>
      </c>
      <c r="I177" s="23">
        <v>1617760</v>
      </c>
      <c r="J177" s="23">
        <v>0.20413333177566501</v>
      </c>
      <c r="K177" s="23">
        <v>-0.39600000000000002</v>
      </c>
      <c r="L177" s="54">
        <v>0.40625</v>
      </c>
      <c r="M177" s="23">
        <v>-0.19186666999999999</v>
      </c>
      <c r="N177" s="23">
        <v>-4.3954574000000003E-2</v>
      </c>
    </row>
    <row r="178" spans="1:14" ht="13" x14ac:dyDescent="0.15">
      <c r="A178" s="55">
        <v>43734</v>
      </c>
      <c r="B178" s="56" t="s">
        <v>329</v>
      </c>
      <c r="C178" s="57">
        <v>0.375</v>
      </c>
      <c r="D178" s="57">
        <v>0.39166666666666666</v>
      </c>
      <c r="E178" s="52" t="s">
        <v>608</v>
      </c>
      <c r="F178" s="23">
        <v>1612340</v>
      </c>
      <c r="G178" s="7"/>
      <c r="H178" s="52" t="s">
        <v>579</v>
      </c>
      <c r="I178" s="23">
        <v>1615680</v>
      </c>
      <c r="J178" s="23">
        <v>0.28800000250339503</v>
      </c>
      <c r="K178" s="23">
        <v>0.26200000000000001</v>
      </c>
      <c r="L178" s="54">
        <v>0.375</v>
      </c>
      <c r="M178" s="23">
        <v>0.54999995000000002</v>
      </c>
      <c r="N178" s="23">
        <v>0.60443999999999998</v>
      </c>
    </row>
    <row r="179" spans="1:14" ht="13" x14ac:dyDescent="0.15">
      <c r="A179" s="55">
        <v>43735</v>
      </c>
      <c r="B179" s="56" t="s">
        <v>329</v>
      </c>
      <c r="C179" s="57">
        <v>0.37291666666666667</v>
      </c>
      <c r="D179" s="57">
        <v>0.38958333333333334</v>
      </c>
      <c r="E179" s="52" t="s">
        <v>608</v>
      </c>
      <c r="F179" s="23">
        <v>1612340</v>
      </c>
      <c r="G179" s="7"/>
      <c r="H179" s="52" t="s">
        <v>579</v>
      </c>
      <c r="I179" s="23">
        <v>1615680</v>
      </c>
      <c r="J179" s="23">
        <v>0.30775000900030097</v>
      </c>
      <c r="K179" s="23">
        <v>0.11</v>
      </c>
      <c r="L179" s="54">
        <v>0.37291666666666667</v>
      </c>
      <c r="M179" s="23">
        <v>0.41775000000000001</v>
      </c>
      <c r="N179" s="23">
        <v>0.43251002</v>
      </c>
    </row>
    <row r="180" spans="1:14" ht="16" x14ac:dyDescent="0.2">
      <c r="A180" s="65">
        <v>43839</v>
      </c>
      <c r="B180" s="4" t="s">
        <v>366</v>
      </c>
      <c r="C180" s="38">
        <v>0.45138888888888901</v>
      </c>
      <c r="D180" s="38">
        <v>0.48611111111111099</v>
      </c>
      <c r="E180" s="52" t="s">
        <v>581</v>
      </c>
      <c r="F180" s="23">
        <v>1617760</v>
      </c>
      <c r="G180" s="7"/>
      <c r="H180" s="52" t="s">
        <v>582</v>
      </c>
      <c r="I180" s="23">
        <v>1617433</v>
      </c>
      <c r="J180" s="23">
        <v>0.96199997514486302</v>
      </c>
      <c r="K180" s="23">
        <v>0.52059</v>
      </c>
      <c r="L180" s="54">
        <v>0.4513888888888889</v>
      </c>
      <c r="M180" s="23">
        <v>1.4825900000000001</v>
      </c>
      <c r="N180" s="23">
        <v>1.5400917999999999</v>
      </c>
    </row>
    <row r="181" spans="1:14" ht="16" x14ac:dyDescent="0.2">
      <c r="A181" s="65">
        <v>43840</v>
      </c>
      <c r="B181" s="4" t="s">
        <v>511</v>
      </c>
      <c r="C181" s="38">
        <v>0.42499999999999999</v>
      </c>
      <c r="D181" s="38">
        <v>0.46180555555555602</v>
      </c>
      <c r="E181" s="52" t="s">
        <v>625</v>
      </c>
      <c r="F181" s="7" t="s">
        <v>588</v>
      </c>
      <c r="G181" s="7" t="s">
        <v>623</v>
      </c>
      <c r="H181" s="52" t="s">
        <v>582</v>
      </c>
      <c r="I181" s="23">
        <v>1617433</v>
      </c>
      <c r="J181" s="23">
        <v>0.89622222714953903</v>
      </c>
      <c r="K181" s="23">
        <v>0.36515003000000001</v>
      </c>
      <c r="L181" s="54">
        <v>0.42499999999999999</v>
      </c>
      <c r="M181" s="23">
        <v>1.2613722999999999</v>
      </c>
      <c r="N181" s="23">
        <v>1.2838669</v>
      </c>
    </row>
    <row r="182" spans="1:14" ht="16" x14ac:dyDescent="0.2">
      <c r="A182" s="37">
        <v>43868</v>
      </c>
      <c r="B182" s="4" t="s">
        <v>511</v>
      </c>
      <c r="C182" s="38">
        <v>0.420833333333333</v>
      </c>
      <c r="D182" s="38">
        <v>0.45138888888888901</v>
      </c>
      <c r="E182" s="52" t="s">
        <v>625</v>
      </c>
      <c r="F182" s="7" t="s">
        <v>588</v>
      </c>
      <c r="G182" s="7" t="s">
        <v>623</v>
      </c>
      <c r="H182" s="52" t="s">
        <v>582</v>
      </c>
      <c r="I182" s="23">
        <v>1617433</v>
      </c>
      <c r="J182" s="23">
        <v>0.29124999605119201</v>
      </c>
      <c r="K182" s="23">
        <v>0.36314004999999999</v>
      </c>
      <c r="L182" s="54">
        <v>0.42083333333333334</v>
      </c>
      <c r="M182" s="23">
        <v>0.65439004000000001</v>
      </c>
      <c r="N182" s="23">
        <v>0.70586090000000001</v>
      </c>
    </row>
    <row r="183" spans="1:14" ht="16" x14ac:dyDescent="0.2">
      <c r="A183" s="50">
        <v>43882</v>
      </c>
      <c r="B183" s="7" t="s">
        <v>340</v>
      </c>
      <c r="C183" s="38">
        <v>0.41875000000000001</v>
      </c>
      <c r="D183" s="38">
        <v>0.44444444444444398</v>
      </c>
      <c r="E183" s="52" t="s">
        <v>581</v>
      </c>
      <c r="F183" s="23">
        <v>1617760</v>
      </c>
      <c r="G183" s="7"/>
      <c r="H183" s="52" t="s">
        <v>582</v>
      </c>
      <c r="I183" s="23">
        <v>1617433</v>
      </c>
      <c r="J183" s="23">
        <v>0.44183333218097598</v>
      </c>
      <c r="K183" s="23">
        <v>0.31021001999999998</v>
      </c>
      <c r="L183" s="54">
        <v>0.41875000000000001</v>
      </c>
      <c r="M183" s="23">
        <v>0.75204336999999999</v>
      </c>
      <c r="N183" s="23">
        <v>0.79222570000000003</v>
      </c>
    </row>
    <row r="184" spans="1:14" ht="16" x14ac:dyDescent="0.2">
      <c r="A184" s="37">
        <v>43885</v>
      </c>
      <c r="B184" s="7" t="s">
        <v>233</v>
      </c>
      <c r="C184" s="38">
        <v>0.47569444444444398</v>
      </c>
      <c r="D184" s="38">
        <v>0.51041666666666663</v>
      </c>
      <c r="E184" s="52" t="s">
        <v>586</v>
      </c>
      <c r="F184" s="23">
        <v>1612340</v>
      </c>
      <c r="G184" s="7"/>
      <c r="H184" s="52" t="s">
        <v>579</v>
      </c>
      <c r="I184" s="23">
        <v>1615680</v>
      </c>
      <c r="J184" s="23">
        <v>4.2375005781650502E-2</v>
      </c>
      <c r="K184" s="23">
        <v>-3.3000000000000002E-2</v>
      </c>
      <c r="L184" s="54">
        <v>0.47569444444444442</v>
      </c>
      <c r="M184" s="23">
        <v>9.375006E-3</v>
      </c>
      <c r="N184" s="23">
        <v>3.6257360000000002E-2</v>
      </c>
    </row>
    <row r="185" spans="1:14" ht="16" x14ac:dyDescent="0.2">
      <c r="A185" s="37">
        <v>43893</v>
      </c>
      <c r="B185" s="4" t="s">
        <v>244</v>
      </c>
      <c r="C185" s="38">
        <v>0.39583333333333298</v>
      </c>
      <c r="D185" s="38">
        <v>0.45833333333333298</v>
      </c>
      <c r="E185" s="52" t="s">
        <v>580</v>
      </c>
      <c r="F185" s="23">
        <v>1612366</v>
      </c>
      <c r="G185" s="7"/>
      <c r="H185" s="52" t="s">
        <v>569</v>
      </c>
      <c r="I185" s="23">
        <v>1612340</v>
      </c>
      <c r="J185" s="23">
        <v>0.34560000101725202</v>
      </c>
      <c r="K185" s="23">
        <v>0.40799999999999997</v>
      </c>
      <c r="L185" s="54">
        <v>0.39583333333333331</v>
      </c>
      <c r="M185" s="23">
        <v>0.75360000000000005</v>
      </c>
      <c r="N185" s="23">
        <v>0.75844610000000001</v>
      </c>
    </row>
    <row r="186" spans="1:14" ht="16" x14ac:dyDescent="0.2">
      <c r="A186" s="37">
        <v>43901</v>
      </c>
      <c r="B186" s="4" t="s">
        <v>456</v>
      </c>
      <c r="C186" s="38">
        <v>0.375694444444444</v>
      </c>
      <c r="D186" s="38">
        <v>0.41666666666666702</v>
      </c>
      <c r="E186" s="52" t="s">
        <v>621</v>
      </c>
      <c r="F186" s="23">
        <v>1612480</v>
      </c>
      <c r="G186" s="7"/>
      <c r="H186" s="52" t="s">
        <v>594</v>
      </c>
      <c r="I186" s="23">
        <v>1612480</v>
      </c>
      <c r="J186" s="23">
        <v>0.36333333452542599</v>
      </c>
      <c r="K186" s="23">
        <v>-6.5249994000000006E-2</v>
      </c>
      <c r="L186" s="54">
        <v>0.41597222222222224</v>
      </c>
      <c r="M186" s="23">
        <v>0.29808336000000002</v>
      </c>
      <c r="N186" s="23">
        <v>0.33947092000000001</v>
      </c>
    </row>
    <row r="187" spans="1:14" ht="13" x14ac:dyDescent="0.15">
      <c r="A187" s="61">
        <v>43902</v>
      </c>
      <c r="B187" s="62" t="s">
        <v>456</v>
      </c>
      <c r="C187" s="63">
        <v>0.41666666666666669</v>
      </c>
      <c r="D187" s="63">
        <v>0.48958333333333331</v>
      </c>
      <c r="E187" s="52" t="s">
        <v>621</v>
      </c>
      <c r="F187" s="23">
        <v>1612480</v>
      </c>
      <c r="G187" s="7"/>
      <c r="H187" s="52" t="s">
        <v>594</v>
      </c>
      <c r="I187" s="23">
        <v>1612480</v>
      </c>
      <c r="J187" s="53">
        <v>0.38877777755260401</v>
      </c>
      <c r="K187" s="23">
        <v>-0.11850001</v>
      </c>
      <c r="L187" s="54">
        <v>0.44374999999999998</v>
      </c>
      <c r="M187" s="23">
        <v>0.27027780000000001</v>
      </c>
      <c r="N187" s="23">
        <v>0.29628018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A14"/>
  <sheetViews>
    <sheetView workbookViewId="0">
      <selection activeCell="A25" sqref="A25"/>
    </sheetView>
  </sheetViews>
  <sheetFormatPr baseColWidth="10" defaultColWidth="12.6640625" defaultRowHeight="15.75" customHeight="1" x14ac:dyDescent="0.15"/>
  <cols>
    <col min="1" max="1" width="60.33203125" customWidth="1"/>
  </cols>
  <sheetData>
    <row r="2" spans="1:1" ht="15.75" customHeight="1" x14ac:dyDescent="0.15">
      <c r="A2" s="3" t="s">
        <v>626</v>
      </c>
    </row>
    <row r="3" spans="1:1" ht="15.75" customHeight="1" x14ac:dyDescent="0.15">
      <c r="A3" s="3" t="s">
        <v>627</v>
      </c>
    </row>
    <row r="4" spans="1:1" ht="15.75" customHeight="1" x14ac:dyDescent="0.15">
      <c r="A4" s="3" t="s">
        <v>628</v>
      </c>
    </row>
    <row r="5" spans="1:1" ht="15.75" customHeight="1" x14ac:dyDescent="0.15">
      <c r="A5" s="3" t="s">
        <v>629</v>
      </c>
    </row>
    <row r="6" spans="1:1" ht="15.75" customHeight="1" x14ac:dyDescent="0.15">
      <c r="A6" s="3" t="s">
        <v>630</v>
      </c>
    </row>
    <row r="7" spans="1:1" ht="15.75" customHeight="1" x14ac:dyDescent="0.15">
      <c r="A7" s="3" t="s">
        <v>631</v>
      </c>
    </row>
    <row r="8" spans="1:1" ht="15.75" customHeight="1" x14ac:dyDescent="0.15">
      <c r="A8" s="3" t="s">
        <v>632</v>
      </c>
    </row>
    <row r="9" spans="1:1" ht="15.75" customHeight="1" x14ac:dyDescent="0.15">
      <c r="A9" s="3" t="s">
        <v>633</v>
      </c>
    </row>
    <row r="10" spans="1:1" ht="15.75" customHeight="1" x14ac:dyDescent="0.15">
      <c r="A10" s="3" t="s">
        <v>634</v>
      </c>
    </row>
    <row r="11" spans="1:1" ht="15.75" customHeight="1" x14ac:dyDescent="0.15">
      <c r="A11" s="3" t="s">
        <v>635</v>
      </c>
    </row>
    <row r="13" spans="1:1" ht="15.75" customHeight="1" x14ac:dyDescent="0.15">
      <c r="A13" s="3" t="s">
        <v>636</v>
      </c>
    </row>
    <row r="14" spans="1:1" ht="15.75" customHeight="1" x14ac:dyDescent="0.15">
      <c r="A14" s="3" t="s">
        <v>637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253"/>
  <sheetViews>
    <sheetView workbookViewId="0">
      <pane xSplit="2" ySplit="2" topLeftCell="H3" activePane="bottomRight" state="frozen"/>
      <selection pane="topRight" activeCell="C1" sqref="C1"/>
      <selection pane="bottomLeft" activeCell="A3" sqref="A3"/>
      <selection pane="bottomRight" activeCell="C3" sqref="C3"/>
    </sheetView>
  </sheetViews>
  <sheetFormatPr baseColWidth="10" defaultColWidth="12.6640625" defaultRowHeight="15.75" customHeight="1" x14ac:dyDescent="0.15"/>
  <cols>
    <col min="6" max="6" width="10.5" customWidth="1"/>
    <col min="7" max="7" width="9.33203125" customWidth="1"/>
    <col min="17" max="17" width="14.1640625" customWidth="1"/>
    <col min="25" max="25" width="28.33203125" customWidth="1"/>
  </cols>
  <sheetData>
    <row r="1" spans="1:25" ht="16" x14ac:dyDescent="0.2">
      <c r="A1" s="1" t="s">
        <v>638</v>
      </c>
      <c r="B1" s="2"/>
      <c r="C1" s="1"/>
      <c r="D1" s="1"/>
      <c r="E1" s="2"/>
      <c r="F1" s="1"/>
      <c r="G1" s="1"/>
      <c r="H1" s="1"/>
      <c r="I1" s="1"/>
      <c r="J1" s="1"/>
      <c r="K1" s="1"/>
      <c r="L1" s="1"/>
      <c r="M1" s="1"/>
      <c r="N1" s="1"/>
      <c r="O1" s="1"/>
      <c r="P1" s="1"/>
      <c r="Q1" s="1"/>
      <c r="R1" s="1"/>
      <c r="S1" s="1"/>
      <c r="T1" s="1"/>
      <c r="U1" s="1"/>
      <c r="V1" s="1"/>
      <c r="W1" s="1"/>
      <c r="X1" s="1"/>
      <c r="Y1" s="3"/>
    </row>
    <row r="2" spans="1:25" ht="16" x14ac:dyDescent="0.2">
      <c r="A2" s="1" t="s">
        <v>6</v>
      </c>
      <c r="B2" s="2" t="s">
        <v>7</v>
      </c>
      <c r="C2" s="1" t="s">
        <v>11</v>
      </c>
      <c r="D2" s="1" t="s">
        <v>12</v>
      </c>
      <c r="E2" s="2" t="s">
        <v>10</v>
      </c>
      <c r="F2" s="1" t="s">
        <v>639</v>
      </c>
      <c r="G2" s="1" t="s">
        <v>640</v>
      </c>
      <c r="H2" s="1" t="s">
        <v>641</v>
      </c>
      <c r="I2" s="1" t="s">
        <v>642</v>
      </c>
      <c r="J2" s="1" t="s">
        <v>643</v>
      </c>
      <c r="K2" s="1" t="s">
        <v>644</v>
      </c>
      <c r="L2" s="1" t="s">
        <v>645</v>
      </c>
      <c r="M2" s="1" t="s">
        <v>646</v>
      </c>
      <c r="N2" s="1" t="s">
        <v>647</v>
      </c>
      <c r="O2" s="1" t="s">
        <v>648</v>
      </c>
      <c r="P2" s="1" t="s">
        <v>649</v>
      </c>
      <c r="Q2" s="1" t="s">
        <v>650</v>
      </c>
      <c r="R2" s="1" t="s">
        <v>651</v>
      </c>
      <c r="S2" s="1" t="s">
        <v>652</v>
      </c>
      <c r="T2" s="1" t="s">
        <v>653</v>
      </c>
      <c r="U2" s="1" t="s">
        <v>654</v>
      </c>
      <c r="V2" s="1" t="s">
        <v>655</v>
      </c>
      <c r="W2" s="1" t="s">
        <v>656</v>
      </c>
      <c r="X2" s="1" t="s">
        <v>657</v>
      </c>
      <c r="Y2" s="3" t="s">
        <v>658</v>
      </c>
    </row>
    <row r="3" spans="1:25" ht="15.75" customHeight="1" x14ac:dyDescent="0.15">
      <c r="A3" s="13">
        <v>38018</v>
      </c>
      <c r="B3" s="3" t="s">
        <v>196</v>
      </c>
      <c r="C3" s="14">
        <v>0</v>
      </c>
      <c r="D3" s="14">
        <v>4.1666666666666664E-2</v>
      </c>
      <c r="E3" s="3" t="s">
        <v>197</v>
      </c>
      <c r="I3" s="3">
        <v>0</v>
      </c>
      <c r="J3" s="3" t="s">
        <v>659</v>
      </c>
      <c r="K3" s="3">
        <v>1</v>
      </c>
      <c r="L3" s="3" t="s">
        <v>660</v>
      </c>
      <c r="M3" s="3" t="s">
        <v>661</v>
      </c>
      <c r="O3" s="3" t="s">
        <v>659</v>
      </c>
      <c r="P3" s="3">
        <v>0</v>
      </c>
      <c r="Q3" s="69">
        <v>43833</v>
      </c>
      <c r="R3" s="3" t="s">
        <v>659</v>
      </c>
      <c r="S3" s="3" t="s">
        <v>662</v>
      </c>
      <c r="T3" s="3" t="s">
        <v>659</v>
      </c>
      <c r="U3" s="3">
        <v>0</v>
      </c>
      <c r="V3" s="3">
        <v>0</v>
      </c>
    </row>
    <row r="4" spans="1:25" ht="15.75" customHeight="1" x14ac:dyDescent="0.15">
      <c r="A4" s="13">
        <v>38041</v>
      </c>
      <c r="B4" s="3" t="s">
        <v>201</v>
      </c>
      <c r="C4" s="14">
        <v>0</v>
      </c>
      <c r="D4" s="14">
        <v>4.1666666666666664E-2</v>
      </c>
      <c r="E4" s="3" t="s">
        <v>197</v>
      </c>
      <c r="H4" s="3">
        <v>0</v>
      </c>
      <c r="K4" s="3">
        <v>1</v>
      </c>
      <c r="L4" s="3" t="s">
        <v>660</v>
      </c>
      <c r="M4" s="3" t="s">
        <v>661</v>
      </c>
      <c r="P4" s="3">
        <v>0</v>
      </c>
      <c r="Q4" s="69">
        <v>43833</v>
      </c>
      <c r="S4" s="3" t="s">
        <v>662</v>
      </c>
      <c r="U4" s="3">
        <v>0</v>
      </c>
      <c r="V4" s="3">
        <v>0</v>
      </c>
    </row>
    <row r="5" spans="1:25" ht="15.75" customHeight="1" x14ac:dyDescent="0.15">
      <c r="A5" s="13">
        <v>38050</v>
      </c>
      <c r="B5" s="3" t="s">
        <v>196</v>
      </c>
      <c r="C5" s="14">
        <v>0</v>
      </c>
      <c r="D5" s="14">
        <v>4.1666666666666664E-2</v>
      </c>
      <c r="E5" s="3" t="s">
        <v>197</v>
      </c>
      <c r="H5" s="3">
        <v>0</v>
      </c>
      <c r="I5" s="3">
        <v>0</v>
      </c>
      <c r="J5" s="3" t="s">
        <v>659</v>
      </c>
      <c r="K5" s="3">
        <v>1</v>
      </c>
      <c r="L5" s="3" t="s">
        <v>660</v>
      </c>
      <c r="M5" s="3" t="s">
        <v>661</v>
      </c>
      <c r="O5" s="3" t="s">
        <v>659</v>
      </c>
      <c r="P5" s="3">
        <v>0</v>
      </c>
      <c r="Q5" s="69">
        <v>43833</v>
      </c>
      <c r="R5" s="3" t="s">
        <v>659</v>
      </c>
      <c r="S5" s="3" t="s">
        <v>662</v>
      </c>
      <c r="T5" s="3" t="s">
        <v>659</v>
      </c>
      <c r="U5" s="3">
        <v>0</v>
      </c>
      <c r="V5" s="3">
        <v>0</v>
      </c>
    </row>
    <row r="6" spans="1:25" ht="15.75" customHeight="1" x14ac:dyDescent="0.15">
      <c r="A6" s="13">
        <v>38384</v>
      </c>
      <c r="B6" s="3" t="s">
        <v>196</v>
      </c>
      <c r="C6" s="14">
        <v>0</v>
      </c>
      <c r="D6" s="14">
        <v>4.1666666666666664E-2</v>
      </c>
      <c r="E6" s="3" t="s">
        <v>197</v>
      </c>
      <c r="H6" s="3">
        <v>0</v>
      </c>
      <c r="K6" s="3">
        <v>1</v>
      </c>
      <c r="L6" s="3" t="s">
        <v>660</v>
      </c>
      <c r="M6" s="3" t="s">
        <v>661</v>
      </c>
      <c r="P6" s="3">
        <v>0</v>
      </c>
      <c r="Q6" s="69">
        <v>43833</v>
      </c>
      <c r="S6" s="3" t="s">
        <v>662</v>
      </c>
      <c r="U6" s="3">
        <v>0</v>
      </c>
      <c r="V6" s="3">
        <v>0</v>
      </c>
    </row>
    <row r="7" spans="1:25" ht="15.75" customHeight="1" x14ac:dyDescent="0.15">
      <c r="A7" s="13">
        <v>38401</v>
      </c>
      <c r="B7" s="3" t="s">
        <v>201</v>
      </c>
      <c r="C7" s="14">
        <v>0</v>
      </c>
      <c r="D7" s="14">
        <v>4.1666666666666664E-2</v>
      </c>
      <c r="E7" s="3" t="s">
        <v>197</v>
      </c>
      <c r="H7" s="3">
        <v>0</v>
      </c>
      <c r="K7" s="3">
        <v>1</v>
      </c>
      <c r="L7" s="3" t="s">
        <v>660</v>
      </c>
      <c r="M7" s="3" t="s">
        <v>661</v>
      </c>
      <c r="P7" s="3">
        <v>0</v>
      </c>
      <c r="Q7" s="69">
        <v>43833</v>
      </c>
      <c r="S7" s="3" t="s">
        <v>662</v>
      </c>
      <c r="U7" s="3">
        <v>0</v>
      </c>
      <c r="V7" s="3">
        <v>0</v>
      </c>
    </row>
    <row r="8" spans="1:25" ht="15.75" customHeight="1" x14ac:dyDescent="0.15">
      <c r="A8" s="13">
        <v>38416</v>
      </c>
      <c r="B8" s="3" t="s">
        <v>196</v>
      </c>
      <c r="C8" s="14">
        <v>0</v>
      </c>
      <c r="D8" s="14">
        <v>4.1666666666666664E-2</v>
      </c>
      <c r="E8" s="3" t="s">
        <v>197</v>
      </c>
      <c r="H8" s="3">
        <v>0</v>
      </c>
      <c r="K8" s="3">
        <v>1</v>
      </c>
      <c r="L8" s="3" t="s">
        <v>660</v>
      </c>
      <c r="M8" s="3" t="s">
        <v>661</v>
      </c>
      <c r="O8" s="3" t="s">
        <v>659</v>
      </c>
      <c r="P8" s="3">
        <v>0</v>
      </c>
      <c r="Q8" s="69">
        <v>43833</v>
      </c>
      <c r="R8" s="3" t="s">
        <v>659</v>
      </c>
      <c r="S8" s="3" t="s">
        <v>662</v>
      </c>
      <c r="T8" s="3" t="s">
        <v>659</v>
      </c>
      <c r="U8" s="3">
        <v>0</v>
      </c>
      <c r="V8" s="3">
        <v>0</v>
      </c>
    </row>
    <row r="9" spans="1:25" ht="15.75" customHeight="1" x14ac:dyDescent="0.15">
      <c r="A9" s="17">
        <v>38416</v>
      </c>
      <c r="B9" s="15" t="s">
        <v>201</v>
      </c>
      <c r="C9" s="18">
        <v>0</v>
      </c>
      <c r="D9" s="18">
        <v>4.1666666666666664E-2</v>
      </c>
      <c r="E9" s="15" t="s">
        <v>197</v>
      </c>
      <c r="H9" s="3">
        <v>0</v>
      </c>
      <c r="K9" s="3">
        <v>1</v>
      </c>
      <c r="L9" s="3" t="s">
        <v>660</v>
      </c>
      <c r="M9" s="3" t="s">
        <v>661</v>
      </c>
      <c r="P9" s="3">
        <v>0</v>
      </c>
      <c r="Q9" s="69">
        <v>43833</v>
      </c>
      <c r="S9" s="3" t="s">
        <v>662</v>
      </c>
      <c r="U9" s="3">
        <v>0</v>
      </c>
      <c r="V9" s="3">
        <v>0</v>
      </c>
    </row>
    <row r="10" spans="1:25" ht="15.75" customHeight="1" x14ac:dyDescent="0.15">
      <c r="A10" s="13">
        <v>38440</v>
      </c>
      <c r="B10" s="3" t="s">
        <v>216</v>
      </c>
      <c r="C10" s="14">
        <v>0</v>
      </c>
      <c r="D10" s="14">
        <v>4.1666666666666664E-2</v>
      </c>
      <c r="E10" s="3" t="s">
        <v>197</v>
      </c>
      <c r="H10" s="3">
        <v>0</v>
      </c>
      <c r="K10" s="3">
        <v>1</v>
      </c>
      <c r="L10" s="3" t="s">
        <v>660</v>
      </c>
      <c r="M10" s="3" t="s">
        <v>661</v>
      </c>
      <c r="P10" s="3">
        <v>0</v>
      </c>
      <c r="Q10" s="69">
        <v>43833</v>
      </c>
      <c r="S10" s="3" t="s">
        <v>662</v>
      </c>
      <c r="U10" s="3">
        <v>0</v>
      </c>
      <c r="V10" s="3">
        <v>0</v>
      </c>
    </row>
    <row r="11" spans="1:25" ht="15.75" customHeight="1" x14ac:dyDescent="0.15">
      <c r="A11" s="13">
        <v>38441</v>
      </c>
      <c r="B11" s="3" t="s">
        <v>219</v>
      </c>
      <c r="C11" s="14">
        <v>0</v>
      </c>
      <c r="D11" s="14">
        <v>4.1666666666666664E-2</v>
      </c>
      <c r="E11" s="3" t="s">
        <v>197</v>
      </c>
      <c r="H11" s="3">
        <v>0</v>
      </c>
      <c r="K11" s="3">
        <v>1</v>
      </c>
      <c r="L11" s="3" t="s">
        <v>660</v>
      </c>
      <c r="M11" s="3" t="s">
        <v>661</v>
      </c>
      <c r="P11" s="3">
        <v>0</v>
      </c>
      <c r="Q11" s="69">
        <v>43833</v>
      </c>
      <c r="S11" s="3" t="s">
        <v>662</v>
      </c>
      <c r="U11" s="3">
        <v>0</v>
      </c>
      <c r="V11" s="3">
        <v>0</v>
      </c>
    </row>
    <row r="12" spans="1:25" ht="15.75" customHeight="1" x14ac:dyDescent="0.15">
      <c r="A12" s="13">
        <v>38464</v>
      </c>
      <c r="B12" s="3" t="s">
        <v>201</v>
      </c>
      <c r="C12" s="14">
        <v>0</v>
      </c>
      <c r="D12" s="14">
        <v>4.1666666666666664E-2</v>
      </c>
      <c r="E12" s="3" t="s">
        <v>197</v>
      </c>
      <c r="K12" s="3">
        <v>1</v>
      </c>
      <c r="L12" s="3" t="s">
        <v>660</v>
      </c>
      <c r="M12" s="3" t="s">
        <v>661</v>
      </c>
      <c r="P12" s="3">
        <v>0</v>
      </c>
      <c r="Q12" s="69">
        <v>43833</v>
      </c>
      <c r="S12" s="3" t="s">
        <v>662</v>
      </c>
      <c r="U12" s="3">
        <v>0</v>
      </c>
      <c r="V12" s="3">
        <v>0</v>
      </c>
    </row>
    <row r="13" spans="1:25" ht="15.75" customHeight="1" x14ac:dyDescent="0.15">
      <c r="A13" s="13">
        <v>38469</v>
      </c>
      <c r="B13" s="3" t="s">
        <v>219</v>
      </c>
      <c r="C13" s="14">
        <v>0</v>
      </c>
      <c r="D13" s="14">
        <v>4.1666666666666664E-2</v>
      </c>
      <c r="E13" s="3" t="s">
        <v>197</v>
      </c>
      <c r="H13" s="3">
        <v>0</v>
      </c>
      <c r="K13" s="3">
        <v>1</v>
      </c>
      <c r="L13" s="3" t="s">
        <v>660</v>
      </c>
      <c r="M13" s="3" t="s">
        <v>661</v>
      </c>
      <c r="P13" s="3">
        <v>0</v>
      </c>
      <c r="Q13" s="69">
        <v>43833</v>
      </c>
      <c r="S13" s="3" t="s">
        <v>662</v>
      </c>
      <c r="U13" s="3">
        <v>0</v>
      </c>
      <c r="V13" s="3">
        <v>0</v>
      </c>
    </row>
    <row r="14" spans="1:25" ht="15.75" customHeight="1" x14ac:dyDescent="0.15">
      <c r="A14" s="13">
        <v>38471</v>
      </c>
      <c r="B14" s="3" t="s">
        <v>216</v>
      </c>
      <c r="C14" s="14">
        <v>0</v>
      </c>
      <c r="D14" s="14">
        <v>4.1666666666666664E-2</v>
      </c>
      <c r="E14" s="3" t="s">
        <v>197</v>
      </c>
      <c r="H14" s="3">
        <v>0</v>
      </c>
      <c r="K14" s="3">
        <v>1</v>
      </c>
      <c r="L14" s="3" t="s">
        <v>660</v>
      </c>
      <c r="M14" s="3" t="s">
        <v>661</v>
      </c>
      <c r="P14" s="3">
        <v>0</v>
      </c>
      <c r="Q14" s="69">
        <v>43833</v>
      </c>
      <c r="S14" s="3" t="s">
        <v>662</v>
      </c>
      <c r="U14" s="3">
        <v>0</v>
      </c>
      <c r="V14" s="3">
        <v>0</v>
      </c>
    </row>
    <row r="15" spans="1:25" ht="15.75" customHeight="1" x14ac:dyDescent="0.15">
      <c r="A15" s="13">
        <v>38473</v>
      </c>
      <c r="B15" s="3" t="s">
        <v>201</v>
      </c>
      <c r="C15" s="14">
        <v>0</v>
      </c>
      <c r="D15" s="14">
        <v>4.1666666666666664E-2</v>
      </c>
      <c r="E15" s="3" t="s">
        <v>197</v>
      </c>
      <c r="H15" s="3">
        <v>0</v>
      </c>
      <c r="K15" s="3">
        <v>1</v>
      </c>
      <c r="L15" s="3" t="s">
        <v>660</v>
      </c>
      <c r="M15" s="3" t="s">
        <v>661</v>
      </c>
      <c r="P15" s="3">
        <v>0</v>
      </c>
      <c r="Q15" s="69">
        <v>43833</v>
      </c>
      <c r="S15" s="3" t="s">
        <v>662</v>
      </c>
      <c r="U15" s="3">
        <v>0</v>
      </c>
      <c r="V15" s="3">
        <v>0</v>
      </c>
    </row>
    <row r="16" spans="1:25" ht="15.75" customHeight="1" x14ac:dyDescent="0.15">
      <c r="A16" s="13">
        <v>38473</v>
      </c>
      <c r="B16" s="3" t="s">
        <v>219</v>
      </c>
      <c r="C16" s="14">
        <v>0</v>
      </c>
      <c r="D16" s="14">
        <v>4.1666666666666664E-2</v>
      </c>
      <c r="E16" s="3" t="s">
        <v>197</v>
      </c>
      <c r="H16" s="3">
        <v>0</v>
      </c>
      <c r="K16" s="3">
        <v>1</v>
      </c>
      <c r="L16" s="3" t="s">
        <v>660</v>
      </c>
      <c r="M16" s="3" t="s">
        <v>661</v>
      </c>
      <c r="P16" s="3">
        <v>0</v>
      </c>
      <c r="Q16" s="69">
        <v>43833</v>
      </c>
      <c r="S16" s="3" t="s">
        <v>662</v>
      </c>
      <c r="U16" s="3">
        <v>0</v>
      </c>
      <c r="V16" s="3">
        <v>0</v>
      </c>
    </row>
    <row r="17" spans="1:22" ht="15.75" customHeight="1" x14ac:dyDescent="0.15">
      <c r="A17" s="13">
        <v>38478</v>
      </c>
      <c r="B17" s="3" t="s">
        <v>216</v>
      </c>
      <c r="C17" s="14">
        <v>0</v>
      </c>
      <c r="D17" s="14">
        <v>4.1666666666666664E-2</v>
      </c>
      <c r="E17" s="3" t="s">
        <v>197</v>
      </c>
      <c r="H17" s="3">
        <v>0</v>
      </c>
      <c r="K17" s="3">
        <v>1</v>
      </c>
      <c r="L17" s="3" t="s">
        <v>660</v>
      </c>
      <c r="M17" s="3" t="s">
        <v>661</v>
      </c>
      <c r="P17" s="3">
        <v>0</v>
      </c>
      <c r="Q17" s="69">
        <v>43833</v>
      </c>
      <c r="S17" s="3" t="s">
        <v>662</v>
      </c>
      <c r="U17" s="3">
        <v>0</v>
      </c>
      <c r="V17" s="3">
        <v>0</v>
      </c>
    </row>
    <row r="18" spans="1:22" ht="15.75" customHeight="1" x14ac:dyDescent="0.15">
      <c r="A18" s="13">
        <v>38479</v>
      </c>
      <c r="B18" s="3" t="s">
        <v>226</v>
      </c>
      <c r="C18" s="14">
        <v>0</v>
      </c>
      <c r="D18" s="14">
        <v>4.1666666666666664E-2</v>
      </c>
      <c r="E18" s="3" t="s">
        <v>197</v>
      </c>
      <c r="H18" s="3">
        <v>0</v>
      </c>
      <c r="K18" s="3">
        <v>1</v>
      </c>
      <c r="L18" s="3" t="s">
        <v>660</v>
      </c>
      <c r="M18" s="3" t="s">
        <v>661</v>
      </c>
      <c r="P18" s="3">
        <v>0</v>
      </c>
      <c r="Q18" s="69">
        <v>43833</v>
      </c>
      <c r="S18" s="3" t="s">
        <v>662</v>
      </c>
      <c r="U18" s="3">
        <v>0</v>
      </c>
      <c r="V18" s="3">
        <v>0</v>
      </c>
    </row>
    <row r="19" spans="1:22" ht="15.75" customHeight="1" x14ac:dyDescent="0.15">
      <c r="A19" s="13">
        <v>38493</v>
      </c>
      <c r="B19" s="3" t="s">
        <v>226</v>
      </c>
      <c r="C19" s="14">
        <v>0</v>
      </c>
      <c r="D19" s="14">
        <v>4.1666666666666664E-2</v>
      </c>
      <c r="E19" s="3" t="s">
        <v>197</v>
      </c>
      <c r="H19" s="3">
        <v>0</v>
      </c>
      <c r="K19" s="3">
        <v>1</v>
      </c>
      <c r="L19" s="3" t="s">
        <v>660</v>
      </c>
      <c r="M19" s="3" t="s">
        <v>661</v>
      </c>
      <c r="P19" s="3">
        <v>0</v>
      </c>
      <c r="Q19" s="69">
        <v>43833</v>
      </c>
      <c r="S19" s="3" t="s">
        <v>662</v>
      </c>
      <c r="U19" s="3">
        <v>0</v>
      </c>
      <c r="V19" s="3">
        <v>0</v>
      </c>
    </row>
    <row r="20" spans="1:22" ht="15.75" customHeight="1" x14ac:dyDescent="0.15">
      <c r="A20" s="13">
        <v>38496</v>
      </c>
      <c r="B20" s="3" t="s">
        <v>230</v>
      </c>
      <c r="C20" s="14">
        <v>0</v>
      </c>
      <c r="D20" s="14">
        <v>4.1666666666666664E-2</v>
      </c>
      <c r="E20" s="3" t="s">
        <v>197</v>
      </c>
      <c r="H20" s="3">
        <v>0</v>
      </c>
      <c r="K20" s="3">
        <v>1</v>
      </c>
      <c r="L20" s="3" t="s">
        <v>660</v>
      </c>
      <c r="M20" s="3" t="s">
        <v>661</v>
      </c>
      <c r="P20" s="3">
        <v>0</v>
      </c>
      <c r="Q20" s="69">
        <v>43833</v>
      </c>
      <c r="S20" s="3" t="s">
        <v>662</v>
      </c>
      <c r="U20" s="3">
        <v>0</v>
      </c>
      <c r="V20" s="3">
        <v>0</v>
      </c>
    </row>
    <row r="21" spans="1:22" ht="15.75" customHeight="1" x14ac:dyDescent="0.15">
      <c r="A21" s="13">
        <v>38507</v>
      </c>
      <c r="B21" s="3" t="s">
        <v>226</v>
      </c>
      <c r="C21" s="14">
        <v>0</v>
      </c>
      <c r="D21" s="14">
        <v>4.1666666666666664E-2</v>
      </c>
      <c r="E21" s="3" t="s">
        <v>197</v>
      </c>
      <c r="H21" s="3">
        <v>0</v>
      </c>
      <c r="K21" s="3">
        <v>1</v>
      </c>
      <c r="L21" s="3" t="s">
        <v>660</v>
      </c>
      <c r="M21" s="3" t="s">
        <v>661</v>
      </c>
      <c r="P21" s="3">
        <v>0</v>
      </c>
      <c r="Q21" s="69">
        <v>43833</v>
      </c>
      <c r="S21" s="3" t="s">
        <v>662</v>
      </c>
      <c r="U21" s="3">
        <v>0</v>
      </c>
      <c r="V21" s="3">
        <v>0</v>
      </c>
    </row>
    <row r="22" spans="1:22" ht="15.75" customHeight="1" x14ac:dyDescent="0.15">
      <c r="A22" s="13">
        <v>38824</v>
      </c>
      <c r="B22" s="3" t="s">
        <v>233</v>
      </c>
      <c r="C22" s="14">
        <v>0</v>
      </c>
      <c r="D22" s="14">
        <v>4.1666666666666664E-2</v>
      </c>
      <c r="E22" s="3" t="s">
        <v>197</v>
      </c>
      <c r="H22" s="3">
        <v>0</v>
      </c>
      <c r="K22" s="3">
        <v>1</v>
      </c>
      <c r="L22" s="3" t="s">
        <v>660</v>
      </c>
      <c r="M22" s="3" t="s">
        <v>661</v>
      </c>
      <c r="P22" s="3">
        <v>0</v>
      </c>
      <c r="Q22" s="69">
        <v>43833</v>
      </c>
      <c r="S22" s="3" t="s">
        <v>662</v>
      </c>
      <c r="U22" s="3">
        <v>0</v>
      </c>
      <c r="V22" s="3">
        <v>0</v>
      </c>
    </row>
    <row r="23" spans="1:22" ht="15.75" customHeight="1" x14ac:dyDescent="0.15">
      <c r="A23" s="13">
        <v>38824</v>
      </c>
      <c r="B23" s="3" t="s">
        <v>201</v>
      </c>
      <c r="C23" s="14">
        <v>0</v>
      </c>
      <c r="D23" s="14">
        <v>4.1666666666666664E-2</v>
      </c>
      <c r="E23" s="3" t="s">
        <v>197</v>
      </c>
      <c r="H23" s="3">
        <v>0</v>
      </c>
      <c r="K23" s="3">
        <v>1</v>
      </c>
      <c r="L23" s="3" t="s">
        <v>660</v>
      </c>
      <c r="M23" s="3" t="s">
        <v>661</v>
      </c>
      <c r="P23" s="3">
        <v>0</v>
      </c>
      <c r="Q23" s="69">
        <v>43833</v>
      </c>
      <c r="S23" s="3" t="s">
        <v>662</v>
      </c>
      <c r="U23" s="3">
        <v>0</v>
      </c>
      <c r="V23" s="3">
        <v>0</v>
      </c>
    </row>
    <row r="24" spans="1:22" ht="15.75" customHeight="1" x14ac:dyDescent="0.15">
      <c r="A24" s="13">
        <v>38825</v>
      </c>
      <c r="B24" s="3" t="s">
        <v>230</v>
      </c>
      <c r="C24" s="14">
        <v>0</v>
      </c>
      <c r="D24" s="14">
        <v>4.1666666666666664E-2</v>
      </c>
      <c r="E24" s="3" t="s">
        <v>197</v>
      </c>
      <c r="H24" s="3">
        <v>0</v>
      </c>
      <c r="K24" s="3">
        <v>1</v>
      </c>
      <c r="L24" s="3" t="s">
        <v>660</v>
      </c>
      <c r="M24" s="3" t="s">
        <v>661</v>
      </c>
      <c r="P24" s="3">
        <v>0</v>
      </c>
      <c r="Q24" s="69">
        <v>43833</v>
      </c>
      <c r="S24" s="3" t="s">
        <v>662</v>
      </c>
      <c r="U24" s="3">
        <v>0</v>
      </c>
      <c r="V24" s="3">
        <v>0</v>
      </c>
    </row>
    <row r="25" spans="1:22" ht="15.75" customHeight="1" x14ac:dyDescent="0.15">
      <c r="A25" s="13">
        <v>38834</v>
      </c>
      <c r="B25" s="3" t="s">
        <v>219</v>
      </c>
      <c r="C25" s="14">
        <v>0</v>
      </c>
      <c r="D25" s="14">
        <v>4.1666666666666664E-2</v>
      </c>
      <c r="E25" s="3" t="s">
        <v>197</v>
      </c>
      <c r="H25" s="3">
        <v>0</v>
      </c>
      <c r="K25" s="3">
        <v>1</v>
      </c>
      <c r="L25" s="3" t="s">
        <v>660</v>
      </c>
      <c r="M25" s="3" t="s">
        <v>661</v>
      </c>
      <c r="P25" s="3">
        <v>0</v>
      </c>
      <c r="Q25" s="69">
        <v>43833</v>
      </c>
      <c r="S25" s="3" t="s">
        <v>662</v>
      </c>
      <c r="U25" s="3">
        <v>0</v>
      </c>
      <c r="V25" s="3">
        <v>0</v>
      </c>
    </row>
    <row r="26" spans="1:22" ht="15.75" customHeight="1" x14ac:dyDescent="0.15">
      <c r="A26" s="13">
        <v>38835</v>
      </c>
      <c r="B26" s="3" t="s">
        <v>216</v>
      </c>
      <c r="C26" s="14">
        <v>0</v>
      </c>
      <c r="D26" s="14">
        <v>4.1666666666666664E-2</v>
      </c>
      <c r="E26" s="3" t="s">
        <v>197</v>
      </c>
      <c r="H26" s="3">
        <v>0</v>
      </c>
      <c r="K26" s="3">
        <v>1</v>
      </c>
      <c r="L26" s="3" t="s">
        <v>660</v>
      </c>
      <c r="M26" s="3" t="s">
        <v>661</v>
      </c>
      <c r="P26" s="3">
        <v>0</v>
      </c>
      <c r="Q26" s="69">
        <v>43833</v>
      </c>
      <c r="S26" s="3" t="s">
        <v>662</v>
      </c>
      <c r="U26" s="3">
        <v>0</v>
      </c>
      <c r="V26" s="3">
        <v>0</v>
      </c>
    </row>
    <row r="27" spans="1:22" ht="15.75" customHeight="1" x14ac:dyDescent="0.15">
      <c r="A27" s="13">
        <v>38838</v>
      </c>
      <c r="B27" s="3" t="s">
        <v>240</v>
      </c>
      <c r="C27" s="14">
        <v>0</v>
      </c>
      <c r="D27" s="14">
        <v>4.1666666666666664E-2</v>
      </c>
      <c r="E27" s="3" t="s">
        <v>197</v>
      </c>
      <c r="H27" s="3">
        <v>0</v>
      </c>
      <c r="K27" s="3">
        <v>1</v>
      </c>
      <c r="L27" s="3" t="s">
        <v>660</v>
      </c>
      <c r="M27" s="3" t="s">
        <v>661</v>
      </c>
      <c r="P27" s="3">
        <v>0</v>
      </c>
      <c r="Q27" s="69">
        <v>43833</v>
      </c>
      <c r="S27" s="3" t="s">
        <v>662</v>
      </c>
      <c r="U27" s="3">
        <v>0</v>
      </c>
      <c r="V27" s="3">
        <v>0</v>
      </c>
    </row>
    <row r="28" spans="1:22" ht="15.75" customHeight="1" x14ac:dyDescent="0.15">
      <c r="A28" s="13">
        <v>38849</v>
      </c>
      <c r="B28" s="3" t="s">
        <v>219</v>
      </c>
      <c r="C28" s="14">
        <v>0</v>
      </c>
      <c r="D28" s="14">
        <v>4.1666666666666664E-2</v>
      </c>
      <c r="E28" s="3" t="s">
        <v>197</v>
      </c>
      <c r="H28" s="3">
        <v>0</v>
      </c>
      <c r="K28" s="3">
        <v>1</v>
      </c>
      <c r="L28" s="3" t="s">
        <v>660</v>
      </c>
      <c r="M28" s="3" t="s">
        <v>661</v>
      </c>
      <c r="P28" s="3">
        <v>0</v>
      </c>
      <c r="Q28" s="69">
        <v>43833</v>
      </c>
      <c r="S28" s="3" t="s">
        <v>662</v>
      </c>
      <c r="U28" s="3">
        <v>0</v>
      </c>
      <c r="V28" s="3">
        <v>0</v>
      </c>
    </row>
    <row r="29" spans="1:22" ht="15.75" customHeight="1" x14ac:dyDescent="0.15">
      <c r="A29" s="13">
        <v>38852</v>
      </c>
      <c r="B29" s="3" t="s">
        <v>216</v>
      </c>
      <c r="C29" s="14">
        <v>0</v>
      </c>
      <c r="D29" s="14">
        <v>4.1666666666666664E-2</v>
      </c>
      <c r="E29" s="3" t="s">
        <v>197</v>
      </c>
      <c r="H29" s="3">
        <v>0</v>
      </c>
      <c r="K29" s="3">
        <v>1</v>
      </c>
      <c r="L29" s="3" t="s">
        <v>660</v>
      </c>
      <c r="M29" s="3" t="s">
        <v>661</v>
      </c>
      <c r="P29" s="3">
        <v>0</v>
      </c>
      <c r="Q29" s="69">
        <v>43833</v>
      </c>
      <c r="S29" s="3" t="s">
        <v>662</v>
      </c>
      <c r="U29" s="3">
        <v>0</v>
      </c>
      <c r="V29" s="3">
        <v>0</v>
      </c>
    </row>
    <row r="30" spans="1:22" ht="15.75" customHeight="1" x14ac:dyDescent="0.15">
      <c r="A30" s="13">
        <v>38853</v>
      </c>
      <c r="B30" s="3" t="s">
        <v>244</v>
      </c>
      <c r="C30" s="14">
        <v>0</v>
      </c>
      <c r="D30" s="14">
        <v>4.1666666666666664E-2</v>
      </c>
      <c r="E30" s="3" t="s">
        <v>197</v>
      </c>
      <c r="H30" s="3">
        <v>0</v>
      </c>
      <c r="K30" s="3">
        <v>1</v>
      </c>
      <c r="L30" s="3" t="s">
        <v>660</v>
      </c>
      <c r="M30" s="3" t="s">
        <v>661</v>
      </c>
      <c r="P30" s="3">
        <v>0</v>
      </c>
      <c r="Q30" s="69">
        <v>43833</v>
      </c>
      <c r="S30" s="3" t="s">
        <v>662</v>
      </c>
      <c r="U30" s="3">
        <v>0</v>
      </c>
      <c r="V30" s="3">
        <v>0</v>
      </c>
    </row>
    <row r="31" spans="1:22" ht="15.75" customHeight="1" x14ac:dyDescent="0.15">
      <c r="A31" s="13">
        <v>38854</v>
      </c>
      <c r="B31" s="3" t="s">
        <v>246</v>
      </c>
      <c r="C31" s="14">
        <v>0</v>
      </c>
      <c r="D31" s="14">
        <v>4.1666666666666664E-2</v>
      </c>
      <c r="E31" s="3" t="s">
        <v>197</v>
      </c>
      <c r="H31" s="3">
        <v>0</v>
      </c>
      <c r="K31" s="3">
        <v>1</v>
      </c>
      <c r="L31" s="3" t="s">
        <v>660</v>
      </c>
      <c r="M31" s="3" t="s">
        <v>661</v>
      </c>
      <c r="P31" s="3">
        <v>0</v>
      </c>
      <c r="Q31" s="69">
        <v>43833</v>
      </c>
      <c r="S31" s="3" t="s">
        <v>662</v>
      </c>
      <c r="U31" s="3">
        <v>0</v>
      </c>
      <c r="V31" s="3">
        <v>0</v>
      </c>
    </row>
    <row r="32" spans="1:22" ht="15.75" customHeight="1" x14ac:dyDescent="0.15">
      <c r="A32" s="13">
        <v>39177</v>
      </c>
      <c r="B32" s="3" t="s">
        <v>247</v>
      </c>
      <c r="C32" s="14">
        <v>0</v>
      </c>
      <c r="D32" s="14">
        <v>4.1666666666666664E-2</v>
      </c>
      <c r="E32" s="3" t="s">
        <v>197</v>
      </c>
      <c r="H32" s="3">
        <v>0</v>
      </c>
      <c r="K32" s="3">
        <v>1</v>
      </c>
      <c r="L32" s="3" t="s">
        <v>660</v>
      </c>
      <c r="M32" s="3" t="s">
        <v>661</v>
      </c>
      <c r="P32" s="3">
        <v>0</v>
      </c>
      <c r="Q32" s="69">
        <v>43833</v>
      </c>
      <c r="S32" s="3" t="s">
        <v>662</v>
      </c>
      <c r="U32" s="3">
        <v>0</v>
      </c>
      <c r="V32" s="3">
        <v>0</v>
      </c>
    </row>
    <row r="33" spans="1:24" ht="15.75" customHeight="1" x14ac:dyDescent="0.15">
      <c r="A33" s="13">
        <v>39190</v>
      </c>
      <c r="B33" s="3" t="s">
        <v>201</v>
      </c>
      <c r="C33" s="14">
        <v>0</v>
      </c>
      <c r="D33" s="14">
        <v>4.1666666666666664E-2</v>
      </c>
      <c r="E33" s="3" t="s">
        <v>197</v>
      </c>
      <c r="H33" s="3">
        <v>0</v>
      </c>
      <c r="K33" s="3">
        <v>1</v>
      </c>
      <c r="L33" s="3" t="s">
        <v>663</v>
      </c>
      <c r="M33" s="3" t="s">
        <v>661</v>
      </c>
      <c r="P33" s="3">
        <v>0</v>
      </c>
      <c r="Q33" s="69">
        <v>43833</v>
      </c>
      <c r="S33" s="3" t="s">
        <v>662</v>
      </c>
      <c r="U33" s="3">
        <v>0</v>
      </c>
      <c r="V33" s="3">
        <v>0</v>
      </c>
    </row>
    <row r="34" spans="1:24" ht="15.75" customHeight="1" x14ac:dyDescent="0.15">
      <c r="A34" s="13">
        <v>39191</v>
      </c>
      <c r="B34" s="3" t="s">
        <v>250</v>
      </c>
      <c r="C34" s="14">
        <v>0</v>
      </c>
      <c r="D34" s="14">
        <v>4.1666666666666664E-2</v>
      </c>
      <c r="E34" s="3" t="s">
        <v>197</v>
      </c>
      <c r="H34" s="3">
        <v>0</v>
      </c>
      <c r="K34" s="3">
        <v>1</v>
      </c>
      <c r="L34" s="3" t="s">
        <v>660</v>
      </c>
      <c r="M34" s="3" t="s">
        <v>661</v>
      </c>
      <c r="P34" s="3">
        <v>0</v>
      </c>
      <c r="Q34" s="69">
        <v>43833</v>
      </c>
      <c r="S34" s="3" t="s">
        <v>662</v>
      </c>
      <c r="U34" s="3">
        <v>0</v>
      </c>
      <c r="V34" s="3">
        <v>0</v>
      </c>
    </row>
    <row r="35" spans="1:24" ht="15.75" customHeight="1" x14ac:dyDescent="0.15">
      <c r="A35" s="13">
        <v>39191</v>
      </c>
      <c r="B35" s="3" t="s">
        <v>201</v>
      </c>
      <c r="C35" s="14">
        <v>0</v>
      </c>
      <c r="D35" s="14">
        <v>4.1666666666666664E-2</v>
      </c>
      <c r="E35" s="3" t="s">
        <v>197</v>
      </c>
      <c r="H35" s="3">
        <v>0</v>
      </c>
      <c r="K35" s="3">
        <v>1</v>
      </c>
      <c r="L35" s="3" t="s">
        <v>660</v>
      </c>
      <c r="M35" s="3" t="s">
        <v>661</v>
      </c>
      <c r="P35" s="3">
        <v>0</v>
      </c>
      <c r="Q35" s="69">
        <v>43833</v>
      </c>
      <c r="S35" s="3" t="s">
        <v>662</v>
      </c>
      <c r="U35" s="3">
        <v>0</v>
      </c>
      <c r="V35" s="3">
        <v>0</v>
      </c>
    </row>
    <row r="36" spans="1:24" ht="15.75" customHeight="1" x14ac:dyDescent="0.15">
      <c r="A36" s="13">
        <v>39192</v>
      </c>
      <c r="B36" s="3" t="s">
        <v>230</v>
      </c>
      <c r="C36" s="14">
        <v>0</v>
      </c>
      <c r="D36" s="14">
        <v>4.1666666666666664E-2</v>
      </c>
      <c r="E36" s="3" t="s">
        <v>197</v>
      </c>
      <c r="H36" s="3">
        <v>0</v>
      </c>
      <c r="K36" s="3">
        <v>1</v>
      </c>
      <c r="L36" s="3" t="s">
        <v>660</v>
      </c>
      <c r="M36" s="3" t="s">
        <v>661</v>
      </c>
      <c r="P36" s="3">
        <v>0</v>
      </c>
      <c r="Q36" s="69">
        <v>43833</v>
      </c>
      <c r="S36" s="3" t="s">
        <v>662</v>
      </c>
      <c r="U36" s="3">
        <v>0</v>
      </c>
      <c r="V36" s="3">
        <v>0</v>
      </c>
    </row>
    <row r="37" spans="1:24" ht="15.75" customHeight="1" x14ac:dyDescent="0.15">
      <c r="A37" s="13">
        <v>39192</v>
      </c>
      <c r="B37" s="3" t="s">
        <v>246</v>
      </c>
      <c r="C37" s="14">
        <v>0</v>
      </c>
      <c r="D37" s="14">
        <v>4.1666666666666664E-2</v>
      </c>
      <c r="E37" s="3" t="s">
        <v>197</v>
      </c>
      <c r="H37" s="3">
        <v>0</v>
      </c>
      <c r="K37" s="3">
        <v>1</v>
      </c>
      <c r="L37" s="3" t="s">
        <v>660</v>
      </c>
      <c r="M37" s="3" t="s">
        <v>661</v>
      </c>
      <c r="P37" s="3">
        <v>0</v>
      </c>
      <c r="Q37" s="69">
        <v>43833</v>
      </c>
      <c r="S37" s="3" t="s">
        <v>662</v>
      </c>
      <c r="U37" s="3">
        <v>0</v>
      </c>
      <c r="V37" s="3">
        <v>0</v>
      </c>
    </row>
    <row r="38" spans="1:24" ht="15.75" customHeight="1" x14ac:dyDescent="0.15">
      <c r="A38" s="13">
        <v>39203</v>
      </c>
      <c r="B38" s="3" t="s">
        <v>230</v>
      </c>
      <c r="C38" s="14">
        <v>0</v>
      </c>
      <c r="D38" s="14">
        <v>4.1666666666666664E-2</v>
      </c>
      <c r="E38" s="3" t="s">
        <v>197</v>
      </c>
      <c r="H38" s="3">
        <v>0</v>
      </c>
      <c r="K38" s="3">
        <v>1</v>
      </c>
      <c r="L38" s="3" t="s">
        <v>660</v>
      </c>
      <c r="M38" s="3" t="s">
        <v>661</v>
      </c>
      <c r="P38" s="3">
        <v>0</v>
      </c>
      <c r="Q38" s="69">
        <v>43833</v>
      </c>
      <c r="S38" s="3" t="s">
        <v>662</v>
      </c>
      <c r="U38" s="3">
        <v>0</v>
      </c>
      <c r="V38" s="3">
        <v>0</v>
      </c>
    </row>
    <row r="39" spans="1:24" ht="15.75" customHeight="1" x14ac:dyDescent="0.15">
      <c r="A39" s="13">
        <v>39203</v>
      </c>
      <c r="B39" s="3" t="s">
        <v>216</v>
      </c>
      <c r="C39" s="14">
        <v>0</v>
      </c>
      <c r="D39" s="14">
        <v>4.1666666666666664E-2</v>
      </c>
      <c r="E39" s="3" t="s">
        <v>197</v>
      </c>
      <c r="H39" s="3">
        <v>0</v>
      </c>
      <c r="K39" s="3">
        <v>1</v>
      </c>
      <c r="L39" s="3" t="s">
        <v>660</v>
      </c>
      <c r="M39" s="3" t="s">
        <v>661</v>
      </c>
      <c r="P39" s="3">
        <v>0</v>
      </c>
      <c r="Q39" s="69">
        <v>43833</v>
      </c>
      <c r="S39" s="3" t="s">
        <v>662</v>
      </c>
      <c r="U39" s="3">
        <v>0</v>
      </c>
      <c r="V39" s="3">
        <v>0</v>
      </c>
    </row>
    <row r="40" spans="1:24" ht="15.75" customHeight="1" x14ac:dyDescent="0.15">
      <c r="A40" s="13">
        <v>39204</v>
      </c>
      <c r="B40" s="3" t="s">
        <v>219</v>
      </c>
      <c r="C40" s="14">
        <v>0</v>
      </c>
      <c r="D40" s="14">
        <v>4.1666666666666664E-2</v>
      </c>
      <c r="E40" s="3" t="s">
        <v>197</v>
      </c>
      <c r="H40" s="3">
        <v>0</v>
      </c>
      <c r="K40" s="3">
        <v>1</v>
      </c>
      <c r="L40" s="3" t="s">
        <v>660</v>
      </c>
      <c r="M40" s="3" t="s">
        <v>661</v>
      </c>
      <c r="P40" s="3">
        <v>0</v>
      </c>
      <c r="Q40" s="69">
        <v>43833</v>
      </c>
      <c r="S40" s="3" t="s">
        <v>662</v>
      </c>
      <c r="U40" s="3">
        <v>0</v>
      </c>
      <c r="V40" s="3">
        <v>0</v>
      </c>
    </row>
    <row r="41" spans="1:24" ht="15.75" customHeight="1" x14ac:dyDescent="0.15">
      <c r="A41" s="13">
        <v>39206</v>
      </c>
      <c r="B41" s="3" t="s">
        <v>216</v>
      </c>
      <c r="C41" s="14">
        <v>0</v>
      </c>
      <c r="D41" s="14">
        <v>4.1666666666666664E-2</v>
      </c>
      <c r="E41" s="3" t="s">
        <v>197</v>
      </c>
      <c r="H41" s="3">
        <v>0</v>
      </c>
      <c r="K41" s="3">
        <v>1</v>
      </c>
      <c r="L41" s="3" t="s">
        <v>660</v>
      </c>
      <c r="M41" s="3" t="s">
        <v>661</v>
      </c>
      <c r="P41" s="3">
        <v>0</v>
      </c>
      <c r="Q41" s="69">
        <v>43833</v>
      </c>
      <c r="S41" s="3" t="s">
        <v>662</v>
      </c>
      <c r="U41" s="3">
        <v>0</v>
      </c>
      <c r="V41" s="3">
        <v>0</v>
      </c>
    </row>
    <row r="42" spans="1:24" ht="15.75" customHeight="1" x14ac:dyDescent="0.15">
      <c r="A42" s="13">
        <v>39217</v>
      </c>
      <c r="B42" s="3" t="s">
        <v>259</v>
      </c>
      <c r="C42" s="14">
        <v>0</v>
      </c>
      <c r="D42" s="14">
        <v>4.1666666666666664E-2</v>
      </c>
      <c r="E42" s="3" t="s">
        <v>197</v>
      </c>
      <c r="H42" s="3">
        <v>0</v>
      </c>
      <c r="K42" s="3">
        <v>1</v>
      </c>
      <c r="L42" s="3" t="s">
        <v>660</v>
      </c>
      <c r="M42" s="3" t="s">
        <v>661</v>
      </c>
      <c r="P42" s="3">
        <v>0</v>
      </c>
      <c r="Q42" s="69">
        <v>43833</v>
      </c>
      <c r="S42" s="3" t="s">
        <v>662</v>
      </c>
      <c r="U42" s="3">
        <v>0</v>
      </c>
      <c r="V42" s="3">
        <v>0</v>
      </c>
    </row>
    <row r="43" spans="1:24" ht="15.75" customHeight="1" x14ac:dyDescent="0.15">
      <c r="A43" s="13">
        <v>39218</v>
      </c>
      <c r="B43" s="3" t="s">
        <v>216</v>
      </c>
      <c r="C43" s="14">
        <v>0</v>
      </c>
      <c r="D43" s="14">
        <v>4.1666666666666664E-2</v>
      </c>
      <c r="E43" s="3" t="s">
        <v>197</v>
      </c>
      <c r="H43" s="3">
        <v>0</v>
      </c>
      <c r="K43" s="3">
        <v>1</v>
      </c>
      <c r="L43" s="3" t="s">
        <v>660</v>
      </c>
      <c r="M43" s="3" t="s">
        <v>661</v>
      </c>
      <c r="P43" s="3">
        <v>0</v>
      </c>
      <c r="Q43" s="69">
        <v>43833</v>
      </c>
      <c r="S43" s="3" t="s">
        <v>662</v>
      </c>
      <c r="U43" s="3">
        <v>0</v>
      </c>
      <c r="V43" s="3">
        <v>0</v>
      </c>
    </row>
    <row r="44" spans="1:24" ht="15.75" customHeight="1" x14ac:dyDescent="0.15">
      <c r="A44" s="13">
        <v>39219</v>
      </c>
      <c r="B44" s="3" t="s">
        <v>247</v>
      </c>
      <c r="C44" s="14">
        <v>0</v>
      </c>
      <c r="D44" s="14">
        <v>4.1666666666666664E-2</v>
      </c>
      <c r="E44" s="3" t="s">
        <v>197</v>
      </c>
      <c r="H44" s="3">
        <v>0</v>
      </c>
      <c r="K44" s="3">
        <v>1</v>
      </c>
      <c r="L44" s="3" t="s">
        <v>660</v>
      </c>
      <c r="M44" s="3" t="s">
        <v>661</v>
      </c>
      <c r="P44" s="3">
        <v>0</v>
      </c>
      <c r="Q44" s="69">
        <v>43833</v>
      </c>
      <c r="S44" s="3" t="s">
        <v>662</v>
      </c>
      <c r="U44" s="3">
        <v>0</v>
      </c>
      <c r="V44" s="3">
        <v>0</v>
      </c>
    </row>
    <row r="45" spans="1:24" ht="15.75" customHeight="1" x14ac:dyDescent="0.15">
      <c r="A45" s="13">
        <v>39220</v>
      </c>
      <c r="B45" s="3" t="s">
        <v>219</v>
      </c>
      <c r="C45" s="14">
        <v>0</v>
      </c>
      <c r="D45" s="14">
        <v>4.1666666666666664E-2</v>
      </c>
      <c r="E45" s="3" t="s">
        <v>197</v>
      </c>
      <c r="H45" s="3">
        <v>0</v>
      </c>
      <c r="K45" s="3">
        <v>1</v>
      </c>
      <c r="L45" s="3" t="s">
        <v>660</v>
      </c>
      <c r="M45" s="3" t="s">
        <v>661</v>
      </c>
      <c r="P45" s="3">
        <v>0</v>
      </c>
      <c r="Q45" s="69">
        <v>43833</v>
      </c>
      <c r="S45" s="3" t="s">
        <v>662</v>
      </c>
      <c r="U45" s="3">
        <v>0</v>
      </c>
      <c r="V45" s="3">
        <v>0</v>
      </c>
    </row>
    <row r="46" spans="1:24" ht="15.75" customHeight="1" x14ac:dyDescent="0.15">
      <c r="A46" s="13">
        <v>39501</v>
      </c>
      <c r="B46" s="3" t="s">
        <v>250</v>
      </c>
      <c r="C46" s="14">
        <v>0</v>
      </c>
      <c r="D46" s="14">
        <v>4.1666666666666664E-2</v>
      </c>
      <c r="E46" s="3" t="s">
        <v>197</v>
      </c>
      <c r="H46" s="3">
        <v>0</v>
      </c>
      <c r="K46" s="3">
        <v>1</v>
      </c>
      <c r="L46" s="3" t="s">
        <v>660</v>
      </c>
      <c r="M46" s="3" t="s">
        <v>661</v>
      </c>
      <c r="P46" s="3">
        <v>0</v>
      </c>
      <c r="Q46" s="69">
        <v>43833</v>
      </c>
      <c r="S46" s="3" t="s">
        <v>662</v>
      </c>
      <c r="U46" s="3">
        <v>0</v>
      </c>
      <c r="V46" s="3">
        <v>0</v>
      </c>
    </row>
    <row r="47" spans="1:24" ht="15.75" customHeight="1" x14ac:dyDescent="0.15">
      <c r="A47" s="13">
        <v>42420</v>
      </c>
      <c r="B47" s="3" t="s">
        <v>216</v>
      </c>
      <c r="C47" s="14">
        <v>0.36388888888888887</v>
      </c>
      <c r="D47" s="14">
        <v>0.43055555555555558</v>
      </c>
      <c r="E47" s="3" t="s">
        <v>197</v>
      </c>
      <c r="H47" s="70">
        <v>0.40902777777777777</v>
      </c>
      <c r="I47" s="3">
        <v>0</v>
      </c>
      <c r="J47" s="3" t="s">
        <v>659</v>
      </c>
      <c r="K47" s="3">
        <v>24</v>
      </c>
      <c r="L47" s="3" t="s">
        <v>660</v>
      </c>
      <c r="M47" s="3" t="s">
        <v>664</v>
      </c>
      <c r="O47" s="3" t="s">
        <v>659</v>
      </c>
      <c r="P47" s="69">
        <v>43835</v>
      </c>
      <c r="Q47" s="69">
        <v>43833</v>
      </c>
      <c r="R47" s="3" t="s">
        <v>659</v>
      </c>
      <c r="S47" s="3" t="s">
        <v>662</v>
      </c>
      <c r="T47" s="3" t="s">
        <v>659</v>
      </c>
      <c r="U47" s="69">
        <v>43835</v>
      </c>
      <c r="X47" s="3" t="s">
        <v>665</v>
      </c>
    </row>
    <row r="48" spans="1:24" ht="15.75" customHeight="1" x14ac:dyDescent="0.15">
      <c r="A48" s="13">
        <v>42427</v>
      </c>
      <c r="B48" s="3" t="s">
        <v>266</v>
      </c>
      <c r="C48" s="14">
        <v>0.4826388888888889</v>
      </c>
      <c r="D48" s="14">
        <v>0.54166666666666663</v>
      </c>
      <c r="E48" s="3" t="s">
        <v>197</v>
      </c>
      <c r="H48" s="70">
        <v>0.52083333333333337</v>
      </c>
      <c r="I48" s="3">
        <v>0.1</v>
      </c>
      <c r="J48" s="3" t="s">
        <v>571</v>
      </c>
      <c r="K48" s="3">
        <v>5</v>
      </c>
      <c r="L48" s="3" t="s">
        <v>660</v>
      </c>
      <c r="M48" s="3" t="s">
        <v>664</v>
      </c>
      <c r="O48" s="3" t="s">
        <v>571</v>
      </c>
      <c r="P48" s="69">
        <v>43835</v>
      </c>
      <c r="Q48" s="69">
        <v>43833</v>
      </c>
      <c r="R48" s="3" t="s">
        <v>571</v>
      </c>
      <c r="S48" s="69">
        <v>43833</v>
      </c>
      <c r="T48" s="3" t="s">
        <v>571</v>
      </c>
      <c r="U48" s="69">
        <v>43835</v>
      </c>
      <c r="V48" s="3">
        <v>0</v>
      </c>
      <c r="X48" s="3" t="s">
        <v>666</v>
      </c>
    </row>
    <row r="49" spans="1:25" ht="15.75" customHeight="1" x14ac:dyDescent="0.15">
      <c r="A49" s="13">
        <v>42428</v>
      </c>
      <c r="B49" s="3" t="s">
        <v>266</v>
      </c>
      <c r="C49" s="14">
        <v>0.48958333333333331</v>
      </c>
      <c r="D49" s="14">
        <v>0.5625</v>
      </c>
      <c r="E49" s="3" t="s">
        <v>197</v>
      </c>
      <c r="H49" s="70">
        <v>0.5625</v>
      </c>
      <c r="I49" s="3">
        <v>0.1</v>
      </c>
      <c r="J49" s="3" t="s">
        <v>571</v>
      </c>
      <c r="K49" s="3">
        <v>5</v>
      </c>
      <c r="L49" s="3" t="s">
        <v>660</v>
      </c>
      <c r="M49" s="3" t="s">
        <v>661</v>
      </c>
      <c r="O49" s="3" t="s">
        <v>571</v>
      </c>
      <c r="P49" s="3">
        <v>0</v>
      </c>
      <c r="Q49" s="69">
        <v>43833</v>
      </c>
      <c r="R49" s="3" t="s">
        <v>571</v>
      </c>
      <c r="S49" s="69">
        <v>43833</v>
      </c>
      <c r="T49" s="3" t="s">
        <v>571</v>
      </c>
      <c r="U49" s="3">
        <v>0</v>
      </c>
      <c r="V49" s="3">
        <v>0</v>
      </c>
      <c r="X49" s="3" t="s">
        <v>667</v>
      </c>
    </row>
    <row r="50" spans="1:25" ht="15.75" customHeight="1" x14ac:dyDescent="0.15">
      <c r="A50" s="13">
        <v>42428</v>
      </c>
      <c r="B50" s="3" t="s">
        <v>201</v>
      </c>
      <c r="C50" s="14"/>
      <c r="D50" s="14"/>
      <c r="E50" s="3"/>
      <c r="H50" s="70"/>
      <c r="I50" s="3"/>
      <c r="J50" s="3"/>
      <c r="K50" s="3"/>
      <c r="L50" s="3"/>
      <c r="M50" s="3"/>
      <c r="N50" s="3"/>
      <c r="O50" s="3"/>
      <c r="P50" s="3"/>
      <c r="Q50" s="69"/>
      <c r="R50" s="3"/>
      <c r="S50" s="3"/>
      <c r="T50" s="3"/>
      <c r="U50" s="3"/>
      <c r="V50" s="3"/>
      <c r="Y50" s="3"/>
    </row>
    <row r="51" spans="1:25" ht="15.75" customHeight="1" x14ac:dyDescent="0.15">
      <c r="A51" s="13">
        <v>42435</v>
      </c>
      <c r="B51" s="3" t="s">
        <v>216</v>
      </c>
      <c r="C51" s="14"/>
      <c r="D51" s="14"/>
      <c r="E51" s="3"/>
      <c r="H51" s="70"/>
      <c r="I51" s="3"/>
      <c r="J51" s="3"/>
      <c r="K51" s="3"/>
      <c r="L51" s="3"/>
      <c r="M51" s="3"/>
      <c r="N51" s="3"/>
      <c r="O51" s="3"/>
      <c r="P51" s="3"/>
      <c r="Q51" s="69"/>
      <c r="R51" s="3"/>
      <c r="S51" s="3"/>
      <c r="T51" s="3"/>
      <c r="U51" s="3"/>
      <c r="V51" s="3"/>
      <c r="Y51" s="3"/>
    </row>
    <row r="52" spans="1:25" ht="15.75" customHeight="1" x14ac:dyDescent="0.15">
      <c r="A52" s="13">
        <v>42437</v>
      </c>
      <c r="B52" s="3" t="s">
        <v>219</v>
      </c>
      <c r="C52" s="14">
        <v>0.4201388888888889</v>
      </c>
      <c r="D52" s="14">
        <v>0.47222222222222221</v>
      </c>
      <c r="E52" s="3" t="s">
        <v>269</v>
      </c>
      <c r="H52" s="70">
        <v>0.42638888888888887</v>
      </c>
      <c r="I52" s="3">
        <v>-0.23</v>
      </c>
      <c r="J52" s="3" t="s">
        <v>659</v>
      </c>
      <c r="K52" s="3">
        <v>31</v>
      </c>
      <c r="L52" s="3" t="s">
        <v>668</v>
      </c>
      <c r="M52" s="3" t="s">
        <v>664</v>
      </c>
      <c r="N52" s="3">
        <v>1</v>
      </c>
      <c r="O52" s="3" t="s">
        <v>659</v>
      </c>
      <c r="P52" s="3">
        <v>0</v>
      </c>
      <c r="Q52" s="69">
        <v>43833</v>
      </c>
      <c r="R52" s="3" t="s">
        <v>659</v>
      </c>
      <c r="S52" s="3" t="s">
        <v>669</v>
      </c>
      <c r="T52" s="3" t="s">
        <v>659</v>
      </c>
      <c r="U52" s="3">
        <v>0</v>
      </c>
      <c r="V52" s="3">
        <v>0</v>
      </c>
      <c r="Y52" s="3" t="s">
        <v>670</v>
      </c>
    </row>
    <row r="53" spans="1:25" ht="15.75" customHeight="1" x14ac:dyDescent="0.15">
      <c r="A53" s="13">
        <v>42439</v>
      </c>
      <c r="B53" s="3" t="s">
        <v>216</v>
      </c>
      <c r="C53" s="14">
        <v>0.43194444444444446</v>
      </c>
      <c r="D53" s="14">
        <v>0.47986111111111113</v>
      </c>
      <c r="E53" s="3" t="s">
        <v>272</v>
      </c>
      <c r="H53" s="70">
        <v>0.47361111111111109</v>
      </c>
      <c r="I53" s="3">
        <v>-0.09</v>
      </c>
      <c r="J53" s="3" t="s">
        <v>659</v>
      </c>
      <c r="K53" s="3">
        <v>26</v>
      </c>
      <c r="L53" s="3" t="s">
        <v>668</v>
      </c>
      <c r="M53" s="3" t="s">
        <v>664</v>
      </c>
      <c r="O53" s="3" t="s">
        <v>659</v>
      </c>
      <c r="P53" s="69">
        <v>43992</v>
      </c>
      <c r="Q53" s="69">
        <v>43833</v>
      </c>
      <c r="R53" s="3" t="s">
        <v>659</v>
      </c>
      <c r="S53" s="3" t="s">
        <v>669</v>
      </c>
      <c r="T53" s="3" t="s">
        <v>659</v>
      </c>
      <c r="U53" s="69">
        <v>43835</v>
      </c>
      <c r="V53" s="69">
        <v>43835</v>
      </c>
    </row>
    <row r="54" spans="1:25" ht="15.75" customHeight="1" x14ac:dyDescent="0.15">
      <c r="A54" s="13">
        <v>42439</v>
      </c>
      <c r="B54" s="3" t="s">
        <v>266</v>
      </c>
      <c r="C54" s="14">
        <v>0.375</v>
      </c>
      <c r="D54" s="14">
        <v>0.54166666666666663</v>
      </c>
      <c r="E54" s="3" t="s">
        <v>274</v>
      </c>
      <c r="H54" s="70">
        <v>0.5</v>
      </c>
      <c r="I54" s="3">
        <v>-0.14000000000000001</v>
      </c>
      <c r="J54" s="3" t="s">
        <v>671</v>
      </c>
      <c r="K54" s="3">
        <v>18</v>
      </c>
      <c r="L54" s="3" t="s">
        <v>668</v>
      </c>
      <c r="M54" s="3" t="s">
        <v>661</v>
      </c>
      <c r="O54" s="3" t="s">
        <v>571</v>
      </c>
      <c r="P54" s="3">
        <v>0</v>
      </c>
      <c r="Q54" s="69">
        <v>43833</v>
      </c>
      <c r="R54" s="3" t="s">
        <v>571</v>
      </c>
      <c r="S54" s="3" t="s">
        <v>672</v>
      </c>
      <c r="T54" s="3" t="s">
        <v>571</v>
      </c>
      <c r="U54" s="3">
        <v>0</v>
      </c>
      <c r="V54" s="3">
        <v>0</v>
      </c>
      <c r="Y54" s="3" t="s">
        <v>673</v>
      </c>
    </row>
    <row r="55" spans="1:25" ht="15.75" customHeight="1" x14ac:dyDescent="0.15">
      <c r="A55" s="13">
        <v>42440</v>
      </c>
      <c r="B55" s="3" t="s">
        <v>246</v>
      </c>
      <c r="C55" s="14">
        <v>0.42708333333333331</v>
      </c>
      <c r="D55" s="14">
        <v>0.47916666666666669</v>
      </c>
      <c r="E55" s="3" t="s">
        <v>274</v>
      </c>
      <c r="H55" s="70">
        <v>0.46736111111111112</v>
      </c>
      <c r="I55" s="3">
        <v>0.3</v>
      </c>
      <c r="J55" s="3" t="s">
        <v>674</v>
      </c>
      <c r="K55" s="3">
        <v>16</v>
      </c>
      <c r="L55" s="3" t="s">
        <v>660</v>
      </c>
      <c r="M55" s="3" t="s">
        <v>661</v>
      </c>
      <c r="O55" s="3" t="s">
        <v>674</v>
      </c>
      <c r="P55" s="69">
        <v>43835</v>
      </c>
      <c r="Q55" s="69">
        <v>43833</v>
      </c>
      <c r="R55" s="3" t="s">
        <v>674</v>
      </c>
      <c r="S55" s="3" t="s">
        <v>669</v>
      </c>
      <c r="T55" s="3" t="s">
        <v>674</v>
      </c>
      <c r="U55" s="3">
        <v>0</v>
      </c>
      <c r="V55" s="3">
        <v>0</v>
      </c>
      <c r="Y55" s="3" t="s">
        <v>675</v>
      </c>
    </row>
    <row r="56" spans="1:25" ht="15.75" customHeight="1" x14ac:dyDescent="0.15">
      <c r="A56" s="13">
        <v>42443</v>
      </c>
      <c r="B56" s="3" t="s">
        <v>230</v>
      </c>
      <c r="C56" s="14">
        <v>0.55208333333333337</v>
      </c>
      <c r="D56" s="14">
        <v>0.625</v>
      </c>
      <c r="E56" s="3" t="s">
        <v>197</v>
      </c>
      <c r="H56" s="70">
        <v>0.59097222222222223</v>
      </c>
      <c r="I56" s="3">
        <v>0.05</v>
      </c>
      <c r="J56" s="3" t="s">
        <v>676</v>
      </c>
      <c r="K56" s="3">
        <v>0</v>
      </c>
      <c r="L56" s="3" t="s">
        <v>660</v>
      </c>
      <c r="M56" s="3" t="s">
        <v>661</v>
      </c>
      <c r="O56" s="3" t="s">
        <v>676</v>
      </c>
      <c r="P56" s="69">
        <v>43835</v>
      </c>
      <c r="Q56" s="69">
        <v>43833</v>
      </c>
      <c r="R56" s="3" t="s">
        <v>676</v>
      </c>
      <c r="S56" s="3" t="s">
        <v>669</v>
      </c>
      <c r="T56" s="3" t="s">
        <v>676</v>
      </c>
      <c r="U56" s="69">
        <v>43835</v>
      </c>
      <c r="V56" s="3">
        <v>0</v>
      </c>
      <c r="X56" s="3" t="s">
        <v>677</v>
      </c>
    </row>
    <row r="57" spans="1:25" ht="13" x14ac:dyDescent="0.15">
      <c r="A57" s="13">
        <v>42464</v>
      </c>
      <c r="B57" s="3" t="s">
        <v>244</v>
      </c>
      <c r="C57" s="14">
        <v>0.375</v>
      </c>
      <c r="D57" s="14">
        <v>0.45833333333333331</v>
      </c>
      <c r="E57" s="3" t="s">
        <v>278</v>
      </c>
      <c r="H57" s="70">
        <v>0.35</v>
      </c>
      <c r="I57" s="3">
        <v>-0.03</v>
      </c>
      <c r="J57" s="3" t="s">
        <v>244</v>
      </c>
      <c r="K57" s="3">
        <v>19</v>
      </c>
      <c r="L57" s="3" t="s">
        <v>660</v>
      </c>
      <c r="M57" s="3" t="s">
        <v>661</v>
      </c>
      <c r="O57" s="3" t="s">
        <v>244</v>
      </c>
      <c r="P57" s="69">
        <v>43992</v>
      </c>
      <c r="Q57" s="69">
        <v>43833</v>
      </c>
      <c r="R57" s="3" t="s">
        <v>244</v>
      </c>
      <c r="S57" s="69">
        <v>43928</v>
      </c>
      <c r="T57" s="3" t="s">
        <v>244</v>
      </c>
      <c r="U57" s="69">
        <v>43835</v>
      </c>
      <c r="V57" s="3">
        <v>0</v>
      </c>
    </row>
    <row r="58" spans="1:25" ht="13" x14ac:dyDescent="0.15">
      <c r="A58" s="13">
        <v>42465</v>
      </c>
      <c r="B58" s="3" t="s">
        <v>280</v>
      </c>
      <c r="C58" s="14">
        <v>0.43055555555555558</v>
      </c>
      <c r="D58" s="14">
        <v>0.47916666666666669</v>
      </c>
      <c r="E58" s="3" t="s">
        <v>274</v>
      </c>
      <c r="H58" s="70">
        <v>0.41666666666666669</v>
      </c>
      <c r="I58" s="3">
        <v>-0.04</v>
      </c>
      <c r="J58" s="3" t="s">
        <v>678</v>
      </c>
      <c r="K58" s="3">
        <v>32</v>
      </c>
      <c r="L58" s="3" t="s">
        <v>660</v>
      </c>
      <c r="M58" s="3" t="s">
        <v>664</v>
      </c>
      <c r="O58" s="3" t="s">
        <v>678</v>
      </c>
      <c r="P58" s="69">
        <v>43992</v>
      </c>
      <c r="Q58" s="69">
        <v>43833</v>
      </c>
      <c r="R58" s="3" t="s">
        <v>678</v>
      </c>
      <c r="S58" s="3" t="s">
        <v>662</v>
      </c>
      <c r="T58" s="3" t="s">
        <v>678</v>
      </c>
      <c r="U58" s="3">
        <v>0</v>
      </c>
      <c r="V58" s="3">
        <v>0</v>
      </c>
      <c r="Y58" s="3" t="s">
        <v>679</v>
      </c>
    </row>
    <row r="59" spans="1:25" ht="13" x14ac:dyDescent="0.15">
      <c r="A59" s="13">
        <v>42465</v>
      </c>
      <c r="B59" s="3" t="s">
        <v>244</v>
      </c>
      <c r="C59" s="14">
        <v>0.35416666666666669</v>
      </c>
      <c r="D59" s="14">
        <v>0.41875000000000001</v>
      </c>
      <c r="E59" s="3" t="s">
        <v>274</v>
      </c>
      <c r="H59" s="70">
        <v>0.37222222222222223</v>
      </c>
      <c r="I59" s="3">
        <v>-0.1</v>
      </c>
      <c r="J59" s="3" t="s">
        <v>244</v>
      </c>
      <c r="K59" s="3">
        <v>24</v>
      </c>
      <c r="L59" s="3" t="s">
        <v>668</v>
      </c>
      <c r="M59" s="3" t="s">
        <v>661</v>
      </c>
      <c r="O59" s="3" t="s">
        <v>244</v>
      </c>
      <c r="P59" s="3" t="s">
        <v>680</v>
      </c>
      <c r="Q59" s="69">
        <v>43833</v>
      </c>
      <c r="R59" s="3" t="s">
        <v>244</v>
      </c>
      <c r="S59" s="69">
        <v>43928</v>
      </c>
      <c r="T59" s="3" t="s">
        <v>244</v>
      </c>
      <c r="U59" s="3">
        <v>0</v>
      </c>
      <c r="V59" s="3">
        <v>0</v>
      </c>
      <c r="X59" s="3" t="s">
        <v>681</v>
      </c>
      <c r="Y59" s="3" t="s">
        <v>682</v>
      </c>
    </row>
    <row r="60" spans="1:25" ht="13" x14ac:dyDescent="0.15">
      <c r="A60" s="13">
        <v>42465</v>
      </c>
      <c r="B60" s="3" t="s">
        <v>244</v>
      </c>
      <c r="C60" s="14">
        <v>0.375</v>
      </c>
      <c r="D60" s="14">
        <v>0.45833333333333331</v>
      </c>
      <c r="E60" s="3" t="s">
        <v>278</v>
      </c>
      <c r="H60" s="70">
        <v>0.37222222222222223</v>
      </c>
      <c r="I60" s="3">
        <v>-0.1</v>
      </c>
      <c r="J60" s="3" t="s">
        <v>244</v>
      </c>
      <c r="K60" s="3">
        <v>20</v>
      </c>
      <c r="L60" s="3" t="s">
        <v>660</v>
      </c>
      <c r="M60" s="3" t="s">
        <v>661</v>
      </c>
      <c r="O60" s="3" t="s">
        <v>244</v>
      </c>
      <c r="P60" s="3" t="s">
        <v>680</v>
      </c>
      <c r="Q60" s="69">
        <v>43833</v>
      </c>
      <c r="R60" s="3" t="s">
        <v>244</v>
      </c>
      <c r="S60" s="69">
        <v>43928</v>
      </c>
      <c r="T60" s="3" t="s">
        <v>244</v>
      </c>
      <c r="U60" s="3">
        <v>0</v>
      </c>
      <c r="V60" s="3">
        <v>0</v>
      </c>
      <c r="X60" s="3" t="s">
        <v>681</v>
      </c>
    </row>
    <row r="61" spans="1:25" ht="13" x14ac:dyDescent="0.15">
      <c r="A61" s="13">
        <v>42465</v>
      </c>
      <c r="B61" s="3" t="s">
        <v>312</v>
      </c>
      <c r="C61" s="14">
        <v>0.40625</v>
      </c>
      <c r="D61" s="14">
        <v>0.49305555555555558</v>
      </c>
      <c r="E61" s="3"/>
      <c r="H61" s="70">
        <v>0.35902777777777778</v>
      </c>
      <c r="I61" s="3">
        <v>-0.17</v>
      </c>
      <c r="J61" s="3" t="s">
        <v>678</v>
      </c>
      <c r="K61" s="3">
        <v>8</v>
      </c>
      <c r="L61" s="3" t="s">
        <v>660</v>
      </c>
      <c r="M61" s="3" t="s">
        <v>661</v>
      </c>
      <c r="O61" s="3" t="s">
        <v>678</v>
      </c>
      <c r="P61" s="3" t="s">
        <v>680</v>
      </c>
      <c r="Q61" s="69">
        <v>43833</v>
      </c>
      <c r="R61" s="3" t="s">
        <v>678</v>
      </c>
      <c r="S61" s="3" t="s">
        <v>662</v>
      </c>
      <c r="T61" s="3" t="s">
        <v>678</v>
      </c>
      <c r="U61" s="69">
        <v>43835</v>
      </c>
      <c r="V61" s="69">
        <v>43835</v>
      </c>
      <c r="W61" s="3" t="s">
        <v>683</v>
      </c>
    </row>
    <row r="62" spans="1:25" ht="13" x14ac:dyDescent="0.15">
      <c r="A62" s="13">
        <v>42467</v>
      </c>
      <c r="B62" s="3" t="s">
        <v>201</v>
      </c>
      <c r="C62" s="14">
        <v>0.38194444444444442</v>
      </c>
      <c r="D62" s="14">
        <v>0.46875</v>
      </c>
      <c r="E62" s="3" t="s">
        <v>274</v>
      </c>
      <c r="H62" s="70">
        <v>0.41805555555555557</v>
      </c>
      <c r="I62" s="3">
        <v>-0.39</v>
      </c>
      <c r="J62" s="3" t="s">
        <v>659</v>
      </c>
      <c r="K62" s="3">
        <v>26</v>
      </c>
      <c r="L62" s="3" t="s">
        <v>660</v>
      </c>
      <c r="M62" s="3" t="s">
        <v>664</v>
      </c>
      <c r="O62" s="3" t="s">
        <v>659</v>
      </c>
      <c r="P62" s="3" t="s">
        <v>684</v>
      </c>
      <c r="Q62" s="69">
        <v>43833</v>
      </c>
      <c r="R62" s="3" t="s">
        <v>659</v>
      </c>
      <c r="S62" s="3" t="s">
        <v>669</v>
      </c>
      <c r="T62" s="3" t="s">
        <v>659</v>
      </c>
      <c r="U62" s="69">
        <v>43835</v>
      </c>
      <c r="V62" s="3">
        <v>0</v>
      </c>
      <c r="Y62" s="3" t="s">
        <v>685</v>
      </c>
    </row>
    <row r="63" spans="1:25" ht="13" x14ac:dyDescent="0.15">
      <c r="A63" s="13">
        <v>42467</v>
      </c>
      <c r="B63" s="3" t="s">
        <v>233</v>
      </c>
      <c r="C63" s="14">
        <v>0.375</v>
      </c>
      <c r="D63" s="14">
        <v>0.43888888888888888</v>
      </c>
      <c r="E63" s="3" t="s">
        <v>286</v>
      </c>
      <c r="H63" s="70">
        <v>0.4152777777777778</v>
      </c>
      <c r="I63" s="3">
        <v>-1</v>
      </c>
      <c r="J63" s="3" t="s">
        <v>686</v>
      </c>
      <c r="K63" s="3">
        <v>17</v>
      </c>
      <c r="L63" s="3" t="s">
        <v>687</v>
      </c>
      <c r="M63" s="3" t="s">
        <v>661</v>
      </c>
      <c r="O63" s="3" t="s">
        <v>686</v>
      </c>
      <c r="P63" s="3">
        <v>0</v>
      </c>
      <c r="Q63" s="69">
        <v>43833</v>
      </c>
      <c r="R63" s="3" t="s">
        <v>686</v>
      </c>
      <c r="S63" s="3" t="s">
        <v>662</v>
      </c>
      <c r="T63" s="3" t="s">
        <v>686</v>
      </c>
      <c r="U63" s="3">
        <v>0</v>
      </c>
      <c r="V63" s="3">
        <v>0</v>
      </c>
    </row>
    <row r="64" spans="1:25" ht="13" x14ac:dyDescent="0.15">
      <c r="A64" s="13">
        <v>42468</v>
      </c>
      <c r="B64" s="3" t="s">
        <v>247</v>
      </c>
      <c r="C64" s="14">
        <v>0.3972222222222222</v>
      </c>
      <c r="D64" s="14">
        <v>0.44791666666666669</v>
      </c>
      <c r="E64" s="3" t="s">
        <v>289</v>
      </c>
      <c r="H64" s="70">
        <v>0.41666666666666669</v>
      </c>
      <c r="I64" s="3">
        <v>-0.5</v>
      </c>
      <c r="J64" s="3" t="s">
        <v>688</v>
      </c>
      <c r="K64" s="3">
        <v>13</v>
      </c>
      <c r="L64" s="3" t="s">
        <v>660</v>
      </c>
      <c r="M64" s="3" t="s">
        <v>664</v>
      </c>
      <c r="O64" s="3" t="s">
        <v>688</v>
      </c>
      <c r="P64" s="69">
        <v>44150</v>
      </c>
      <c r="Q64" s="69">
        <v>43833</v>
      </c>
      <c r="R64" s="3" t="s">
        <v>688</v>
      </c>
      <c r="S64" s="69">
        <v>43928</v>
      </c>
      <c r="T64" s="3" t="s">
        <v>688</v>
      </c>
      <c r="U64" s="3">
        <v>0</v>
      </c>
      <c r="V64" s="3">
        <v>0</v>
      </c>
    </row>
    <row r="65" spans="1:25" ht="13" x14ac:dyDescent="0.15">
      <c r="A65" s="13">
        <v>42468</v>
      </c>
      <c r="B65" s="3" t="s">
        <v>291</v>
      </c>
      <c r="C65" s="14">
        <v>0.38194444444444442</v>
      </c>
      <c r="D65" s="14">
        <v>0.45833333333333331</v>
      </c>
      <c r="E65" s="3" t="s">
        <v>274</v>
      </c>
      <c r="H65" s="70">
        <v>0.40763888888888888</v>
      </c>
      <c r="I65" s="3">
        <v>0</v>
      </c>
      <c r="J65" s="3" t="s">
        <v>688</v>
      </c>
      <c r="K65" s="3">
        <v>29</v>
      </c>
      <c r="L65" s="3" t="s">
        <v>689</v>
      </c>
      <c r="M65" s="3" t="s">
        <v>664</v>
      </c>
      <c r="O65" s="3" t="s">
        <v>688</v>
      </c>
      <c r="P65" s="3" t="s">
        <v>680</v>
      </c>
      <c r="Q65" s="69">
        <v>43833</v>
      </c>
      <c r="R65" s="3" t="s">
        <v>688</v>
      </c>
      <c r="S65" s="69">
        <v>43928</v>
      </c>
      <c r="T65" s="3" t="s">
        <v>688</v>
      </c>
      <c r="U65" s="3">
        <v>0</v>
      </c>
      <c r="V65" s="3">
        <v>0</v>
      </c>
      <c r="Y65" s="3" t="s">
        <v>690</v>
      </c>
    </row>
    <row r="66" spans="1:25" ht="13" x14ac:dyDescent="0.15">
      <c r="A66" s="13">
        <v>42468</v>
      </c>
      <c r="B66" s="3" t="s">
        <v>196</v>
      </c>
      <c r="C66" s="14">
        <v>0.36458333333333331</v>
      </c>
      <c r="D66" s="14">
        <v>0.40625</v>
      </c>
      <c r="E66" s="3" t="s">
        <v>325</v>
      </c>
      <c r="H66" s="70">
        <v>0.39791666666666664</v>
      </c>
      <c r="I66" s="3">
        <v>-0.26</v>
      </c>
      <c r="J66" s="3" t="s">
        <v>691</v>
      </c>
      <c r="K66" s="3">
        <v>12</v>
      </c>
      <c r="L66" s="3" t="s">
        <v>668</v>
      </c>
      <c r="M66" s="3" t="s">
        <v>664</v>
      </c>
      <c r="O66" s="3" t="s">
        <v>691</v>
      </c>
      <c r="P66" s="3">
        <v>0</v>
      </c>
      <c r="Q66" s="69">
        <v>43833</v>
      </c>
      <c r="R66" s="3" t="s">
        <v>691</v>
      </c>
      <c r="S66" s="69">
        <v>44055</v>
      </c>
      <c r="T66" s="3" t="s">
        <v>691</v>
      </c>
      <c r="U66" s="3">
        <v>0</v>
      </c>
      <c r="V66" s="3">
        <v>0</v>
      </c>
    </row>
    <row r="67" spans="1:25" ht="13" x14ac:dyDescent="0.15">
      <c r="A67" s="13">
        <v>42469</v>
      </c>
      <c r="B67" s="3" t="s">
        <v>293</v>
      </c>
      <c r="C67" s="14">
        <v>0.40763888888888888</v>
      </c>
      <c r="D67" s="14">
        <v>0.46527777777777779</v>
      </c>
      <c r="E67" s="3" t="s">
        <v>197</v>
      </c>
      <c r="H67" s="70">
        <v>0.43333333333333335</v>
      </c>
      <c r="I67" s="3">
        <v>-0.5</v>
      </c>
      <c r="J67" s="3" t="s">
        <v>688</v>
      </c>
      <c r="K67" s="3">
        <v>3</v>
      </c>
      <c r="L67" s="3" t="s">
        <v>660</v>
      </c>
      <c r="M67" s="3" t="s">
        <v>661</v>
      </c>
      <c r="O67" s="3" t="s">
        <v>688</v>
      </c>
      <c r="P67" s="3" t="s">
        <v>684</v>
      </c>
      <c r="Q67" s="69">
        <v>43833</v>
      </c>
      <c r="R67" s="3" t="s">
        <v>688</v>
      </c>
      <c r="S67" s="3" t="s">
        <v>662</v>
      </c>
      <c r="T67" s="3" t="s">
        <v>688</v>
      </c>
      <c r="U67" s="3">
        <v>0</v>
      </c>
      <c r="V67" s="3">
        <v>0</v>
      </c>
      <c r="X67" s="3" t="s">
        <v>692</v>
      </c>
    </row>
    <row r="68" spans="1:25" ht="13" x14ac:dyDescent="0.15">
      <c r="A68" s="13">
        <v>42470</v>
      </c>
      <c r="B68" s="3" t="s">
        <v>293</v>
      </c>
      <c r="C68" s="14">
        <v>0.43402777777777779</v>
      </c>
      <c r="D68" s="14">
        <v>0.52777777777777779</v>
      </c>
      <c r="E68" s="3" t="s">
        <v>197</v>
      </c>
      <c r="H68" s="70">
        <v>0.46111111111111114</v>
      </c>
      <c r="I68" s="3">
        <v>-0.4</v>
      </c>
      <c r="J68" s="3" t="s">
        <v>688</v>
      </c>
      <c r="K68" s="3">
        <v>3</v>
      </c>
      <c r="L68" s="3" t="s">
        <v>660</v>
      </c>
      <c r="M68" s="3" t="s">
        <v>661</v>
      </c>
      <c r="O68" s="3" t="s">
        <v>688</v>
      </c>
      <c r="P68" s="69">
        <v>43992</v>
      </c>
      <c r="Q68" s="69">
        <v>43833</v>
      </c>
      <c r="R68" s="3" t="s">
        <v>688</v>
      </c>
      <c r="S68" s="69">
        <v>43833</v>
      </c>
      <c r="T68" s="3" t="s">
        <v>688</v>
      </c>
      <c r="U68" s="3">
        <v>0</v>
      </c>
      <c r="V68" s="69">
        <v>43835</v>
      </c>
      <c r="W68" s="3" t="s">
        <v>693</v>
      </c>
      <c r="X68" s="3" t="s">
        <v>677</v>
      </c>
    </row>
    <row r="69" spans="1:25" ht="13" x14ac:dyDescent="0.15">
      <c r="A69" s="13">
        <v>42471</v>
      </c>
      <c r="B69" s="3" t="s">
        <v>266</v>
      </c>
      <c r="C69" s="14">
        <v>0.48958333333333331</v>
      </c>
      <c r="D69" s="14">
        <v>0.54166666666666663</v>
      </c>
      <c r="E69" s="3" t="s">
        <v>297</v>
      </c>
      <c r="H69" s="70">
        <v>0.50694444444444442</v>
      </c>
      <c r="I69" s="3">
        <v>-0.1</v>
      </c>
      <c r="J69" s="3" t="s">
        <v>571</v>
      </c>
      <c r="K69" s="3">
        <v>21</v>
      </c>
      <c r="L69" s="3" t="s">
        <v>668</v>
      </c>
      <c r="M69" s="3" t="s">
        <v>664</v>
      </c>
      <c r="O69" s="3" t="s">
        <v>571</v>
      </c>
      <c r="P69" s="3">
        <v>0</v>
      </c>
      <c r="Q69" s="69">
        <v>43833</v>
      </c>
      <c r="R69" s="3" t="s">
        <v>571</v>
      </c>
      <c r="S69" s="3" t="s">
        <v>669</v>
      </c>
      <c r="T69" s="3" t="s">
        <v>571</v>
      </c>
      <c r="U69" s="3">
        <v>0</v>
      </c>
      <c r="V69" s="3">
        <v>0</v>
      </c>
    </row>
    <row r="70" spans="1:25" ht="13" x14ac:dyDescent="0.15">
      <c r="A70" s="13">
        <v>42471</v>
      </c>
      <c r="B70" s="3" t="s">
        <v>216</v>
      </c>
      <c r="C70" s="14">
        <v>0.52777777777777779</v>
      </c>
      <c r="D70" s="14">
        <v>0.57291666666666663</v>
      </c>
      <c r="E70" s="3" t="s">
        <v>299</v>
      </c>
      <c r="H70" s="70">
        <v>0.52708333333333335</v>
      </c>
      <c r="I70" s="3">
        <v>-0.08</v>
      </c>
      <c r="J70" s="3" t="s">
        <v>659</v>
      </c>
      <c r="K70" s="3">
        <v>12</v>
      </c>
      <c r="L70" s="3" t="s">
        <v>668</v>
      </c>
      <c r="M70" s="3" t="s">
        <v>664</v>
      </c>
      <c r="O70" s="3" t="s">
        <v>659</v>
      </c>
      <c r="P70" s="69">
        <v>43992</v>
      </c>
      <c r="Q70" s="69">
        <v>43833</v>
      </c>
      <c r="R70" s="3" t="s">
        <v>659</v>
      </c>
      <c r="S70" s="69">
        <v>44055</v>
      </c>
      <c r="T70" s="3" t="s">
        <v>659</v>
      </c>
      <c r="U70" s="3">
        <v>0</v>
      </c>
      <c r="V70" s="3">
        <v>0</v>
      </c>
    </row>
    <row r="71" spans="1:25" ht="13" x14ac:dyDescent="0.15">
      <c r="A71" s="13">
        <v>42471</v>
      </c>
      <c r="B71" s="3" t="s">
        <v>301</v>
      </c>
      <c r="C71" s="14">
        <v>0.48958333333333331</v>
      </c>
      <c r="D71" s="14">
        <v>0.54166666666666663</v>
      </c>
      <c r="E71" s="3" t="s">
        <v>302</v>
      </c>
      <c r="H71" s="70">
        <v>0.50972222222222219</v>
      </c>
      <c r="I71" s="3">
        <v>-0.1</v>
      </c>
      <c r="J71" s="3" t="s">
        <v>671</v>
      </c>
      <c r="K71" s="3">
        <v>21</v>
      </c>
      <c r="L71" s="3" t="s">
        <v>689</v>
      </c>
      <c r="M71" s="3" t="s">
        <v>664</v>
      </c>
      <c r="N71" s="3">
        <v>0.5</v>
      </c>
      <c r="O71" s="3" t="s">
        <v>671</v>
      </c>
      <c r="P71" s="3">
        <v>0</v>
      </c>
      <c r="Q71" s="69">
        <v>43833</v>
      </c>
      <c r="R71" s="3" t="s">
        <v>671</v>
      </c>
      <c r="S71" s="69">
        <v>44055</v>
      </c>
      <c r="T71" s="3" t="s">
        <v>671</v>
      </c>
      <c r="U71" s="3">
        <v>0</v>
      </c>
      <c r="V71" s="3">
        <v>0</v>
      </c>
    </row>
    <row r="72" spans="1:25" ht="13" x14ac:dyDescent="0.15">
      <c r="A72" s="13">
        <v>42475</v>
      </c>
      <c r="B72" s="3" t="s">
        <v>303</v>
      </c>
      <c r="C72" s="14">
        <v>0.33333333333333331</v>
      </c>
      <c r="D72" s="14">
        <v>0.41666666666666669</v>
      </c>
      <c r="E72" s="3" t="s">
        <v>274</v>
      </c>
      <c r="H72" s="70">
        <v>0.33333333333333331</v>
      </c>
      <c r="I72" s="3">
        <v>-0.5</v>
      </c>
      <c r="J72" s="3" t="s">
        <v>694</v>
      </c>
      <c r="K72" s="3">
        <v>16</v>
      </c>
      <c r="L72" s="3" t="s">
        <v>660</v>
      </c>
      <c r="M72" s="3" t="s">
        <v>661</v>
      </c>
      <c r="O72" s="3" t="s">
        <v>694</v>
      </c>
      <c r="P72" s="3">
        <v>0</v>
      </c>
      <c r="Q72" s="69">
        <v>43833</v>
      </c>
      <c r="R72" s="3" t="s">
        <v>694</v>
      </c>
      <c r="S72" s="3" t="s">
        <v>662</v>
      </c>
      <c r="T72" s="3" t="s">
        <v>694</v>
      </c>
      <c r="U72" s="3">
        <v>0</v>
      </c>
      <c r="V72" s="3">
        <v>0</v>
      </c>
    </row>
    <row r="73" spans="1:25" ht="13" x14ac:dyDescent="0.15">
      <c r="A73" s="13">
        <v>42479</v>
      </c>
      <c r="B73" s="3" t="s">
        <v>201</v>
      </c>
      <c r="C73" s="14">
        <v>0.3611111111111111</v>
      </c>
      <c r="D73" s="14">
        <v>0.41666666666666669</v>
      </c>
      <c r="E73" s="3" t="s">
        <v>274</v>
      </c>
      <c r="H73" s="70">
        <v>0.36041666666666666</v>
      </c>
      <c r="I73" s="3">
        <v>-0.13</v>
      </c>
      <c r="J73" s="3" t="s">
        <v>659</v>
      </c>
      <c r="K73" s="3">
        <v>10</v>
      </c>
      <c r="L73" s="3" t="s">
        <v>660</v>
      </c>
      <c r="M73" s="3" t="s">
        <v>664</v>
      </c>
      <c r="N73" s="3">
        <v>0.25</v>
      </c>
      <c r="O73" s="3" t="s">
        <v>659</v>
      </c>
      <c r="P73" s="69">
        <v>43835</v>
      </c>
      <c r="Q73" s="69">
        <v>43833</v>
      </c>
      <c r="R73" s="3" t="s">
        <v>659</v>
      </c>
      <c r="S73" s="69">
        <v>44055</v>
      </c>
      <c r="T73" s="3" t="s">
        <v>695</v>
      </c>
      <c r="U73" s="69">
        <v>43835</v>
      </c>
      <c r="V73" s="3">
        <v>0</v>
      </c>
      <c r="Y73" s="3" t="s">
        <v>696</v>
      </c>
    </row>
    <row r="74" spans="1:25" ht="13" x14ac:dyDescent="0.15">
      <c r="A74" s="13">
        <v>42479</v>
      </c>
      <c r="B74" s="3" t="s">
        <v>293</v>
      </c>
      <c r="C74" s="14">
        <v>0.43055555555555558</v>
      </c>
      <c r="D74" s="14">
        <v>0.46180555555555558</v>
      </c>
      <c r="E74" s="3" t="s">
        <v>274</v>
      </c>
      <c r="H74" s="70">
        <v>0.3263888888888889</v>
      </c>
      <c r="I74" s="3">
        <v>-0.09</v>
      </c>
      <c r="J74" s="3" t="s">
        <v>688</v>
      </c>
      <c r="K74" s="3">
        <v>24</v>
      </c>
      <c r="L74" s="3" t="s">
        <v>668</v>
      </c>
      <c r="M74" s="3" t="s">
        <v>664</v>
      </c>
      <c r="O74" s="3" t="s">
        <v>697</v>
      </c>
      <c r="P74" s="3" t="s">
        <v>698</v>
      </c>
      <c r="Q74" s="69">
        <v>43833</v>
      </c>
      <c r="R74" s="3" t="s">
        <v>697</v>
      </c>
      <c r="S74" s="69">
        <v>43928</v>
      </c>
      <c r="T74" s="3" t="s">
        <v>697</v>
      </c>
      <c r="U74" s="69">
        <v>43835</v>
      </c>
      <c r="V74" s="3">
        <v>0</v>
      </c>
      <c r="Y74" s="3" t="s">
        <v>699</v>
      </c>
    </row>
    <row r="75" spans="1:25" ht="13" x14ac:dyDescent="0.15">
      <c r="A75" s="13">
        <v>42481</v>
      </c>
      <c r="B75" s="3" t="s">
        <v>240</v>
      </c>
      <c r="C75" s="14">
        <v>0.37361111111111112</v>
      </c>
      <c r="D75" s="14">
        <v>0.40763888888888888</v>
      </c>
      <c r="E75" s="3" t="s">
        <v>286</v>
      </c>
      <c r="H75" s="70">
        <v>0.39166666666666666</v>
      </c>
      <c r="I75" s="3">
        <v>-7.0000000000000007E-2</v>
      </c>
      <c r="J75" s="3" t="s">
        <v>686</v>
      </c>
      <c r="K75" s="3">
        <v>17</v>
      </c>
      <c r="L75" s="3" t="s">
        <v>668</v>
      </c>
      <c r="M75" s="3" t="s">
        <v>664</v>
      </c>
      <c r="O75" s="3" t="s">
        <v>686</v>
      </c>
      <c r="P75" s="3">
        <v>0</v>
      </c>
      <c r="Q75" s="69">
        <v>43833</v>
      </c>
      <c r="R75" s="3" t="s">
        <v>686</v>
      </c>
      <c r="S75" s="69">
        <v>44055</v>
      </c>
      <c r="T75" s="3" t="s">
        <v>686</v>
      </c>
      <c r="U75" s="3">
        <v>0</v>
      </c>
      <c r="V75" s="3">
        <v>0</v>
      </c>
    </row>
    <row r="76" spans="1:25" ht="13" x14ac:dyDescent="0.15">
      <c r="A76" s="13">
        <v>42482</v>
      </c>
      <c r="B76" s="3" t="s">
        <v>352</v>
      </c>
      <c r="C76" s="14">
        <v>0.42708333333333331</v>
      </c>
      <c r="D76" s="14">
        <v>0.47916666666666669</v>
      </c>
      <c r="E76" s="3" t="s">
        <v>353</v>
      </c>
      <c r="H76" s="70">
        <v>0.32777777777777778</v>
      </c>
      <c r="I76" s="3">
        <v>-0.06</v>
      </c>
      <c r="J76" s="3" t="s">
        <v>700</v>
      </c>
      <c r="K76" s="3">
        <v>16</v>
      </c>
      <c r="L76" s="3" t="s">
        <v>668</v>
      </c>
      <c r="M76" s="3" t="s">
        <v>661</v>
      </c>
      <c r="O76" s="3" t="s">
        <v>700</v>
      </c>
      <c r="P76" s="69">
        <v>43835</v>
      </c>
      <c r="Q76" s="69">
        <v>43833</v>
      </c>
      <c r="R76" s="3" t="s">
        <v>700</v>
      </c>
      <c r="S76" s="3" t="s">
        <v>662</v>
      </c>
      <c r="T76" s="3" t="s">
        <v>700</v>
      </c>
      <c r="U76" s="3">
        <v>0</v>
      </c>
      <c r="V76" s="3">
        <v>0</v>
      </c>
    </row>
    <row r="77" spans="1:25" ht="13" x14ac:dyDescent="0.15">
      <c r="A77" s="13">
        <v>42482</v>
      </c>
      <c r="B77" s="3" t="s">
        <v>359</v>
      </c>
      <c r="C77" s="14">
        <v>0.35972222222222222</v>
      </c>
      <c r="D77" s="14">
        <v>0.39583333333333331</v>
      </c>
      <c r="E77" s="3" t="s">
        <v>286</v>
      </c>
      <c r="H77" s="70">
        <v>0.41041666666666665</v>
      </c>
      <c r="I77" s="3">
        <v>-0.1</v>
      </c>
      <c r="J77" s="3" t="s">
        <v>686</v>
      </c>
      <c r="K77" s="3">
        <v>14</v>
      </c>
      <c r="L77" s="3" t="s">
        <v>660</v>
      </c>
      <c r="M77" s="3" t="s">
        <v>661</v>
      </c>
      <c r="O77" s="3" t="s">
        <v>686</v>
      </c>
      <c r="P77" s="3">
        <v>0</v>
      </c>
      <c r="Q77" s="69">
        <v>43833</v>
      </c>
      <c r="R77" s="3" t="s">
        <v>686</v>
      </c>
      <c r="S77" s="3" t="s">
        <v>662</v>
      </c>
      <c r="T77" s="3" t="s">
        <v>686</v>
      </c>
      <c r="U77" s="3">
        <v>0</v>
      </c>
      <c r="V77" s="3">
        <v>0</v>
      </c>
    </row>
    <row r="78" spans="1:25" ht="13" x14ac:dyDescent="0.15">
      <c r="A78" s="13">
        <v>42487</v>
      </c>
      <c r="B78" s="3" t="s">
        <v>366</v>
      </c>
      <c r="C78" s="14">
        <v>0.44444444444444442</v>
      </c>
      <c r="D78" s="14">
        <v>0.46805555555555556</v>
      </c>
      <c r="E78" s="3" t="s">
        <v>367</v>
      </c>
      <c r="H78" s="70">
        <v>0.5</v>
      </c>
      <c r="I78" s="3">
        <v>0.08</v>
      </c>
      <c r="J78" s="3" t="s">
        <v>678</v>
      </c>
      <c r="K78" s="3">
        <v>9</v>
      </c>
      <c r="L78" s="3" t="s">
        <v>660</v>
      </c>
      <c r="M78" s="3" t="s">
        <v>664</v>
      </c>
      <c r="O78" s="3" t="s">
        <v>678</v>
      </c>
      <c r="P78" s="69">
        <v>43835</v>
      </c>
      <c r="Q78" s="69">
        <v>43833</v>
      </c>
      <c r="R78" s="3" t="s">
        <v>678</v>
      </c>
      <c r="S78" s="69">
        <v>43833</v>
      </c>
      <c r="T78" s="3" t="s">
        <v>678</v>
      </c>
      <c r="U78" s="3">
        <v>0</v>
      </c>
      <c r="V78" s="3">
        <v>0</v>
      </c>
    </row>
    <row r="79" spans="1:25" ht="13" x14ac:dyDescent="0.15">
      <c r="A79" s="13">
        <v>42488</v>
      </c>
      <c r="B79" s="3" t="s">
        <v>230</v>
      </c>
      <c r="C79" s="14">
        <v>0.41111111111111109</v>
      </c>
      <c r="D79" s="14">
        <v>0.51527777777777772</v>
      </c>
      <c r="E79" s="3" t="s">
        <v>274</v>
      </c>
      <c r="H79" s="70">
        <v>0.41666666666666669</v>
      </c>
      <c r="I79" s="3">
        <v>0.2</v>
      </c>
      <c r="J79" s="3" t="s">
        <v>676</v>
      </c>
      <c r="K79" s="3">
        <v>15</v>
      </c>
      <c r="L79" s="3" t="s">
        <v>660</v>
      </c>
      <c r="M79" s="3" t="s">
        <v>661</v>
      </c>
      <c r="O79" s="3" t="s">
        <v>676</v>
      </c>
      <c r="P79" s="69">
        <v>44150</v>
      </c>
      <c r="Q79" s="69">
        <v>43833</v>
      </c>
      <c r="R79" s="3" t="s">
        <v>676</v>
      </c>
      <c r="S79" s="3" t="s">
        <v>701</v>
      </c>
      <c r="T79" s="3" t="s">
        <v>676</v>
      </c>
      <c r="U79" s="69">
        <v>43835</v>
      </c>
      <c r="V79" s="3">
        <v>0</v>
      </c>
      <c r="Y79" s="3" t="s">
        <v>702</v>
      </c>
    </row>
    <row r="80" spans="1:25" ht="13" x14ac:dyDescent="0.15">
      <c r="A80" s="13">
        <v>42495</v>
      </c>
      <c r="B80" s="3" t="s">
        <v>307</v>
      </c>
      <c r="C80" s="14">
        <v>0.36180555555555555</v>
      </c>
      <c r="D80" s="14">
        <v>0.41666666666666669</v>
      </c>
      <c r="E80" s="3" t="s">
        <v>308</v>
      </c>
      <c r="F80" s="3" t="s">
        <v>664</v>
      </c>
      <c r="G80" s="3" t="s">
        <v>703</v>
      </c>
      <c r="H80" s="70">
        <v>0.33333333333333331</v>
      </c>
      <c r="I80" s="3">
        <v>-0.6</v>
      </c>
      <c r="J80" s="3" t="s">
        <v>688</v>
      </c>
      <c r="K80" s="3">
        <v>29</v>
      </c>
      <c r="L80" s="3" t="s">
        <v>660</v>
      </c>
      <c r="M80" s="3" t="s">
        <v>664</v>
      </c>
      <c r="N80" s="3">
        <v>0.19</v>
      </c>
      <c r="O80" s="3" t="s">
        <v>688</v>
      </c>
      <c r="P80" s="3">
        <v>0</v>
      </c>
      <c r="Q80" s="69">
        <v>43833</v>
      </c>
      <c r="R80" s="3" t="s">
        <v>688</v>
      </c>
      <c r="S80" s="69">
        <v>43928</v>
      </c>
      <c r="T80" s="3" t="s">
        <v>688</v>
      </c>
      <c r="U80" s="3">
        <v>0</v>
      </c>
      <c r="V80" s="3">
        <v>0</v>
      </c>
    </row>
    <row r="81" spans="1:25" ht="13" x14ac:dyDescent="0.15">
      <c r="A81" s="13">
        <v>42508</v>
      </c>
      <c r="B81" s="3" t="s">
        <v>377</v>
      </c>
      <c r="C81" s="14">
        <v>0.37222222222222223</v>
      </c>
      <c r="D81" s="14">
        <v>0.41666666666666669</v>
      </c>
      <c r="E81" s="3" t="s">
        <v>704</v>
      </c>
      <c r="H81" s="70">
        <v>0.3215277777777778</v>
      </c>
      <c r="I81" s="3">
        <v>0</v>
      </c>
      <c r="J81" s="3" t="s">
        <v>705</v>
      </c>
      <c r="K81" s="3">
        <v>18</v>
      </c>
      <c r="L81" s="3" t="s">
        <v>660</v>
      </c>
      <c r="M81" s="3" t="s">
        <v>661</v>
      </c>
      <c r="O81" s="3" t="s">
        <v>377</v>
      </c>
      <c r="P81" s="3" t="s">
        <v>698</v>
      </c>
      <c r="Q81" s="69">
        <v>43833</v>
      </c>
      <c r="R81" s="3" t="s">
        <v>377</v>
      </c>
      <c r="S81" s="69">
        <v>43833</v>
      </c>
      <c r="T81" s="3" t="s">
        <v>377</v>
      </c>
      <c r="U81" s="3">
        <v>0</v>
      </c>
      <c r="V81" s="3">
        <v>0</v>
      </c>
    </row>
    <row r="82" spans="1:25" ht="13" x14ac:dyDescent="0.15">
      <c r="A82" s="13">
        <v>42510</v>
      </c>
      <c r="B82" s="3" t="s">
        <v>310</v>
      </c>
      <c r="C82" s="14">
        <v>0.31944444444444442</v>
      </c>
      <c r="D82" s="14">
        <v>0.38541666666666669</v>
      </c>
      <c r="E82" s="3" t="s">
        <v>197</v>
      </c>
      <c r="H82" s="70">
        <v>0.3611111111111111</v>
      </c>
      <c r="I82" s="3">
        <v>-0.2</v>
      </c>
      <c r="J82" s="3" t="s">
        <v>706</v>
      </c>
      <c r="K82" s="3">
        <v>5</v>
      </c>
      <c r="L82" s="3" t="s">
        <v>660</v>
      </c>
      <c r="M82" s="3" t="s">
        <v>661</v>
      </c>
      <c r="O82" s="3" t="s">
        <v>706</v>
      </c>
      <c r="P82" s="69">
        <v>43835</v>
      </c>
      <c r="Q82" s="69">
        <v>43833</v>
      </c>
      <c r="R82" s="3" t="s">
        <v>706</v>
      </c>
      <c r="S82" s="69">
        <v>43833</v>
      </c>
      <c r="T82" s="3" t="s">
        <v>706</v>
      </c>
      <c r="U82" s="3">
        <v>0</v>
      </c>
      <c r="V82" s="3">
        <v>0</v>
      </c>
      <c r="X82" s="3" t="s">
        <v>677</v>
      </c>
    </row>
    <row r="83" spans="1:25" ht="13" x14ac:dyDescent="0.15">
      <c r="A83" s="13">
        <v>42761</v>
      </c>
      <c r="B83" s="3" t="s">
        <v>233</v>
      </c>
      <c r="C83" s="14">
        <v>0.41666666666666669</v>
      </c>
      <c r="D83" s="14">
        <v>0.47222222222222221</v>
      </c>
      <c r="E83" s="3" t="s">
        <v>286</v>
      </c>
      <c r="H83" s="70">
        <v>0.43958333333333333</v>
      </c>
      <c r="I83" s="3">
        <v>-0.2</v>
      </c>
      <c r="J83" s="3" t="s">
        <v>686</v>
      </c>
      <c r="K83" s="3">
        <v>13</v>
      </c>
      <c r="L83" s="3" t="s">
        <v>668</v>
      </c>
      <c r="M83" s="3" t="s">
        <v>664</v>
      </c>
      <c r="O83" s="3" t="s">
        <v>686</v>
      </c>
      <c r="P83" s="3">
        <v>0</v>
      </c>
      <c r="Q83" s="69">
        <v>43833</v>
      </c>
      <c r="R83" s="3" t="s">
        <v>686</v>
      </c>
      <c r="S83" s="3" t="s">
        <v>669</v>
      </c>
      <c r="T83" s="3" t="s">
        <v>686</v>
      </c>
      <c r="U83" s="3">
        <v>0</v>
      </c>
      <c r="V83" s="3">
        <v>0</v>
      </c>
      <c r="X83" s="3" t="s">
        <v>707</v>
      </c>
    </row>
    <row r="84" spans="1:25" ht="13" x14ac:dyDescent="0.15">
      <c r="A84" s="13">
        <v>42778</v>
      </c>
      <c r="B84" s="3" t="s">
        <v>201</v>
      </c>
      <c r="C84" s="14">
        <v>0.44791666666666669</v>
      </c>
      <c r="D84" s="14">
        <v>0.48958333333333331</v>
      </c>
      <c r="E84" s="3" t="s">
        <v>197</v>
      </c>
      <c r="F84" s="3" t="s">
        <v>664</v>
      </c>
      <c r="G84" s="3" t="s">
        <v>703</v>
      </c>
      <c r="H84" s="70">
        <v>0.47986111111111113</v>
      </c>
      <c r="I84" s="3">
        <v>0</v>
      </c>
      <c r="J84" s="3" t="s">
        <v>659</v>
      </c>
      <c r="K84" s="3">
        <v>19</v>
      </c>
      <c r="L84" s="3" t="s">
        <v>660</v>
      </c>
      <c r="M84" s="3" t="s">
        <v>664</v>
      </c>
      <c r="N84" s="3">
        <v>3</v>
      </c>
      <c r="O84" s="3" t="s">
        <v>659</v>
      </c>
      <c r="P84" s="3" t="s">
        <v>698</v>
      </c>
      <c r="Q84" s="69">
        <v>43833</v>
      </c>
      <c r="R84" s="3" t="s">
        <v>695</v>
      </c>
      <c r="S84" s="69">
        <v>43928</v>
      </c>
      <c r="T84" s="3" t="s">
        <v>659</v>
      </c>
      <c r="U84" s="69">
        <v>43835</v>
      </c>
      <c r="V84" s="69">
        <v>43835</v>
      </c>
      <c r="W84" s="3" t="s">
        <v>683</v>
      </c>
      <c r="X84" s="3" t="s">
        <v>665</v>
      </c>
      <c r="Y84" s="3" t="s">
        <v>708</v>
      </c>
    </row>
    <row r="85" spans="1:25" ht="13" x14ac:dyDescent="0.15">
      <c r="A85" s="13">
        <v>42788</v>
      </c>
      <c r="B85" s="3" t="s">
        <v>320</v>
      </c>
      <c r="C85" s="14">
        <v>0.38194444444444442</v>
      </c>
      <c r="D85" s="14">
        <v>0.48125000000000001</v>
      </c>
      <c r="E85" s="3" t="s">
        <v>321</v>
      </c>
      <c r="H85" s="70">
        <v>0.37013888888888891</v>
      </c>
      <c r="K85" s="3">
        <v>16</v>
      </c>
      <c r="L85" s="3" t="s">
        <v>689</v>
      </c>
      <c r="M85" s="3" t="s">
        <v>661</v>
      </c>
      <c r="P85" s="69">
        <v>43992</v>
      </c>
      <c r="Q85" s="69">
        <v>43833</v>
      </c>
      <c r="S85" s="3" t="s">
        <v>672</v>
      </c>
      <c r="U85" s="69">
        <v>43835</v>
      </c>
      <c r="V85" s="69">
        <v>43835</v>
      </c>
      <c r="W85" s="3" t="s">
        <v>709</v>
      </c>
    </row>
    <row r="86" spans="1:25" ht="13" x14ac:dyDescent="0.15">
      <c r="A86" s="13">
        <v>42791</v>
      </c>
      <c r="B86" s="3" t="s">
        <v>244</v>
      </c>
      <c r="C86" s="14">
        <v>0.41319444444444442</v>
      </c>
      <c r="D86" s="14">
        <v>0.47916666666666669</v>
      </c>
      <c r="E86" s="3" t="s">
        <v>197</v>
      </c>
      <c r="H86" s="70">
        <v>0.42708333333333331</v>
      </c>
      <c r="I86" s="3">
        <v>0</v>
      </c>
      <c r="J86" s="3" t="s">
        <v>244</v>
      </c>
      <c r="K86" s="3">
        <v>18</v>
      </c>
      <c r="L86" s="3" t="s">
        <v>668</v>
      </c>
      <c r="M86" s="3" t="s">
        <v>661</v>
      </c>
      <c r="O86" s="3" t="s">
        <v>244</v>
      </c>
      <c r="P86" s="69">
        <v>43992</v>
      </c>
      <c r="Q86" s="69">
        <v>43833</v>
      </c>
      <c r="R86" s="3" t="s">
        <v>244</v>
      </c>
      <c r="S86" s="69">
        <v>43833</v>
      </c>
      <c r="T86" s="3" t="s">
        <v>244</v>
      </c>
      <c r="U86" s="3">
        <v>0</v>
      </c>
      <c r="V86" s="69">
        <v>43835</v>
      </c>
      <c r="W86" s="3" t="s">
        <v>710</v>
      </c>
      <c r="X86" s="3" t="s">
        <v>711</v>
      </c>
      <c r="Y86" s="3" t="s">
        <v>712</v>
      </c>
    </row>
    <row r="87" spans="1:25" ht="13" x14ac:dyDescent="0.15">
      <c r="A87" s="13">
        <v>42798</v>
      </c>
      <c r="B87" s="3" t="s">
        <v>230</v>
      </c>
      <c r="C87" s="14">
        <v>0.59027777777777779</v>
      </c>
      <c r="D87" s="14">
        <v>0.67708333333333337</v>
      </c>
      <c r="E87" s="3" t="s">
        <v>197</v>
      </c>
      <c r="H87" s="70">
        <v>0.58611111111111114</v>
      </c>
      <c r="I87" s="3">
        <v>0.05</v>
      </c>
      <c r="J87" s="3" t="s">
        <v>705</v>
      </c>
      <c r="K87" s="3">
        <v>6</v>
      </c>
      <c r="L87" s="3" t="s">
        <v>668</v>
      </c>
      <c r="M87" s="3" t="s">
        <v>713</v>
      </c>
      <c r="N87" s="3">
        <v>0.09</v>
      </c>
      <c r="O87" s="3" t="s">
        <v>676</v>
      </c>
      <c r="P87" s="69">
        <v>44150</v>
      </c>
      <c r="Q87" s="69">
        <v>43833</v>
      </c>
      <c r="R87" s="3" t="s">
        <v>676</v>
      </c>
      <c r="S87" s="69">
        <v>43928</v>
      </c>
      <c r="T87" s="3" t="s">
        <v>676</v>
      </c>
      <c r="U87" s="69">
        <v>43835</v>
      </c>
      <c r="V87" s="3">
        <v>0</v>
      </c>
      <c r="X87" s="3" t="s">
        <v>714</v>
      </c>
      <c r="Y87" s="3" t="s">
        <v>715</v>
      </c>
    </row>
    <row r="88" spans="1:25" ht="13" x14ac:dyDescent="0.15">
      <c r="A88" s="13">
        <v>42802</v>
      </c>
      <c r="B88" s="3" t="s">
        <v>244</v>
      </c>
      <c r="C88" s="14">
        <v>0.38541666666666669</v>
      </c>
      <c r="D88" s="14">
        <v>0.46875</v>
      </c>
      <c r="E88" s="3" t="s">
        <v>278</v>
      </c>
      <c r="H88" s="70">
        <v>0.35555555555555557</v>
      </c>
      <c r="I88" s="3">
        <v>0</v>
      </c>
      <c r="J88" s="71" t="s">
        <v>716</v>
      </c>
      <c r="K88" s="3">
        <v>21</v>
      </c>
      <c r="L88" s="3" t="s">
        <v>660</v>
      </c>
      <c r="M88" s="3" t="s">
        <v>664</v>
      </c>
      <c r="N88" s="3">
        <v>0.33</v>
      </c>
      <c r="O88" s="71" t="s">
        <v>717</v>
      </c>
      <c r="P88" s="69">
        <v>43835</v>
      </c>
      <c r="Q88" s="69">
        <v>43833</v>
      </c>
      <c r="R88" s="71" t="s">
        <v>718</v>
      </c>
      <c r="S88" s="69">
        <v>43928</v>
      </c>
      <c r="T88" s="72" t="s">
        <v>719</v>
      </c>
      <c r="U88" s="69">
        <v>43835</v>
      </c>
      <c r="V88" s="69">
        <v>43835</v>
      </c>
      <c r="W88" s="3" t="s">
        <v>720</v>
      </c>
      <c r="X88" s="3" t="s">
        <v>721</v>
      </c>
    </row>
    <row r="89" spans="1:25" ht="13" x14ac:dyDescent="0.15">
      <c r="A89" s="13">
        <v>42803</v>
      </c>
      <c r="B89" s="3" t="s">
        <v>244</v>
      </c>
      <c r="C89" s="14">
        <v>0.39583333333333331</v>
      </c>
      <c r="D89" s="14">
        <v>0.47916666666666669</v>
      </c>
      <c r="E89" s="3" t="s">
        <v>326</v>
      </c>
      <c r="H89" s="70">
        <v>0.38611111111111113</v>
      </c>
      <c r="K89" s="3">
        <v>24</v>
      </c>
      <c r="L89" s="3" t="s">
        <v>668</v>
      </c>
      <c r="M89" s="3" t="s">
        <v>661</v>
      </c>
      <c r="P89" s="69">
        <v>43835</v>
      </c>
      <c r="Q89" s="69">
        <v>43833</v>
      </c>
      <c r="S89" s="3" t="s">
        <v>662</v>
      </c>
      <c r="U89" s="3">
        <v>0</v>
      </c>
      <c r="V89" s="69">
        <v>43835</v>
      </c>
      <c r="W89" s="3" t="s">
        <v>683</v>
      </c>
      <c r="X89" s="3" t="s">
        <v>722</v>
      </c>
    </row>
    <row r="90" spans="1:25" ht="13" x14ac:dyDescent="0.15">
      <c r="A90" s="13">
        <v>42804</v>
      </c>
      <c r="B90" s="3" t="s">
        <v>329</v>
      </c>
      <c r="C90" s="14">
        <v>0.4375</v>
      </c>
      <c r="D90" s="14">
        <v>0.46736111111111112</v>
      </c>
      <c r="E90" s="3" t="s">
        <v>330</v>
      </c>
      <c r="H90" s="70">
        <v>0.40069444444444446</v>
      </c>
      <c r="I90" s="3">
        <v>-0.1</v>
      </c>
      <c r="J90" s="3" t="s">
        <v>723</v>
      </c>
      <c r="K90" s="3">
        <v>17</v>
      </c>
      <c r="L90" s="3" t="s">
        <v>660</v>
      </c>
      <c r="M90" s="3" t="s">
        <v>664</v>
      </c>
      <c r="N90" s="3">
        <v>2</v>
      </c>
      <c r="O90" s="3" t="s">
        <v>724</v>
      </c>
      <c r="P90" s="3">
        <v>0</v>
      </c>
      <c r="Q90" s="69">
        <v>43833</v>
      </c>
      <c r="R90" s="3" t="s">
        <v>725</v>
      </c>
      <c r="S90" s="3" t="s">
        <v>662</v>
      </c>
      <c r="T90" s="3" t="s">
        <v>724</v>
      </c>
      <c r="U90" s="3">
        <v>0</v>
      </c>
      <c r="V90" s="3">
        <v>0</v>
      </c>
    </row>
    <row r="91" spans="1:25" ht="13" x14ac:dyDescent="0.15">
      <c r="A91" s="13">
        <v>42804</v>
      </c>
      <c r="B91" s="3" t="s">
        <v>201</v>
      </c>
      <c r="C91" s="14">
        <v>0.41666666666666669</v>
      </c>
      <c r="D91" s="14">
        <v>0.45833333333333331</v>
      </c>
      <c r="E91" s="3" t="s">
        <v>325</v>
      </c>
      <c r="H91" s="70">
        <v>0.4</v>
      </c>
      <c r="I91" s="3">
        <v>-0.1</v>
      </c>
      <c r="J91" s="3" t="s">
        <v>726</v>
      </c>
      <c r="K91" s="3">
        <v>12</v>
      </c>
      <c r="L91" s="3" t="s">
        <v>660</v>
      </c>
      <c r="M91" s="3" t="s">
        <v>664</v>
      </c>
      <c r="N91" s="3">
        <v>3</v>
      </c>
      <c r="O91" s="3" t="s">
        <v>727</v>
      </c>
      <c r="P91" s="69">
        <v>43992</v>
      </c>
      <c r="Q91" s="69">
        <v>43833</v>
      </c>
      <c r="R91" s="3" t="s">
        <v>728</v>
      </c>
      <c r="S91" s="69">
        <v>44055</v>
      </c>
      <c r="T91" s="3" t="s">
        <v>726</v>
      </c>
      <c r="U91" s="3">
        <v>0</v>
      </c>
      <c r="V91" s="3">
        <v>0</v>
      </c>
      <c r="X91" s="3" t="s">
        <v>729</v>
      </c>
    </row>
    <row r="92" spans="1:25" ht="13" x14ac:dyDescent="0.15">
      <c r="A92" s="13">
        <v>42804</v>
      </c>
      <c r="B92" s="3" t="s">
        <v>219</v>
      </c>
      <c r="C92" s="14">
        <v>0.38541666666666669</v>
      </c>
      <c r="D92" s="14">
        <v>0.44791666666666669</v>
      </c>
      <c r="E92" s="3" t="s">
        <v>333</v>
      </c>
      <c r="H92" s="70">
        <v>0.40138888888888891</v>
      </c>
      <c r="K92" s="3">
        <v>34</v>
      </c>
      <c r="L92" s="3" t="s">
        <v>660</v>
      </c>
      <c r="M92" s="3" t="s">
        <v>664</v>
      </c>
      <c r="N92" s="3">
        <v>0.01</v>
      </c>
      <c r="P92" s="69">
        <v>43835</v>
      </c>
      <c r="Q92" s="69">
        <v>43927</v>
      </c>
      <c r="S92" s="69">
        <v>43928</v>
      </c>
      <c r="U92" s="3">
        <v>0</v>
      </c>
      <c r="V92" s="3">
        <v>0</v>
      </c>
      <c r="X92" s="3" t="s">
        <v>730</v>
      </c>
    </row>
    <row r="93" spans="1:25" ht="13" x14ac:dyDescent="0.15">
      <c r="A93" s="13">
        <v>42806</v>
      </c>
      <c r="B93" s="3" t="s">
        <v>293</v>
      </c>
      <c r="C93" s="14">
        <v>0.39930555555555558</v>
      </c>
      <c r="D93" s="14">
        <v>0.43333333333333335</v>
      </c>
      <c r="E93" s="3" t="s">
        <v>197</v>
      </c>
      <c r="H93" s="70">
        <v>0.39652777777777776</v>
      </c>
      <c r="I93" s="3">
        <v>-0.1</v>
      </c>
      <c r="J93" s="3" t="s">
        <v>688</v>
      </c>
      <c r="K93" s="3">
        <v>14</v>
      </c>
      <c r="L93" s="3" t="s">
        <v>660</v>
      </c>
      <c r="M93" s="3" t="s">
        <v>664</v>
      </c>
      <c r="N93" s="3">
        <v>0.18</v>
      </c>
      <c r="O93" s="3" t="s">
        <v>688</v>
      </c>
      <c r="P93" s="69">
        <v>43835</v>
      </c>
      <c r="Q93" s="69">
        <v>43833</v>
      </c>
      <c r="R93" s="3" t="s">
        <v>688</v>
      </c>
      <c r="S93" s="69">
        <v>43928</v>
      </c>
      <c r="T93" s="3" t="s">
        <v>688</v>
      </c>
      <c r="U93" s="3">
        <v>0</v>
      </c>
      <c r="V93" s="3">
        <v>0</v>
      </c>
      <c r="X93" s="3" t="s">
        <v>692</v>
      </c>
      <c r="Y93" s="3" t="s">
        <v>731</v>
      </c>
    </row>
    <row r="94" spans="1:25" ht="13" x14ac:dyDescent="0.15">
      <c r="A94" s="13">
        <v>42810</v>
      </c>
      <c r="B94" s="3" t="s">
        <v>337</v>
      </c>
      <c r="C94" s="14">
        <v>0.48055555555555557</v>
      </c>
      <c r="D94" s="14">
        <v>0.55208333333333337</v>
      </c>
      <c r="E94" s="3" t="s">
        <v>313</v>
      </c>
      <c r="H94" s="70">
        <v>0.50208333333333333</v>
      </c>
      <c r="I94" s="3">
        <v>0.1</v>
      </c>
      <c r="J94" s="71" t="s">
        <v>732</v>
      </c>
      <c r="K94" s="3">
        <v>26</v>
      </c>
      <c r="L94" s="3" t="s">
        <v>660</v>
      </c>
      <c r="M94" s="3" t="s">
        <v>661</v>
      </c>
      <c r="O94" s="71" t="s">
        <v>733</v>
      </c>
      <c r="P94" s="69">
        <v>44150</v>
      </c>
      <c r="Q94" s="69">
        <v>43833</v>
      </c>
      <c r="R94" s="71" t="s">
        <v>734</v>
      </c>
      <c r="S94" s="69">
        <v>43928</v>
      </c>
      <c r="T94" s="71" t="s">
        <v>735</v>
      </c>
      <c r="U94" s="69">
        <v>43835</v>
      </c>
      <c r="V94" s="69">
        <v>43835</v>
      </c>
      <c r="W94" s="3" t="s">
        <v>683</v>
      </c>
      <c r="X94" s="3" t="s">
        <v>736</v>
      </c>
    </row>
    <row r="95" spans="1:25" ht="13" x14ac:dyDescent="0.15">
      <c r="A95" s="13">
        <v>42822</v>
      </c>
      <c r="B95" s="3" t="s">
        <v>216</v>
      </c>
      <c r="C95" s="14">
        <v>0.40277777777777779</v>
      </c>
      <c r="D95" s="14">
        <v>0.45833333333333331</v>
      </c>
      <c r="E95" s="3" t="s">
        <v>542</v>
      </c>
      <c r="F95" s="3" t="s">
        <v>664</v>
      </c>
      <c r="G95" s="3" t="s">
        <v>737</v>
      </c>
      <c r="H95" s="70">
        <v>0.43611111111111112</v>
      </c>
      <c r="I95" s="3">
        <v>-0.28999999999999998</v>
      </c>
      <c r="J95" s="73" t="s">
        <v>738</v>
      </c>
      <c r="K95" s="3">
        <v>18</v>
      </c>
      <c r="L95" s="3" t="s">
        <v>689</v>
      </c>
      <c r="M95" s="3" t="s">
        <v>661</v>
      </c>
      <c r="N95" s="3"/>
      <c r="O95" s="3" t="s">
        <v>739</v>
      </c>
      <c r="P95" s="69">
        <v>43992</v>
      </c>
      <c r="Q95" s="69">
        <v>43833</v>
      </c>
      <c r="R95" s="3" t="s">
        <v>738</v>
      </c>
      <c r="S95" s="69">
        <v>43928</v>
      </c>
      <c r="T95" s="3" t="s">
        <v>740</v>
      </c>
      <c r="U95" s="69">
        <v>43992</v>
      </c>
      <c r="V95" s="3">
        <v>0</v>
      </c>
    </row>
    <row r="96" spans="1:25" ht="13" x14ac:dyDescent="0.15">
      <c r="A96" s="13">
        <v>42823</v>
      </c>
      <c r="B96" s="3" t="s">
        <v>244</v>
      </c>
      <c r="C96" s="14">
        <v>0.38541666666666669</v>
      </c>
      <c r="D96" s="14">
        <v>0.46875</v>
      </c>
      <c r="E96" s="3" t="s">
        <v>278</v>
      </c>
      <c r="H96" s="70">
        <v>0.45902777777777776</v>
      </c>
      <c r="I96" s="3">
        <v>-0.3</v>
      </c>
      <c r="J96" s="72" t="s">
        <v>741</v>
      </c>
      <c r="K96" s="3">
        <v>22</v>
      </c>
      <c r="L96" s="3" t="s">
        <v>668</v>
      </c>
      <c r="M96" s="3" t="s">
        <v>664</v>
      </c>
      <c r="N96" s="3">
        <v>1</v>
      </c>
      <c r="O96" s="74" t="s">
        <v>742</v>
      </c>
      <c r="P96" s="3">
        <v>0</v>
      </c>
      <c r="Q96" s="69">
        <v>43833</v>
      </c>
      <c r="R96" s="74" t="s">
        <v>743</v>
      </c>
      <c r="S96" s="69">
        <v>43928</v>
      </c>
      <c r="T96" s="74" t="s">
        <v>719</v>
      </c>
      <c r="U96" s="3">
        <v>0</v>
      </c>
      <c r="V96" s="3">
        <v>0</v>
      </c>
    </row>
    <row r="97" spans="1:25" ht="13" x14ac:dyDescent="0.15">
      <c r="A97" s="13">
        <v>42825</v>
      </c>
      <c r="B97" s="3" t="s">
        <v>246</v>
      </c>
      <c r="C97" s="14">
        <v>0.41736111111111113</v>
      </c>
      <c r="D97" s="14">
        <v>0.45069444444444445</v>
      </c>
      <c r="E97" s="3" t="s">
        <v>278</v>
      </c>
      <c r="F97" s="3" t="s">
        <v>664</v>
      </c>
      <c r="G97" s="3" t="s">
        <v>39</v>
      </c>
      <c r="H97" s="70">
        <v>0.49027777777777776</v>
      </c>
      <c r="I97" s="3">
        <v>-0.1</v>
      </c>
      <c r="J97" s="3" t="s">
        <v>674</v>
      </c>
      <c r="K97" s="3">
        <v>17</v>
      </c>
      <c r="L97" s="3" t="s">
        <v>660</v>
      </c>
      <c r="M97" s="3" t="s">
        <v>661</v>
      </c>
      <c r="O97" s="3" t="s">
        <v>674</v>
      </c>
      <c r="P97" s="69">
        <v>43835</v>
      </c>
      <c r="Q97" s="69">
        <v>43833</v>
      </c>
      <c r="R97" s="3" t="s">
        <v>744</v>
      </c>
      <c r="S97" s="3" t="s">
        <v>701</v>
      </c>
      <c r="T97" s="3" t="s">
        <v>246</v>
      </c>
      <c r="U97" s="3">
        <v>0</v>
      </c>
      <c r="V97" s="3">
        <v>0</v>
      </c>
    </row>
    <row r="98" spans="1:25" ht="13" x14ac:dyDescent="0.15">
      <c r="A98" s="13">
        <v>42826</v>
      </c>
      <c r="B98" s="3" t="s">
        <v>303</v>
      </c>
      <c r="C98" s="14">
        <v>0.47083333333333333</v>
      </c>
      <c r="D98" s="14">
        <v>0.50416666666666665</v>
      </c>
      <c r="E98" s="3" t="s">
        <v>197</v>
      </c>
      <c r="F98" s="3" t="s">
        <v>664</v>
      </c>
      <c r="G98" s="3" t="s">
        <v>703</v>
      </c>
      <c r="H98" s="70">
        <v>0.50763888888888886</v>
      </c>
      <c r="I98" s="3">
        <v>-0.1</v>
      </c>
      <c r="J98" s="3" t="s">
        <v>694</v>
      </c>
      <c r="K98" s="3">
        <v>6</v>
      </c>
      <c r="L98" s="3" t="s">
        <v>660</v>
      </c>
      <c r="M98" s="3" t="s">
        <v>661</v>
      </c>
      <c r="O98" s="3" t="s">
        <v>694</v>
      </c>
      <c r="P98" s="69">
        <v>43992</v>
      </c>
      <c r="Q98" s="69">
        <v>43927</v>
      </c>
      <c r="R98" s="3" t="s">
        <v>694</v>
      </c>
      <c r="S98" s="3" t="s">
        <v>672</v>
      </c>
      <c r="T98" s="3" t="s">
        <v>694</v>
      </c>
      <c r="U98" s="3">
        <v>0</v>
      </c>
      <c r="V98" s="3">
        <v>0</v>
      </c>
      <c r="X98" s="3" t="s">
        <v>745</v>
      </c>
    </row>
    <row r="99" spans="1:25" ht="13" x14ac:dyDescent="0.15">
      <c r="A99" s="13">
        <v>42827</v>
      </c>
      <c r="B99" s="3" t="s">
        <v>340</v>
      </c>
      <c r="C99" s="14">
        <v>0.48680555555555555</v>
      </c>
      <c r="D99" s="14">
        <v>0.52500000000000002</v>
      </c>
      <c r="E99" s="3" t="s">
        <v>197</v>
      </c>
      <c r="H99" s="70">
        <v>7.2916666666666671E-2</v>
      </c>
      <c r="I99" s="3">
        <v>-0.1</v>
      </c>
      <c r="J99" s="3" t="s">
        <v>678</v>
      </c>
      <c r="K99" s="3">
        <v>7</v>
      </c>
      <c r="L99" s="3" t="s">
        <v>660</v>
      </c>
      <c r="M99" s="3" t="s">
        <v>664</v>
      </c>
      <c r="O99" s="3">
        <v>0.56999999999999995</v>
      </c>
      <c r="P99" s="69">
        <v>43992</v>
      </c>
      <c r="Q99" s="69">
        <v>43927</v>
      </c>
      <c r="R99" s="3" t="s">
        <v>678</v>
      </c>
      <c r="S99" s="69">
        <v>43928</v>
      </c>
      <c r="T99" s="3" t="s">
        <v>582</v>
      </c>
      <c r="U99" s="3">
        <v>0</v>
      </c>
      <c r="V99" s="69">
        <v>43835</v>
      </c>
      <c r="W99" s="3" t="s">
        <v>746</v>
      </c>
      <c r="X99" s="3" t="s">
        <v>747</v>
      </c>
      <c r="Y99" s="3" t="s">
        <v>748</v>
      </c>
    </row>
    <row r="100" spans="1:25" ht="13" x14ac:dyDescent="0.15">
      <c r="A100" s="13">
        <v>42831</v>
      </c>
      <c r="B100" s="3" t="s">
        <v>201</v>
      </c>
      <c r="C100" s="14">
        <v>0</v>
      </c>
      <c r="D100" s="14">
        <v>4.1666666666666664E-2</v>
      </c>
      <c r="E100" s="3" t="s">
        <v>197</v>
      </c>
      <c r="H100" s="70">
        <v>0</v>
      </c>
      <c r="K100" s="3">
        <v>1</v>
      </c>
      <c r="L100" s="3" t="s">
        <v>660</v>
      </c>
      <c r="M100" s="3" t="s">
        <v>661</v>
      </c>
      <c r="P100" s="3">
        <v>0</v>
      </c>
      <c r="Q100" s="69">
        <v>43833</v>
      </c>
      <c r="S100" s="3" t="s">
        <v>662</v>
      </c>
      <c r="U100" s="3">
        <v>0</v>
      </c>
      <c r="V100" s="3">
        <v>0</v>
      </c>
    </row>
    <row r="101" spans="1:25" ht="13" x14ac:dyDescent="0.15">
      <c r="A101" s="13">
        <v>42832</v>
      </c>
      <c r="B101" s="3" t="s">
        <v>250</v>
      </c>
      <c r="C101" s="14">
        <v>0.375</v>
      </c>
      <c r="D101" s="14">
        <v>0.47916666666666669</v>
      </c>
      <c r="E101" s="3"/>
      <c r="H101" s="70">
        <v>0.375</v>
      </c>
      <c r="I101" s="3">
        <v>-0.15</v>
      </c>
      <c r="J101" s="3" t="s">
        <v>749</v>
      </c>
      <c r="K101" s="3">
        <v>17</v>
      </c>
      <c r="L101" s="3" t="s">
        <v>660</v>
      </c>
      <c r="M101" s="3" t="s">
        <v>661</v>
      </c>
      <c r="O101" s="3" t="s">
        <v>749</v>
      </c>
      <c r="P101" s="69">
        <v>43835</v>
      </c>
      <c r="Q101" s="69">
        <v>43833</v>
      </c>
      <c r="R101" s="3" t="s">
        <v>749</v>
      </c>
      <c r="S101" s="69">
        <v>43833</v>
      </c>
      <c r="T101" s="3" t="s">
        <v>750</v>
      </c>
      <c r="U101" s="69">
        <v>43835</v>
      </c>
      <c r="V101" s="3">
        <v>0</v>
      </c>
      <c r="X101" s="3"/>
    </row>
    <row r="102" spans="1:25" ht="13" x14ac:dyDescent="0.15">
      <c r="A102" s="13">
        <v>42834</v>
      </c>
      <c r="B102" s="3" t="s">
        <v>301</v>
      </c>
      <c r="C102" s="14">
        <v>0.36875000000000002</v>
      </c>
      <c r="D102" s="14">
        <v>0.41041666666666665</v>
      </c>
      <c r="E102" s="3" t="s">
        <v>344</v>
      </c>
      <c r="H102" s="70">
        <v>0.37152777777777779</v>
      </c>
      <c r="I102" s="3">
        <v>-7.0000000000000007E-2</v>
      </c>
      <c r="J102" s="3" t="s">
        <v>671</v>
      </c>
      <c r="K102" s="3">
        <v>9</v>
      </c>
      <c r="L102" s="3" t="s">
        <v>668</v>
      </c>
      <c r="M102" s="3" t="s">
        <v>661</v>
      </c>
      <c r="O102" s="3" t="s">
        <v>751</v>
      </c>
      <c r="P102" s="69">
        <v>43992</v>
      </c>
      <c r="Q102" s="69">
        <v>43833</v>
      </c>
      <c r="R102" s="3" t="s">
        <v>752</v>
      </c>
      <c r="S102" s="69">
        <v>43833</v>
      </c>
      <c r="T102" s="3" t="s">
        <v>753</v>
      </c>
      <c r="U102" s="69">
        <v>43835</v>
      </c>
      <c r="V102" s="3">
        <v>0</v>
      </c>
      <c r="X102" s="3" t="s">
        <v>754</v>
      </c>
    </row>
    <row r="103" spans="1:25" ht="13" x14ac:dyDescent="0.15">
      <c r="A103" s="13">
        <v>42835</v>
      </c>
      <c r="B103" s="3" t="s">
        <v>216</v>
      </c>
      <c r="C103" s="14">
        <v>0.3888888888888889</v>
      </c>
      <c r="D103" s="14">
        <v>0.4236111111111111</v>
      </c>
      <c r="E103" s="3" t="s">
        <v>272</v>
      </c>
      <c r="F103" s="3" t="s">
        <v>664</v>
      </c>
      <c r="G103" s="3" t="s">
        <v>703</v>
      </c>
      <c r="H103" s="70">
        <v>0.40277777777777779</v>
      </c>
      <c r="I103" s="3">
        <v>-0.15</v>
      </c>
      <c r="J103" s="3" t="s">
        <v>755</v>
      </c>
      <c r="K103" s="3">
        <v>30</v>
      </c>
      <c r="L103" s="3" t="s">
        <v>660</v>
      </c>
      <c r="M103" s="3" t="s">
        <v>661</v>
      </c>
      <c r="O103" s="3" t="s">
        <v>756</v>
      </c>
      <c r="P103" s="69">
        <v>43992</v>
      </c>
      <c r="Q103" s="69">
        <v>43833</v>
      </c>
      <c r="R103" s="3" t="s">
        <v>757</v>
      </c>
      <c r="S103" s="69">
        <v>43833</v>
      </c>
      <c r="T103" s="3" t="s">
        <v>756</v>
      </c>
      <c r="U103" s="3">
        <v>0</v>
      </c>
      <c r="V103" s="69">
        <v>43833</v>
      </c>
      <c r="W103" s="3" t="s">
        <v>758</v>
      </c>
    </row>
    <row r="104" spans="1:25" ht="13" x14ac:dyDescent="0.15">
      <c r="A104" s="13">
        <v>42836</v>
      </c>
      <c r="B104" s="3" t="s">
        <v>301</v>
      </c>
      <c r="C104" s="14">
        <v>0.39583333333333331</v>
      </c>
      <c r="D104" s="14">
        <v>0.44374999999999998</v>
      </c>
      <c r="E104" s="3" t="s">
        <v>347</v>
      </c>
      <c r="F104" s="3" t="s">
        <v>664</v>
      </c>
      <c r="G104" s="3" t="s">
        <v>759</v>
      </c>
      <c r="H104" s="70">
        <v>0.38541666666666669</v>
      </c>
      <c r="I104" s="3">
        <v>-0.13</v>
      </c>
      <c r="J104" s="3" t="s">
        <v>571</v>
      </c>
      <c r="K104" s="3">
        <v>23</v>
      </c>
      <c r="L104" s="3" t="s">
        <v>668</v>
      </c>
      <c r="M104" s="3" t="s">
        <v>661</v>
      </c>
      <c r="O104" s="3" t="s">
        <v>760</v>
      </c>
      <c r="P104" s="3">
        <v>0</v>
      </c>
      <c r="Q104" s="69">
        <v>43833</v>
      </c>
      <c r="R104" s="3" t="s">
        <v>671</v>
      </c>
      <c r="S104" s="69">
        <v>43928</v>
      </c>
      <c r="T104" s="3" t="s">
        <v>760</v>
      </c>
      <c r="U104" s="3">
        <v>0</v>
      </c>
      <c r="V104" s="3">
        <v>0</v>
      </c>
      <c r="W104" s="3" t="s">
        <v>761</v>
      </c>
      <c r="X104" s="3" t="s">
        <v>762</v>
      </c>
    </row>
    <row r="105" spans="1:25" ht="13" x14ac:dyDescent="0.15">
      <c r="A105" s="13">
        <v>42836</v>
      </c>
      <c r="B105" s="3" t="s">
        <v>266</v>
      </c>
      <c r="C105" s="14">
        <v>0.40416666666666667</v>
      </c>
      <c r="D105" s="14">
        <v>0.44097222222222221</v>
      </c>
      <c r="E105" s="3" t="s">
        <v>297</v>
      </c>
      <c r="H105" s="70">
        <v>0.40069444444444446</v>
      </c>
      <c r="I105" s="3">
        <v>-0.13</v>
      </c>
      <c r="J105" s="3" t="s">
        <v>571</v>
      </c>
      <c r="K105" s="3">
        <v>24</v>
      </c>
      <c r="L105" s="3" t="s">
        <v>668</v>
      </c>
      <c r="M105" s="3" t="s">
        <v>661</v>
      </c>
      <c r="O105" s="3">
        <v>0</v>
      </c>
      <c r="P105" s="3">
        <v>0</v>
      </c>
      <c r="Q105" s="69">
        <v>43833</v>
      </c>
      <c r="R105" s="3" t="s">
        <v>760</v>
      </c>
      <c r="S105" s="69">
        <v>43928</v>
      </c>
      <c r="T105" s="3" t="s">
        <v>760</v>
      </c>
      <c r="U105" s="3">
        <v>0</v>
      </c>
      <c r="V105" s="3">
        <v>0</v>
      </c>
    </row>
    <row r="106" spans="1:25" ht="13" x14ac:dyDescent="0.15">
      <c r="A106" s="13">
        <v>42837</v>
      </c>
      <c r="B106" s="3" t="s">
        <v>266</v>
      </c>
      <c r="C106" s="14">
        <v>0.3611111111111111</v>
      </c>
      <c r="D106" s="14">
        <v>0.44097222222222221</v>
      </c>
      <c r="E106" s="3" t="s">
        <v>350</v>
      </c>
      <c r="H106" s="70">
        <v>0.41944444444444445</v>
      </c>
      <c r="I106" s="3">
        <v>-0.1</v>
      </c>
      <c r="J106" s="3" t="s">
        <v>763</v>
      </c>
      <c r="K106" s="3">
        <v>18</v>
      </c>
      <c r="L106" s="3" t="s">
        <v>764</v>
      </c>
      <c r="M106" s="3" t="s">
        <v>664</v>
      </c>
      <c r="N106" s="3">
        <v>0.54</v>
      </c>
      <c r="O106" s="3" t="s">
        <v>765</v>
      </c>
      <c r="P106" s="69">
        <v>43992</v>
      </c>
      <c r="Q106" s="69">
        <v>43833</v>
      </c>
      <c r="R106" s="3" t="s">
        <v>766</v>
      </c>
      <c r="S106" s="69">
        <v>43928</v>
      </c>
      <c r="T106" s="3" t="s">
        <v>766</v>
      </c>
      <c r="U106" s="3">
        <v>0</v>
      </c>
      <c r="V106" s="69">
        <v>43835</v>
      </c>
      <c r="W106" s="3" t="s">
        <v>683</v>
      </c>
      <c r="X106" s="3" t="s">
        <v>767</v>
      </c>
    </row>
    <row r="107" spans="1:25" ht="13" x14ac:dyDescent="0.15">
      <c r="A107" s="13">
        <v>42837</v>
      </c>
      <c r="B107" s="3" t="s">
        <v>355</v>
      </c>
      <c r="C107" s="14">
        <v>0.39791666666666664</v>
      </c>
      <c r="D107" s="14">
        <v>0.44097222222222221</v>
      </c>
      <c r="E107" s="3" t="s">
        <v>356</v>
      </c>
      <c r="F107" s="3" t="s">
        <v>664</v>
      </c>
      <c r="G107" s="3" t="s">
        <v>768</v>
      </c>
      <c r="H107" s="70">
        <v>0.40486111111111112</v>
      </c>
      <c r="I107" s="3">
        <v>-0.14000000000000001</v>
      </c>
      <c r="J107" s="3" t="s">
        <v>674</v>
      </c>
      <c r="K107" s="3">
        <v>22</v>
      </c>
      <c r="L107" s="3" t="s">
        <v>660</v>
      </c>
      <c r="M107" s="3" t="s">
        <v>661</v>
      </c>
      <c r="O107" s="3" t="s">
        <v>769</v>
      </c>
      <c r="P107" s="3" t="s">
        <v>698</v>
      </c>
      <c r="Q107" s="69">
        <v>43833</v>
      </c>
      <c r="R107" s="3" t="s">
        <v>770</v>
      </c>
      <c r="S107" s="3" t="s">
        <v>669</v>
      </c>
      <c r="T107" s="3" t="s">
        <v>771</v>
      </c>
      <c r="U107" s="69">
        <v>43835</v>
      </c>
      <c r="V107" s="69">
        <v>43835</v>
      </c>
      <c r="W107" s="3" t="s">
        <v>772</v>
      </c>
      <c r="X107" s="3" t="s">
        <v>773</v>
      </c>
    </row>
    <row r="108" spans="1:25" ht="13" x14ac:dyDescent="0.15">
      <c r="A108" s="13">
        <v>42838</v>
      </c>
      <c r="B108" s="3" t="s">
        <v>259</v>
      </c>
      <c r="C108" s="14">
        <v>0.40277777777777779</v>
      </c>
      <c r="D108" s="14">
        <v>0.47847222222222224</v>
      </c>
      <c r="E108" s="3" t="s">
        <v>358</v>
      </c>
      <c r="H108" s="70">
        <v>0.40972222222222221</v>
      </c>
      <c r="I108" s="3">
        <v>-3</v>
      </c>
      <c r="J108" s="3" t="s">
        <v>688</v>
      </c>
      <c r="K108" s="3">
        <v>15</v>
      </c>
      <c r="L108" s="3" t="s">
        <v>660</v>
      </c>
      <c r="M108" s="3" t="s">
        <v>713</v>
      </c>
      <c r="N108" s="3">
        <v>0.68</v>
      </c>
      <c r="O108" s="3" t="s">
        <v>774</v>
      </c>
      <c r="P108" s="3" t="s">
        <v>698</v>
      </c>
      <c r="Q108" s="69">
        <v>43833</v>
      </c>
      <c r="R108" s="69">
        <v>43833</v>
      </c>
      <c r="S108" s="3" t="s">
        <v>662</v>
      </c>
      <c r="T108" s="3" t="s">
        <v>775</v>
      </c>
      <c r="U108" s="69">
        <v>43835</v>
      </c>
      <c r="V108" s="3">
        <v>0</v>
      </c>
      <c r="W108" s="3" t="s">
        <v>693</v>
      </c>
      <c r="X108" s="3" t="s">
        <v>776</v>
      </c>
    </row>
    <row r="109" spans="1:25" ht="13" x14ac:dyDescent="0.15">
      <c r="A109" s="13">
        <v>42838</v>
      </c>
      <c r="B109" s="3" t="s">
        <v>352</v>
      </c>
      <c r="C109" s="14">
        <v>0.4375</v>
      </c>
      <c r="D109" s="14">
        <v>0.47916666666666669</v>
      </c>
      <c r="E109" s="3" t="s">
        <v>353</v>
      </c>
      <c r="F109" s="3" t="s">
        <v>664</v>
      </c>
      <c r="G109" s="3" t="s">
        <v>768</v>
      </c>
      <c r="H109" s="70">
        <v>0.36944444444444446</v>
      </c>
      <c r="I109" s="3">
        <v>-0.02</v>
      </c>
      <c r="J109" s="3" t="s">
        <v>777</v>
      </c>
      <c r="K109" s="3">
        <v>29</v>
      </c>
      <c r="L109" s="3" t="s">
        <v>660</v>
      </c>
      <c r="M109" s="3" t="s">
        <v>664</v>
      </c>
      <c r="N109" s="3">
        <v>0.45</v>
      </c>
      <c r="O109" s="3" t="s">
        <v>778</v>
      </c>
      <c r="P109" s="69">
        <v>43992</v>
      </c>
      <c r="Q109" s="69">
        <v>43927</v>
      </c>
      <c r="R109" s="3" t="s">
        <v>779</v>
      </c>
      <c r="S109" s="3" t="s">
        <v>672</v>
      </c>
      <c r="T109" s="3" t="s">
        <v>780</v>
      </c>
      <c r="U109" s="3">
        <v>0</v>
      </c>
      <c r="V109" s="3">
        <v>0</v>
      </c>
    </row>
    <row r="110" spans="1:25" ht="13" x14ac:dyDescent="0.15">
      <c r="A110" s="13">
        <v>42838</v>
      </c>
      <c r="B110" s="3" t="s">
        <v>226</v>
      </c>
      <c r="C110" s="14">
        <v>0.4375</v>
      </c>
      <c r="D110" s="14">
        <v>0.45833333333333331</v>
      </c>
      <c r="E110" s="3" t="s">
        <v>353</v>
      </c>
      <c r="H110" s="70">
        <v>0.36944444444444446</v>
      </c>
      <c r="I110" s="3">
        <v>-0.02</v>
      </c>
      <c r="J110" s="3" t="s">
        <v>777</v>
      </c>
      <c r="K110" s="3">
        <v>16</v>
      </c>
      <c r="L110" s="3" t="s">
        <v>660</v>
      </c>
      <c r="M110" s="3" t="s">
        <v>664</v>
      </c>
      <c r="N110" s="3">
        <v>0.45</v>
      </c>
      <c r="O110" s="3" t="s">
        <v>778</v>
      </c>
      <c r="P110" s="3">
        <v>0</v>
      </c>
      <c r="Q110" s="69">
        <v>43927</v>
      </c>
      <c r="R110" s="3" t="s">
        <v>779</v>
      </c>
      <c r="S110" s="3" t="s">
        <v>672</v>
      </c>
      <c r="T110" s="3" t="s">
        <v>780</v>
      </c>
      <c r="U110" s="3">
        <v>0</v>
      </c>
      <c r="V110" s="3">
        <v>0</v>
      </c>
    </row>
    <row r="111" spans="1:25" ht="13" x14ac:dyDescent="0.15">
      <c r="A111" s="13">
        <v>42844</v>
      </c>
      <c r="B111" s="3" t="s">
        <v>244</v>
      </c>
      <c r="C111" s="14">
        <v>0.38541666666666669</v>
      </c>
      <c r="D111" s="14">
        <v>0.46875</v>
      </c>
      <c r="E111" s="3" t="s">
        <v>278</v>
      </c>
      <c r="H111" s="70">
        <v>0.25069444444444444</v>
      </c>
      <c r="I111" s="3">
        <v>0.1</v>
      </c>
      <c r="J111" s="74" t="s">
        <v>741</v>
      </c>
      <c r="K111" s="3">
        <v>23</v>
      </c>
      <c r="L111" s="3" t="s">
        <v>668</v>
      </c>
      <c r="M111" s="3" t="s">
        <v>664</v>
      </c>
      <c r="N111" s="3">
        <v>0.3</v>
      </c>
      <c r="O111" s="74" t="s">
        <v>781</v>
      </c>
      <c r="P111" s="69">
        <v>43835</v>
      </c>
      <c r="Q111" s="69">
        <v>43833</v>
      </c>
      <c r="R111" s="74" t="s">
        <v>782</v>
      </c>
      <c r="S111" s="3" t="s">
        <v>662</v>
      </c>
      <c r="T111" s="74" t="s">
        <v>743</v>
      </c>
      <c r="U111" s="69">
        <v>43835</v>
      </c>
      <c r="V111" s="3">
        <v>0</v>
      </c>
      <c r="X111" s="3" t="s">
        <v>783</v>
      </c>
    </row>
    <row r="112" spans="1:25" ht="13" x14ac:dyDescent="0.15">
      <c r="A112" s="13">
        <v>42844</v>
      </c>
      <c r="B112" s="3" t="s">
        <v>369</v>
      </c>
      <c r="C112" s="14">
        <v>0.35416666666666669</v>
      </c>
      <c r="D112" s="14">
        <v>0.5</v>
      </c>
      <c r="E112" s="3" t="s">
        <v>321</v>
      </c>
      <c r="H112" s="70">
        <v>0.25</v>
      </c>
      <c r="I112" s="3">
        <v>0.2</v>
      </c>
      <c r="J112" s="3" t="s">
        <v>784</v>
      </c>
      <c r="K112" s="3">
        <v>18</v>
      </c>
      <c r="L112" s="3" t="s">
        <v>668</v>
      </c>
      <c r="M112" s="3" t="s">
        <v>664</v>
      </c>
      <c r="N112" s="3">
        <v>0.01</v>
      </c>
      <c r="O112" s="3" t="s">
        <v>785</v>
      </c>
      <c r="P112" s="3" t="s">
        <v>684</v>
      </c>
      <c r="Q112" s="69">
        <v>43833</v>
      </c>
      <c r="R112" s="3" t="s">
        <v>786</v>
      </c>
      <c r="S112" s="3" t="s">
        <v>701</v>
      </c>
      <c r="T112" s="3" t="s">
        <v>787</v>
      </c>
      <c r="U112" s="3">
        <v>0</v>
      </c>
      <c r="V112" s="69">
        <v>43835</v>
      </c>
      <c r="W112" s="3" t="s">
        <v>683</v>
      </c>
    </row>
    <row r="113" spans="1:25" ht="13" x14ac:dyDescent="0.15">
      <c r="A113" s="13">
        <v>42850</v>
      </c>
      <c r="B113" s="3" t="s">
        <v>244</v>
      </c>
      <c r="C113" s="14">
        <v>0.39583333333333331</v>
      </c>
      <c r="D113" s="14">
        <v>0.45833333333333331</v>
      </c>
      <c r="E113" s="3" t="s">
        <v>326</v>
      </c>
      <c r="H113" s="70">
        <v>0.38680555555555557</v>
      </c>
      <c r="I113" s="3">
        <v>0</v>
      </c>
      <c r="J113" s="3" t="s">
        <v>788</v>
      </c>
      <c r="K113" s="3">
        <v>26</v>
      </c>
      <c r="L113" s="3" t="s">
        <v>660</v>
      </c>
      <c r="M113" s="3" t="s">
        <v>661</v>
      </c>
      <c r="O113" s="3" t="s">
        <v>788</v>
      </c>
      <c r="P113" s="69">
        <v>43835</v>
      </c>
      <c r="Q113" s="69">
        <v>43833</v>
      </c>
      <c r="R113" s="3" t="s">
        <v>788</v>
      </c>
      <c r="S113" s="3" t="s">
        <v>662</v>
      </c>
      <c r="T113" s="3" t="s">
        <v>788</v>
      </c>
      <c r="U113" s="3">
        <v>0</v>
      </c>
      <c r="V113" s="69">
        <v>43835</v>
      </c>
      <c r="W113" s="3" t="s">
        <v>789</v>
      </c>
      <c r="X113" s="3" t="s">
        <v>790</v>
      </c>
    </row>
    <row r="114" spans="1:25" ht="13" x14ac:dyDescent="0.15">
      <c r="A114" s="13">
        <v>42850</v>
      </c>
      <c r="B114" s="3" t="s">
        <v>250</v>
      </c>
      <c r="C114" s="14">
        <v>0.3888888888888889</v>
      </c>
      <c r="D114" s="14">
        <v>0.47916666666666669</v>
      </c>
      <c r="E114" s="3" t="s">
        <v>372</v>
      </c>
      <c r="H114" s="70">
        <v>0.39513888888888887</v>
      </c>
      <c r="I114" s="3">
        <v>-0.4</v>
      </c>
      <c r="J114" s="72" t="s">
        <v>791</v>
      </c>
      <c r="K114" s="3">
        <v>15</v>
      </c>
      <c r="L114" s="3" t="s">
        <v>660</v>
      </c>
      <c r="M114" s="3" t="s">
        <v>661</v>
      </c>
      <c r="O114" s="72" t="s">
        <v>792</v>
      </c>
      <c r="P114" s="69">
        <v>43835</v>
      </c>
      <c r="Q114" s="69">
        <v>43833</v>
      </c>
      <c r="R114" s="72" t="s">
        <v>793</v>
      </c>
      <c r="S114" s="69">
        <v>43928</v>
      </c>
      <c r="T114" s="72" t="s">
        <v>793</v>
      </c>
      <c r="U114" s="69">
        <v>43835</v>
      </c>
      <c r="V114" s="69">
        <v>43835</v>
      </c>
      <c r="W114" s="3" t="s">
        <v>794</v>
      </c>
    </row>
    <row r="115" spans="1:25" ht="13" x14ac:dyDescent="0.15">
      <c r="A115" s="13">
        <v>42850</v>
      </c>
      <c r="B115" s="3" t="s">
        <v>374</v>
      </c>
      <c r="C115" s="14">
        <v>0.40625</v>
      </c>
      <c r="D115" s="14">
        <v>0.46875</v>
      </c>
      <c r="E115" s="3" t="s">
        <v>375</v>
      </c>
      <c r="H115" s="70">
        <v>0.39583333333333331</v>
      </c>
      <c r="I115" s="3">
        <v>-0.4</v>
      </c>
      <c r="J115" s="3" t="s">
        <v>795</v>
      </c>
      <c r="K115" s="3">
        <v>20</v>
      </c>
      <c r="L115" s="3" t="s">
        <v>660</v>
      </c>
      <c r="M115" s="3" t="s">
        <v>661</v>
      </c>
      <c r="O115" s="3" t="s">
        <v>796</v>
      </c>
      <c r="P115" s="69">
        <v>43835</v>
      </c>
      <c r="Q115" s="69">
        <v>43833</v>
      </c>
      <c r="R115" s="3" t="s">
        <v>795</v>
      </c>
      <c r="S115" s="3" t="s">
        <v>662</v>
      </c>
      <c r="T115" s="3" t="s">
        <v>796</v>
      </c>
      <c r="U115" s="3">
        <v>0</v>
      </c>
      <c r="V115" s="3">
        <v>0</v>
      </c>
      <c r="X115" s="3" t="s">
        <v>797</v>
      </c>
    </row>
    <row r="116" spans="1:25" ht="13" x14ac:dyDescent="0.15">
      <c r="A116" s="13">
        <v>42851</v>
      </c>
      <c r="B116" s="3" t="s">
        <v>369</v>
      </c>
      <c r="C116" s="14">
        <v>0.375</v>
      </c>
      <c r="D116" s="14">
        <v>0.5625</v>
      </c>
      <c r="E116" s="3" t="s">
        <v>321</v>
      </c>
      <c r="H116" s="70">
        <v>0.25</v>
      </c>
      <c r="I116" s="3">
        <v>0.02</v>
      </c>
      <c r="J116" s="3" t="s">
        <v>784</v>
      </c>
      <c r="K116" s="3">
        <v>15</v>
      </c>
      <c r="L116" s="3" t="s">
        <v>668</v>
      </c>
      <c r="M116" s="3" t="s">
        <v>664</v>
      </c>
      <c r="N116" s="3">
        <v>0.01</v>
      </c>
      <c r="O116" s="3" t="s">
        <v>786</v>
      </c>
      <c r="P116" s="69">
        <v>43835</v>
      </c>
      <c r="Q116" s="69">
        <v>43833</v>
      </c>
      <c r="R116" s="3" t="s">
        <v>786</v>
      </c>
      <c r="S116" s="3" t="s">
        <v>662</v>
      </c>
      <c r="T116" s="3" t="s">
        <v>798</v>
      </c>
      <c r="U116" s="3">
        <v>0</v>
      </c>
      <c r="V116" s="3">
        <v>0</v>
      </c>
    </row>
    <row r="117" spans="1:25" ht="13" x14ac:dyDescent="0.15">
      <c r="A117" s="13">
        <v>42851</v>
      </c>
      <c r="B117" s="3" t="s">
        <v>340</v>
      </c>
      <c r="C117" s="14">
        <v>0.38541666666666669</v>
      </c>
      <c r="D117" s="14">
        <v>0.45833333333333331</v>
      </c>
      <c r="E117" s="3" t="s">
        <v>381</v>
      </c>
      <c r="H117" s="70">
        <v>0.40347222222222223</v>
      </c>
      <c r="I117" s="3">
        <v>-0.43</v>
      </c>
      <c r="J117" s="3" t="s">
        <v>678</v>
      </c>
      <c r="K117" s="3">
        <v>28</v>
      </c>
      <c r="L117" s="3" t="s">
        <v>660</v>
      </c>
      <c r="M117" s="3" t="s">
        <v>664</v>
      </c>
      <c r="O117" s="3" t="s">
        <v>799</v>
      </c>
      <c r="P117" s="69">
        <v>43992</v>
      </c>
      <c r="Q117" s="69">
        <v>43833</v>
      </c>
      <c r="R117" s="3" t="s">
        <v>800</v>
      </c>
      <c r="S117" s="69">
        <v>43928</v>
      </c>
      <c r="T117" s="3" t="s">
        <v>800</v>
      </c>
      <c r="U117" s="3">
        <v>0</v>
      </c>
      <c r="V117" s="3">
        <v>0</v>
      </c>
    </row>
    <row r="118" spans="1:25" ht="13" x14ac:dyDescent="0.15">
      <c r="A118" s="13">
        <v>42851</v>
      </c>
      <c r="B118" s="3" t="s">
        <v>293</v>
      </c>
      <c r="C118" s="14">
        <v>0.39930555555555558</v>
      </c>
      <c r="D118" s="14">
        <v>0.4548611111111111</v>
      </c>
      <c r="E118" s="3" t="s">
        <v>383</v>
      </c>
      <c r="H118" s="70">
        <v>0.37430555555555556</v>
      </c>
      <c r="I118" s="3">
        <v>-0.6</v>
      </c>
      <c r="J118" s="3" t="s">
        <v>801</v>
      </c>
      <c r="K118" s="3">
        <v>20</v>
      </c>
      <c r="L118" s="3" t="s">
        <v>668</v>
      </c>
      <c r="M118" s="3" t="s">
        <v>664</v>
      </c>
      <c r="N118" s="3">
        <v>0.1</v>
      </c>
      <c r="O118" s="3" t="s">
        <v>802</v>
      </c>
      <c r="P118" s="3" t="s">
        <v>698</v>
      </c>
      <c r="Q118" s="69">
        <v>43833</v>
      </c>
      <c r="R118" s="3" t="s">
        <v>803</v>
      </c>
      <c r="S118" s="69">
        <v>43833</v>
      </c>
      <c r="T118" s="3" t="s">
        <v>803</v>
      </c>
      <c r="U118" s="3">
        <v>0</v>
      </c>
      <c r="V118" s="3">
        <v>0</v>
      </c>
      <c r="X118" s="3" t="s">
        <v>804</v>
      </c>
    </row>
    <row r="119" spans="1:25" ht="13" x14ac:dyDescent="0.15">
      <c r="A119" s="13">
        <v>42851</v>
      </c>
      <c r="B119" s="3" t="s">
        <v>216</v>
      </c>
      <c r="C119" s="14">
        <v>0.40277777777777779</v>
      </c>
      <c r="D119" s="14">
        <v>0.44791666666666669</v>
      </c>
      <c r="E119" s="3" t="s">
        <v>385</v>
      </c>
      <c r="H119" s="70">
        <v>0.40625</v>
      </c>
      <c r="I119" s="3">
        <v>-0.4</v>
      </c>
      <c r="J119" s="3" t="s">
        <v>805</v>
      </c>
      <c r="K119" s="3">
        <v>25</v>
      </c>
      <c r="L119" s="3" t="s">
        <v>660</v>
      </c>
      <c r="M119" s="3" t="s">
        <v>661</v>
      </c>
      <c r="O119" s="3" t="s">
        <v>756</v>
      </c>
      <c r="P119" s="69">
        <v>43835</v>
      </c>
      <c r="Q119" s="69">
        <v>43927</v>
      </c>
      <c r="R119" s="3" t="s">
        <v>806</v>
      </c>
      <c r="S119" s="69">
        <v>43928</v>
      </c>
      <c r="T119" s="3" t="s">
        <v>807</v>
      </c>
      <c r="U119" s="69">
        <v>43835</v>
      </c>
      <c r="V119" s="69">
        <v>43835</v>
      </c>
      <c r="W119" s="3" t="s">
        <v>808</v>
      </c>
    </row>
    <row r="120" spans="1:25" ht="13" x14ac:dyDescent="0.15">
      <c r="A120" s="13">
        <v>42852</v>
      </c>
      <c r="B120" s="3" t="s">
        <v>293</v>
      </c>
      <c r="C120" s="14">
        <v>0.3611111111111111</v>
      </c>
      <c r="D120" s="14">
        <v>0.45833333333333331</v>
      </c>
      <c r="H120" s="70">
        <v>0.39930555555555558</v>
      </c>
      <c r="I120" s="3">
        <v>-0.6</v>
      </c>
      <c r="J120" s="3" t="s">
        <v>809</v>
      </c>
      <c r="K120" s="3">
        <v>11</v>
      </c>
      <c r="L120" s="3" t="s">
        <v>668</v>
      </c>
      <c r="M120" s="3" t="s">
        <v>664</v>
      </c>
      <c r="N120" s="3">
        <v>0.03</v>
      </c>
      <c r="O120" s="3" t="s">
        <v>810</v>
      </c>
      <c r="P120" s="3">
        <v>0</v>
      </c>
      <c r="Q120" s="69">
        <v>43833</v>
      </c>
      <c r="R120" s="3" t="s">
        <v>809</v>
      </c>
      <c r="S120" s="3" t="s">
        <v>662</v>
      </c>
      <c r="T120" s="3" t="s">
        <v>811</v>
      </c>
      <c r="U120" s="3">
        <v>0</v>
      </c>
      <c r="V120" s="3">
        <v>0</v>
      </c>
    </row>
    <row r="121" spans="1:25" ht="13" x14ac:dyDescent="0.15">
      <c r="A121" s="13">
        <v>42852</v>
      </c>
      <c r="B121" s="3" t="s">
        <v>201</v>
      </c>
      <c r="C121" s="14">
        <v>0.37847222222222221</v>
      </c>
      <c r="D121" s="14">
        <v>0.4236111111111111</v>
      </c>
      <c r="E121" s="3" t="s">
        <v>389</v>
      </c>
      <c r="F121" s="3" t="s">
        <v>664</v>
      </c>
      <c r="G121" s="3" t="s">
        <v>39</v>
      </c>
      <c r="H121" s="70">
        <v>0.4375</v>
      </c>
      <c r="I121" s="3">
        <v>-0.5</v>
      </c>
      <c r="J121" s="3" t="s">
        <v>738</v>
      </c>
      <c r="K121" s="3">
        <v>6</v>
      </c>
      <c r="L121" s="3" t="s">
        <v>660</v>
      </c>
      <c r="M121" s="3" t="s">
        <v>713</v>
      </c>
      <c r="N121" s="3">
        <v>0.01</v>
      </c>
      <c r="O121" s="3" t="s">
        <v>756</v>
      </c>
      <c r="P121" s="69">
        <v>43835</v>
      </c>
      <c r="Q121" s="69">
        <v>43833</v>
      </c>
      <c r="R121" s="3" t="s">
        <v>738</v>
      </c>
      <c r="S121" s="69">
        <v>44055</v>
      </c>
      <c r="T121" s="3" t="s">
        <v>738</v>
      </c>
      <c r="U121" s="3">
        <v>0</v>
      </c>
      <c r="V121" s="3">
        <v>0</v>
      </c>
    </row>
    <row r="122" spans="1:25" ht="13" x14ac:dyDescent="0.15">
      <c r="A122" s="13">
        <v>42852</v>
      </c>
      <c r="B122" s="3" t="s">
        <v>201</v>
      </c>
      <c r="C122" s="14">
        <v>0.4236111111111111</v>
      </c>
      <c r="D122" s="14">
        <v>0.47222222222222221</v>
      </c>
      <c r="E122" s="3" t="s">
        <v>812</v>
      </c>
      <c r="F122" s="3" t="s">
        <v>664</v>
      </c>
      <c r="G122" s="3" t="s">
        <v>39</v>
      </c>
      <c r="H122" s="70">
        <v>0.4375</v>
      </c>
      <c r="I122" s="3">
        <v>-0.5</v>
      </c>
      <c r="J122" s="3" t="s">
        <v>738</v>
      </c>
      <c r="K122" s="3">
        <v>6</v>
      </c>
      <c r="L122" s="3" t="s">
        <v>660</v>
      </c>
      <c r="M122" s="3" t="s">
        <v>664</v>
      </c>
      <c r="N122" s="3">
        <v>0.01</v>
      </c>
      <c r="O122" s="3" t="s">
        <v>756</v>
      </c>
      <c r="P122" s="69">
        <v>43835</v>
      </c>
      <c r="Q122" s="69">
        <v>43833</v>
      </c>
      <c r="R122" s="3" t="s">
        <v>738</v>
      </c>
      <c r="S122" s="69">
        <v>44055</v>
      </c>
      <c r="T122" s="3" t="s">
        <v>738</v>
      </c>
      <c r="U122" s="3">
        <v>0</v>
      </c>
      <c r="V122" s="3">
        <v>0</v>
      </c>
    </row>
    <row r="123" spans="1:25" ht="13" x14ac:dyDescent="0.15">
      <c r="A123" s="13">
        <v>42853</v>
      </c>
      <c r="B123" s="3" t="s">
        <v>374</v>
      </c>
      <c r="C123" s="14">
        <v>0.47083333333333333</v>
      </c>
      <c r="D123" s="14">
        <v>0.49861111111111112</v>
      </c>
      <c r="E123" s="3" t="s">
        <v>391</v>
      </c>
      <c r="F123" s="3" t="s">
        <v>664</v>
      </c>
      <c r="G123" s="3" t="s">
        <v>703</v>
      </c>
      <c r="H123" s="70">
        <v>0.45902777777777776</v>
      </c>
      <c r="I123" s="3">
        <v>0</v>
      </c>
      <c r="J123" s="3" t="s">
        <v>813</v>
      </c>
      <c r="K123" s="3">
        <v>5</v>
      </c>
      <c r="L123" s="3" t="s">
        <v>660</v>
      </c>
      <c r="M123" s="3" t="s">
        <v>661</v>
      </c>
      <c r="O123" s="3" t="s">
        <v>814</v>
      </c>
      <c r="P123" s="3">
        <v>0</v>
      </c>
      <c r="Q123" s="69">
        <v>43833</v>
      </c>
      <c r="R123" s="3" t="s">
        <v>813</v>
      </c>
      <c r="S123" s="69">
        <v>43833</v>
      </c>
      <c r="T123" s="3" t="s">
        <v>815</v>
      </c>
      <c r="U123" s="3">
        <v>0</v>
      </c>
      <c r="V123" s="3">
        <v>0</v>
      </c>
    </row>
    <row r="124" spans="1:25" ht="13" x14ac:dyDescent="0.15">
      <c r="A124" s="13">
        <v>42853</v>
      </c>
      <c r="B124" s="3" t="s">
        <v>266</v>
      </c>
      <c r="C124" s="14">
        <v>0.44791666666666669</v>
      </c>
      <c r="D124" s="14">
        <v>0.50486111111111109</v>
      </c>
      <c r="E124" s="3" t="s">
        <v>367</v>
      </c>
      <c r="H124" s="70">
        <v>0.43958333333333333</v>
      </c>
      <c r="I124" s="3">
        <v>-0.33</v>
      </c>
      <c r="J124" s="3" t="s">
        <v>816</v>
      </c>
      <c r="K124" s="3">
        <v>6</v>
      </c>
      <c r="L124" s="3" t="s">
        <v>764</v>
      </c>
      <c r="M124" s="3" t="s">
        <v>664</v>
      </c>
      <c r="O124" s="3" t="s">
        <v>765</v>
      </c>
      <c r="P124" s="3">
        <v>0</v>
      </c>
      <c r="Q124" s="69">
        <v>43833</v>
      </c>
      <c r="R124" s="3" t="s">
        <v>817</v>
      </c>
      <c r="S124" s="69">
        <v>44055</v>
      </c>
      <c r="T124" s="3" t="s">
        <v>571</v>
      </c>
      <c r="U124" s="3">
        <v>0</v>
      </c>
      <c r="V124" s="3">
        <v>0</v>
      </c>
      <c r="X124" s="3" t="s">
        <v>818</v>
      </c>
    </row>
    <row r="125" spans="1:25" ht="13" x14ac:dyDescent="0.15">
      <c r="A125" s="13">
        <v>42853</v>
      </c>
      <c r="B125" s="3" t="s">
        <v>293</v>
      </c>
      <c r="C125" s="14">
        <v>0.3888888888888889</v>
      </c>
      <c r="D125" s="14">
        <v>0.44791666666666669</v>
      </c>
      <c r="E125" s="3" t="s">
        <v>459</v>
      </c>
      <c r="H125" s="70">
        <v>0.42569444444444443</v>
      </c>
      <c r="I125" s="3">
        <v>-0.6</v>
      </c>
      <c r="J125" s="3" t="s">
        <v>590</v>
      </c>
      <c r="K125" s="3">
        <v>12</v>
      </c>
      <c r="L125" s="3" t="s">
        <v>660</v>
      </c>
      <c r="M125" s="3" t="s">
        <v>664</v>
      </c>
      <c r="N125" s="3">
        <v>0.03</v>
      </c>
      <c r="O125" s="3" t="s">
        <v>819</v>
      </c>
      <c r="P125" s="69">
        <v>43992</v>
      </c>
      <c r="Q125" s="69">
        <v>43833</v>
      </c>
      <c r="R125" s="3" t="s">
        <v>820</v>
      </c>
      <c r="S125" s="3" t="s">
        <v>662</v>
      </c>
      <c r="T125" s="3" t="s">
        <v>821</v>
      </c>
      <c r="U125" s="69">
        <v>43835</v>
      </c>
      <c r="V125" s="3">
        <v>0</v>
      </c>
    </row>
    <row r="126" spans="1:25" ht="13" x14ac:dyDescent="0.15">
      <c r="A126" s="13">
        <v>42860</v>
      </c>
      <c r="B126" s="3" t="s">
        <v>244</v>
      </c>
      <c r="C126" s="14">
        <v>0.38541666666666669</v>
      </c>
      <c r="D126" s="14">
        <v>0.45833333333333331</v>
      </c>
      <c r="E126" s="3" t="s">
        <v>278</v>
      </c>
      <c r="H126" s="70">
        <v>0.29722222222222222</v>
      </c>
      <c r="I126" s="3">
        <v>-0.2</v>
      </c>
      <c r="J126" s="74" t="s">
        <v>741</v>
      </c>
      <c r="K126" s="3">
        <v>17</v>
      </c>
      <c r="L126" s="3" t="s">
        <v>660</v>
      </c>
      <c r="M126" s="3" t="s">
        <v>661</v>
      </c>
      <c r="O126" s="74" t="s">
        <v>743</v>
      </c>
      <c r="P126" s="69">
        <v>43835</v>
      </c>
      <c r="Q126" s="69">
        <v>43833</v>
      </c>
      <c r="R126" s="74" t="s">
        <v>743</v>
      </c>
      <c r="S126" s="69">
        <v>43833</v>
      </c>
      <c r="T126" s="74" t="s">
        <v>743</v>
      </c>
      <c r="U126" s="69">
        <v>43835</v>
      </c>
      <c r="V126" s="69">
        <v>43835</v>
      </c>
      <c r="W126" s="3" t="s">
        <v>822</v>
      </c>
    </row>
    <row r="127" spans="1:25" ht="13" x14ac:dyDescent="0.15">
      <c r="A127" s="13">
        <v>42860</v>
      </c>
      <c r="B127" s="3" t="s">
        <v>394</v>
      </c>
      <c r="C127" s="14">
        <v>0.51041666666666663</v>
      </c>
      <c r="D127" s="14">
        <v>0.51041666666666663</v>
      </c>
      <c r="E127" s="3" t="s">
        <v>367</v>
      </c>
      <c r="H127" s="70">
        <v>0.2902777777777778</v>
      </c>
      <c r="I127" s="3">
        <v>0.04</v>
      </c>
      <c r="J127" s="3" t="s">
        <v>678</v>
      </c>
      <c r="K127" s="3">
        <v>17</v>
      </c>
      <c r="L127" s="3" t="s">
        <v>660</v>
      </c>
      <c r="M127" s="3" t="s">
        <v>661</v>
      </c>
      <c r="O127" s="3" t="s">
        <v>678</v>
      </c>
      <c r="P127" s="3" t="s">
        <v>698</v>
      </c>
      <c r="Q127" s="69">
        <v>43833</v>
      </c>
      <c r="R127" s="3" t="s">
        <v>678</v>
      </c>
      <c r="S127" s="69">
        <v>43928</v>
      </c>
      <c r="T127" s="3" t="s">
        <v>678</v>
      </c>
      <c r="U127" s="3">
        <v>0</v>
      </c>
      <c r="V127" s="3">
        <v>0</v>
      </c>
      <c r="X127" s="3" t="s">
        <v>823</v>
      </c>
    </row>
    <row r="128" spans="1:25" ht="13" x14ac:dyDescent="0.15">
      <c r="A128" s="13">
        <v>42865</v>
      </c>
      <c r="B128" s="3" t="s">
        <v>230</v>
      </c>
      <c r="C128" s="14">
        <v>0.39583333333333331</v>
      </c>
      <c r="D128" s="14">
        <v>0.46527777777777779</v>
      </c>
      <c r="E128" s="3" t="s">
        <v>397</v>
      </c>
      <c r="F128" s="3" t="s">
        <v>664</v>
      </c>
      <c r="G128" s="3" t="s">
        <v>824</v>
      </c>
      <c r="H128" s="70">
        <v>0.38472222222222224</v>
      </c>
      <c r="I128" s="3">
        <v>-0.2</v>
      </c>
      <c r="J128" s="3" t="s">
        <v>774</v>
      </c>
      <c r="K128" s="3">
        <v>12</v>
      </c>
      <c r="L128" s="3" t="s">
        <v>660</v>
      </c>
      <c r="M128" s="3" t="s">
        <v>664</v>
      </c>
      <c r="O128" s="3" t="s">
        <v>676</v>
      </c>
      <c r="P128" s="3">
        <v>0</v>
      </c>
      <c r="Q128" s="69">
        <v>43833</v>
      </c>
      <c r="R128" s="3" t="s">
        <v>825</v>
      </c>
      <c r="S128" s="69">
        <v>43833</v>
      </c>
      <c r="T128" s="3" t="s">
        <v>825</v>
      </c>
      <c r="U128" s="3">
        <v>0</v>
      </c>
      <c r="V128" s="69">
        <v>44150</v>
      </c>
      <c r="W128" s="3" t="s">
        <v>758</v>
      </c>
      <c r="X128" s="3" t="s">
        <v>826</v>
      </c>
      <c r="Y128" s="3" t="s">
        <v>827</v>
      </c>
    </row>
    <row r="129" spans="1:25" ht="13" x14ac:dyDescent="0.15">
      <c r="A129" s="13">
        <v>42865</v>
      </c>
      <c r="B129" s="3" t="s">
        <v>828</v>
      </c>
      <c r="C129" s="14">
        <v>0.36319444444444443</v>
      </c>
      <c r="D129" s="14">
        <v>0.37083333333333335</v>
      </c>
      <c r="E129" s="3" t="s">
        <v>468</v>
      </c>
      <c r="F129" s="3" t="s">
        <v>664</v>
      </c>
      <c r="G129" s="3" t="s">
        <v>39</v>
      </c>
      <c r="H129" s="70">
        <v>0.34166666666666667</v>
      </c>
      <c r="I129" s="3">
        <v>-0.17</v>
      </c>
      <c r="J129" s="3" t="s">
        <v>829</v>
      </c>
      <c r="K129" s="3">
        <v>8</v>
      </c>
      <c r="L129" s="3" t="s">
        <v>668</v>
      </c>
      <c r="M129" s="3" t="s">
        <v>664</v>
      </c>
      <c r="O129" s="3" t="s">
        <v>830</v>
      </c>
      <c r="P129" s="3">
        <v>0</v>
      </c>
      <c r="Q129" s="69">
        <v>43833</v>
      </c>
      <c r="R129" s="3" t="s">
        <v>831</v>
      </c>
      <c r="S129" s="69">
        <v>44055</v>
      </c>
      <c r="T129" s="3" t="s">
        <v>832</v>
      </c>
      <c r="U129" s="3">
        <v>0</v>
      </c>
      <c r="V129" s="3">
        <v>0</v>
      </c>
      <c r="X129" s="3" t="s">
        <v>833</v>
      </c>
      <c r="Y129" s="3" t="s">
        <v>834</v>
      </c>
    </row>
    <row r="130" spans="1:25" ht="13" x14ac:dyDescent="0.15">
      <c r="A130" s="13">
        <v>42866</v>
      </c>
      <c r="B130" s="3" t="s">
        <v>400</v>
      </c>
      <c r="C130" s="14">
        <v>0.36805555555555558</v>
      </c>
      <c r="D130" s="14">
        <v>0.41319444444444442</v>
      </c>
      <c r="E130" s="3" t="s">
        <v>401</v>
      </c>
      <c r="H130" s="70">
        <v>0.37986111111111109</v>
      </c>
      <c r="I130" s="3">
        <v>-0.27</v>
      </c>
      <c r="J130" s="3" t="s">
        <v>835</v>
      </c>
      <c r="K130" s="3">
        <v>24</v>
      </c>
      <c r="L130" s="3" t="s">
        <v>668</v>
      </c>
      <c r="M130" s="3" t="s">
        <v>664</v>
      </c>
      <c r="O130" s="3" t="s">
        <v>836</v>
      </c>
      <c r="P130" s="69">
        <v>43992</v>
      </c>
      <c r="Q130" s="69">
        <v>43833</v>
      </c>
      <c r="R130" s="3" t="s">
        <v>836</v>
      </c>
      <c r="S130" s="69">
        <v>44055</v>
      </c>
      <c r="T130" s="3" t="s">
        <v>836</v>
      </c>
      <c r="U130" s="69">
        <v>43835</v>
      </c>
      <c r="V130" s="3">
        <v>0</v>
      </c>
    </row>
    <row r="131" spans="1:25" ht="13" x14ac:dyDescent="0.15">
      <c r="A131" s="13">
        <v>42866</v>
      </c>
      <c r="B131" s="3" t="s">
        <v>244</v>
      </c>
      <c r="C131" s="14">
        <v>0.38541666666666669</v>
      </c>
      <c r="D131" s="14">
        <v>0.45833333333333331</v>
      </c>
      <c r="E131" s="3" t="s">
        <v>278</v>
      </c>
      <c r="H131" s="70">
        <v>0.40277777777777779</v>
      </c>
      <c r="I131" s="3">
        <v>-0.2</v>
      </c>
      <c r="J131" s="74" t="s">
        <v>741</v>
      </c>
      <c r="K131" s="3">
        <v>20</v>
      </c>
      <c r="L131" s="3" t="s">
        <v>660</v>
      </c>
      <c r="M131" s="3" t="s">
        <v>661</v>
      </c>
      <c r="O131" s="74" t="s">
        <v>781</v>
      </c>
      <c r="P131" s="69">
        <v>44150</v>
      </c>
      <c r="Q131" s="69">
        <v>43833</v>
      </c>
      <c r="R131" s="74" t="s">
        <v>743</v>
      </c>
      <c r="S131" s="69">
        <v>43928</v>
      </c>
      <c r="T131" s="74" t="s">
        <v>743</v>
      </c>
      <c r="U131" s="69">
        <v>43835</v>
      </c>
      <c r="V131" s="3">
        <v>0</v>
      </c>
      <c r="X131" s="3" t="s">
        <v>837</v>
      </c>
    </row>
    <row r="132" spans="1:25" ht="13" x14ac:dyDescent="0.15">
      <c r="A132" s="13">
        <v>42866</v>
      </c>
      <c r="B132" s="3" t="s">
        <v>219</v>
      </c>
      <c r="C132" s="14">
        <v>0.4</v>
      </c>
      <c r="D132" s="14">
        <v>0.45833333333333331</v>
      </c>
      <c r="E132" s="3" t="s">
        <v>479</v>
      </c>
      <c r="F132" s="3" t="s">
        <v>664</v>
      </c>
      <c r="G132" s="3" t="s">
        <v>703</v>
      </c>
      <c r="H132" s="70">
        <v>0.3923611111111111</v>
      </c>
      <c r="I132" s="3">
        <v>-1</v>
      </c>
      <c r="J132" s="3" t="s">
        <v>838</v>
      </c>
      <c r="K132" s="3">
        <v>29</v>
      </c>
      <c r="L132" s="3" t="s">
        <v>660</v>
      </c>
      <c r="M132" s="3" t="s">
        <v>661</v>
      </c>
      <c r="O132" s="3" t="s">
        <v>839</v>
      </c>
      <c r="P132" s="3">
        <v>0</v>
      </c>
      <c r="Q132" s="69">
        <v>43833</v>
      </c>
      <c r="R132" s="3" t="s">
        <v>840</v>
      </c>
      <c r="S132" s="3" t="s">
        <v>662</v>
      </c>
      <c r="T132" s="3" t="s">
        <v>839</v>
      </c>
      <c r="U132" s="3">
        <v>0</v>
      </c>
      <c r="V132" s="3">
        <v>0</v>
      </c>
      <c r="X132" s="3"/>
    </row>
    <row r="133" spans="1:25" ht="13" x14ac:dyDescent="0.15">
      <c r="A133" s="13">
        <v>42866</v>
      </c>
      <c r="B133" s="3" t="s">
        <v>377</v>
      </c>
      <c r="C133" s="14">
        <v>0.36458333333333331</v>
      </c>
      <c r="D133" s="14">
        <v>0.44791666666666669</v>
      </c>
      <c r="E133" s="3" t="s">
        <v>704</v>
      </c>
      <c r="F133" s="3" t="s">
        <v>664</v>
      </c>
      <c r="G133" s="3" t="s">
        <v>703</v>
      </c>
      <c r="H133" s="70">
        <v>0.40138888888888891</v>
      </c>
      <c r="I133" s="3">
        <v>-0.2</v>
      </c>
      <c r="J133" s="3" t="s">
        <v>705</v>
      </c>
      <c r="K133" s="3">
        <v>21</v>
      </c>
      <c r="L133" s="3" t="s">
        <v>660</v>
      </c>
      <c r="M133" s="3" t="s">
        <v>664</v>
      </c>
      <c r="N133" s="3">
        <v>0.05</v>
      </c>
      <c r="O133" s="3" t="s">
        <v>705</v>
      </c>
      <c r="P133" s="3" t="s">
        <v>698</v>
      </c>
      <c r="Q133" s="69">
        <v>43833</v>
      </c>
      <c r="R133" s="3" t="s">
        <v>377</v>
      </c>
      <c r="S133" s="69">
        <v>43833</v>
      </c>
      <c r="T133" s="3" t="s">
        <v>705</v>
      </c>
      <c r="U133" s="3">
        <v>0</v>
      </c>
      <c r="V133" s="3">
        <v>0</v>
      </c>
      <c r="X133" s="3" t="s">
        <v>841</v>
      </c>
    </row>
    <row r="134" spans="1:25" ht="13" x14ac:dyDescent="0.15">
      <c r="A134" s="13">
        <v>42867</v>
      </c>
      <c r="B134" s="3" t="s">
        <v>216</v>
      </c>
      <c r="C134" s="14">
        <v>0.45833333333333331</v>
      </c>
      <c r="D134" s="14">
        <v>0.51041666666666663</v>
      </c>
      <c r="E134" s="3" t="s">
        <v>299</v>
      </c>
      <c r="F134" s="3" t="s">
        <v>664</v>
      </c>
      <c r="G134" s="3" t="s">
        <v>703</v>
      </c>
      <c r="H134" s="70">
        <v>0.42222222222222222</v>
      </c>
      <c r="I134" s="3">
        <v>-0.13</v>
      </c>
      <c r="J134" s="3" t="s">
        <v>774</v>
      </c>
      <c r="K134" s="3">
        <v>12</v>
      </c>
      <c r="L134" s="3" t="s">
        <v>660</v>
      </c>
      <c r="M134" s="3" t="s">
        <v>661</v>
      </c>
      <c r="O134" s="3" t="s">
        <v>774</v>
      </c>
      <c r="P134" s="69">
        <v>44150</v>
      </c>
      <c r="Q134" s="69">
        <v>43833</v>
      </c>
      <c r="R134" s="3" t="s">
        <v>842</v>
      </c>
      <c r="S134" s="3" t="s">
        <v>701</v>
      </c>
      <c r="T134" s="3" t="s">
        <v>843</v>
      </c>
      <c r="U134" s="69">
        <v>43835</v>
      </c>
      <c r="V134" s="3">
        <v>0</v>
      </c>
      <c r="X134" s="3" t="s">
        <v>844</v>
      </c>
    </row>
    <row r="135" spans="1:25" ht="13" x14ac:dyDescent="0.15">
      <c r="A135" s="13">
        <v>42874</v>
      </c>
      <c r="B135" s="3" t="s">
        <v>400</v>
      </c>
      <c r="C135" s="14">
        <v>0.36805555555555558</v>
      </c>
      <c r="D135" s="14">
        <v>0.41319444444444442</v>
      </c>
      <c r="E135" s="3" t="s">
        <v>401</v>
      </c>
      <c r="H135" s="70">
        <v>0.37986111111111109</v>
      </c>
      <c r="I135" s="3">
        <v>-0.27</v>
      </c>
      <c r="J135" s="3" t="s">
        <v>835</v>
      </c>
      <c r="K135" s="3">
        <v>24</v>
      </c>
      <c r="L135" s="3" t="s">
        <v>668</v>
      </c>
      <c r="M135" s="3" t="s">
        <v>664</v>
      </c>
      <c r="N135" s="3"/>
      <c r="O135" s="3" t="s">
        <v>836</v>
      </c>
      <c r="P135" s="69">
        <v>43992</v>
      </c>
      <c r="Q135" s="69">
        <v>43833</v>
      </c>
      <c r="R135" s="3" t="s">
        <v>836</v>
      </c>
      <c r="S135" s="69">
        <v>44055</v>
      </c>
      <c r="T135" s="3" t="s">
        <v>836</v>
      </c>
      <c r="U135" s="69">
        <v>43835</v>
      </c>
      <c r="V135" s="3">
        <v>0</v>
      </c>
    </row>
    <row r="136" spans="1:25" ht="13" x14ac:dyDescent="0.15">
      <c r="A136" s="13">
        <v>42879</v>
      </c>
      <c r="B136" s="3" t="s">
        <v>247</v>
      </c>
      <c r="C136" s="14">
        <v>0.38541666666666669</v>
      </c>
      <c r="D136" s="14">
        <v>0.46875</v>
      </c>
      <c r="E136" s="3" t="s">
        <v>289</v>
      </c>
      <c r="H136" s="70">
        <v>0.38194444444444442</v>
      </c>
      <c r="I136" s="3">
        <v>-0.75</v>
      </c>
      <c r="J136" s="3" t="s">
        <v>845</v>
      </c>
      <c r="K136" s="3">
        <v>12</v>
      </c>
      <c r="L136" s="3" t="s">
        <v>660</v>
      </c>
      <c r="M136" s="3" t="s">
        <v>664</v>
      </c>
      <c r="N136" s="3">
        <v>0.42</v>
      </c>
      <c r="O136" s="3" t="s">
        <v>590</v>
      </c>
      <c r="P136" s="3" t="s">
        <v>680</v>
      </c>
      <c r="Q136" s="69">
        <v>43927</v>
      </c>
      <c r="R136" s="3" t="s">
        <v>697</v>
      </c>
      <c r="S136" s="69">
        <v>43928</v>
      </c>
      <c r="T136" s="3" t="s">
        <v>697</v>
      </c>
      <c r="U136" s="3">
        <v>0</v>
      </c>
      <c r="V136" s="3">
        <v>0</v>
      </c>
    </row>
    <row r="137" spans="1:25" ht="13" x14ac:dyDescent="0.15">
      <c r="A137" s="13">
        <v>42908</v>
      </c>
      <c r="B137" s="3" t="s">
        <v>246</v>
      </c>
      <c r="C137" s="14">
        <v>0.31944444444444442</v>
      </c>
      <c r="D137" s="14">
        <v>0.39583333333333331</v>
      </c>
      <c r="E137" s="3" t="s">
        <v>197</v>
      </c>
      <c r="H137" s="70">
        <v>0.33333333333333331</v>
      </c>
      <c r="I137" s="3">
        <v>-0.43</v>
      </c>
      <c r="J137" s="3" t="s">
        <v>569</v>
      </c>
      <c r="K137" s="3">
        <v>3</v>
      </c>
      <c r="L137" s="3" t="s">
        <v>660</v>
      </c>
      <c r="M137" s="3" t="s">
        <v>664</v>
      </c>
      <c r="O137" s="3" t="s">
        <v>807</v>
      </c>
      <c r="P137" s="3">
        <v>0</v>
      </c>
      <c r="Q137" s="69">
        <v>43927</v>
      </c>
      <c r="R137" s="3" t="s">
        <v>807</v>
      </c>
      <c r="S137" s="69">
        <v>43928</v>
      </c>
      <c r="T137" s="3" t="s">
        <v>569</v>
      </c>
      <c r="U137" s="3">
        <v>0</v>
      </c>
      <c r="V137" s="69">
        <v>43835</v>
      </c>
    </row>
    <row r="138" spans="1:25" ht="13" x14ac:dyDescent="0.15">
      <c r="A138" s="13">
        <v>42910</v>
      </c>
      <c r="B138" s="3" t="s">
        <v>219</v>
      </c>
      <c r="C138" s="14">
        <v>0.34722222222222221</v>
      </c>
      <c r="D138" s="14">
        <v>0.45833333333333331</v>
      </c>
      <c r="E138" s="3" t="s">
        <v>197</v>
      </c>
      <c r="H138" s="70">
        <v>0.39583333333333331</v>
      </c>
      <c r="I138" s="3">
        <v>0</v>
      </c>
      <c r="J138" s="3" t="s">
        <v>569</v>
      </c>
      <c r="K138" s="3">
        <v>5</v>
      </c>
      <c r="L138" s="3" t="s">
        <v>660</v>
      </c>
      <c r="M138" s="3" t="s">
        <v>661</v>
      </c>
      <c r="O138" s="3" t="s">
        <v>569</v>
      </c>
      <c r="P138" s="69">
        <v>43835</v>
      </c>
      <c r="Q138" s="69">
        <v>43833</v>
      </c>
      <c r="R138" s="3" t="s">
        <v>569</v>
      </c>
      <c r="S138" s="69">
        <v>43833</v>
      </c>
      <c r="T138" s="3" t="s">
        <v>569</v>
      </c>
      <c r="U138" s="69">
        <v>43835</v>
      </c>
      <c r="V138" s="69">
        <v>43835</v>
      </c>
    </row>
    <row r="139" spans="1:25" ht="13" x14ac:dyDescent="0.15">
      <c r="A139" s="13">
        <v>42911</v>
      </c>
      <c r="B139" s="3" t="s">
        <v>250</v>
      </c>
      <c r="C139" s="14">
        <v>0.375</v>
      </c>
      <c r="D139" s="14">
        <v>0.45833333333333331</v>
      </c>
      <c r="E139" s="3" t="s">
        <v>197</v>
      </c>
      <c r="H139" s="70">
        <v>0.41666666666666669</v>
      </c>
      <c r="I139" s="3">
        <v>0</v>
      </c>
      <c r="J139" s="3" t="s">
        <v>569</v>
      </c>
      <c r="K139" s="3">
        <v>4</v>
      </c>
      <c r="L139" s="3" t="s">
        <v>660</v>
      </c>
      <c r="M139" s="3" t="s">
        <v>661</v>
      </c>
      <c r="O139" s="3" t="s">
        <v>569</v>
      </c>
      <c r="P139" s="69">
        <v>43992</v>
      </c>
      <c r="Q139" s="69">
        <v>43833</v>
      </c>
      <c r="R139" s="3" t="s">
        <v>569</v>
      </c>
      <c r="S139" s="69">
        <v>43833</v>
      </c>
      <c r="T139" s="3" t="s">
        <v>569</v>
      </c>
      <c r="U139" s="3">
        <v>0</v>
      </c>
      <c r="V139" s="3">
        <v>0</v>
      </c>
    </row>
    <row r="140" spans="1:25" ht="13" x14ac:dyDescent="0.15">
      <c r="A140" s="13">
        <v>43134</v>
      </c>
      <c r="B140" s="3" t="s">
        <v>201</v>
      </c>
      <c r="C140" s="14">
        <v>0.48958333333333331</v>
      </c>
      <c r="D140" s="14">
        <v>0.5625</v>
      </c>
      <c r="E140" s="3" t="s">
        <v>197</v>
      </c>
      <c r="F140" s="3" t="s">
        <v>661</v>
      </c>
      <c r="H140" s="70">
        <v>0.54722222222222228</v>
      </c>
      <c r="I140" s="3">
        <v>-0.1</v>
      </c>
      <c r="J140" s="3" t="s">
        <v>569</v>
      </c>
      <c r="K140" s="3">
        <v>10</v>
      </c>
      <c r="L140" s="3" t="s">
        <v>689</v>
      </c>
      <c r="M140" s="3" t="s">
        <v>664</v>
      </c>
      <c r="O140" s="3" t="s">
        <v>842</v>
      </c>
      <c r="P140" s="69">
        <v>43992</v>
      </c>
      <c r="Q140" s="69">
        <v>43833</v>
      </c>
      <c r="R140" s="3" t="s">
        <v>846</v>
      </c>
      <c r="S140" s="69">
        <v>43833</v>
      </c>
      <c r="T140" s="3" t="s">
        <v>847</v>
      </c>
      <c r="U140" s="69">
        <v>43835</v>
      </c>
      <c r="V140" s="3">
        <v>0</v>
      </c>
      <c r="X140" s="3" t="s">
        <v>848</v>
      </c>
    </row>
    <row r="141" spans="1:25" ht="13" x14ac:dyDescent="0.15">
      <c r="A141" s="13">
        <v>43147</v>
      </c>
      <c r="B141" s="3" t="s">
        <v>201</v>
      </c>
      <c r="C141" s="14">
        <v>0.45833333333333331</v>
      </c>
      <c r="D141" s="14">
        <v>0.52083333333333337</v>
      </c>
      <c r="E141" s="3" t="s">
        <v>389</v>
      </c>
      <c r="F141" s="3" t="s">
        <v>664</v>
      </c>
      <c r="G141" s="3" t="s">
        <v>39</v>
      </c>
      <c r="H141" s="70">
        <v>0.47430555555555554</v>
      </c>
      <c r="I141" s="3">
        <v>-4.0000000000000001E-3</v>
      </c>
      <c r="J141" s="3" t="s">
        <v>569</v>
      </c>
      <c r="K141" s="3">
        <v>13</v>
      </c>
      <c r="L141" s="3" t="s">
        <v>668</v>
      </c>
      <c r="M141" s="3" t="s">
        <v>664</v>
      </c>
      <c r="N141" s="3">
        <v>2.74</v>
      </c>
      <c r="O141" s="3" t="s">
        <v>849</v>
      </c>
      <c r="P141" s="3" t="s">
        <v>680</v>
      </c>
      <c r="Q141" s="69">
        <v>43833</v>
      </c>
      <c r="R141" s="3" t="s">
        <v>569</v>
      </c>
      <c r="S141" s="3" t="s">
        <v>662</v>
      </c>
      <c r="T141" s="3" t="s">
        <v>569</v>
      </c>
      <c r="U141" s="69">
        <v>43835</v>
      </c>
      <c r="V141" s="3">
        <v>0</v>
      </c>
    </row>
    <row r="142" spans="1:25" ht="13" x14ac:dyDescent="0.15">
      <c r="A142" s="13">
        <v>43148</v>
      </c>
      <c r="B142" s="3" t="s">
        <v>244</v>
      </c>
      <c r="C142" s="14">
        <v>0.49861111111111112</v>
      </c>
      <c r="D142" s="14">
        <v>0.56874999999999998</v>
      </c>
      <c r="E142" s="3" t="s">
        <v>197</v>
      </c>
      <c r="H142" s="70">
        <v>0.49236111111111114</v>
      </c>
      <c r="I142" s="3">
        <v>0</v>
      </c>
      <c r="J142" s="3" t="s">
        <v>569</v>
      </c>
      <c r="K142" s="3">
        <v>8</v>
      </c>
      <c r="L142" s="3" t="s">
        <v>668</v>
      </c>
      <c r="M142" s="3" t="s">
        <v>664</v>
      </c>
      <c r="O142" s="3" t="s">
        <v>842</v>
      </c>
      <c r="P142" s="69">
        <v>43835</v>
      </c>
      <c r="Q142" s="69">
        <v>43833</v>
      </c>
      <c r="R142" s="3" t="s">
        <v>850</v>
      </c>
      <c r="S142" s="69">
        <v>43928</v>
      </c>
      <c r="T142" s="3" t="s">
        <v>847</v>
      </c>
      <c r="U142" s="69">
        <v>43835</v>
      </c>
      <c r="V142" s="69">
        <v>43835</v>
      </c>
      <c r="W142" s="3" t="s">
        <v>758</v>
      </c>
      <c r="X142" s="3" t="s">
        <v>851</v>
      </c>
      <c r="Y142" s="3" t="s">
        <v>852</v>
      </c>
    </row>
    <row r="143" spans="1:25" ht="13" x14ac:dyDescent="0.15">
      <c r="A143" s="13">
        <v>43160</v>
      </c>
      <c r="B143" s="3" t="s">
        <v>219</v>
      </c>
      <c r="C143" s="14">
        <v>0.375</v>
      </c>
      <c r="D143" s="14">
        <v>0.4513888888888889</v>
      </c>
      <c r="E143" s="3" t="s">
        <v>333</v>
      </c>
      <c r="H143" s="70">
        <v>0.43958333333333333</v>
      </c>
      <c r="I143" s="3">
        <v>-0.2</v>
      </c>
      <c r="J143" s="3" t="s">
        <v>569</v>
      </c>
      <c r="K143" s="3">
        <v>25</v>
      </c>
      <c r="L143" s="3" t="s">
        <v>660</v>
      </c>
      <c r="M143" s="3" t="s">
        <v>661</v>
      </c>
      <c r="O143" s="3" t="s">
        <v>569</v>
      </c>
      <c r="P143" s="69">
        <v>43835</v>
      </c>
      <c r="Q143" s="69">
        <v>43833</v>
      </c>
      <c r="R143" s="3" t="s">
        <v>853</v>
      </c>
      <c r="S143" s="69">
        <v>43928</v>
      </c>
      <c r="T143" s="3" t="s">
        <v>762</v>
      </c>
      <c r="U143" s="3">
        <v>0</v>
      </c>
      <c r="V143" s="3">
        <v>0</v>
      </c>
      <c r="X143" s="3" t="s">
        <v>854</v>
      </c>
    </row>
    <row r="144" spans="1:25" ht="13" x14ac:dyDescent="0.15">
      <c r="A144" s="13">
        <v>43160</v>
      </c>
      <c r="B144" s="3" t="s">
        <v>233</v>
      </c>
      <c r="C144" s="14">
        <v>0.39583333333333331</v>
      </c>
      <c r="D144" s="14">
        <v>0.43888888888888888</v>
      </c>
      <c r="E144" s="3" t="s">
        <v>286</v>
      </c>
      <c r="H144" s="70">
        <v>0.43194444444444446</v>
      </c>
      <c r="I144" s="3">
        <v>-0.1</v>
      </c>
      <c r="J144" s="3" t="s">
        <v>855</v>
      </c>
      <c r="K144" s="3">
        <v>11</v>
      </c>
      <c r="L144" s="3" t="s">
        <v>689</v>
      </c>
      <c r="M144" s="3" t="s">
        <v>664</v>
      </c>
      <c r="O144" s="3" t="s">
        <v>686</v>
      </c>
      <c r="P144" s="3">
        <v>0</v>
      </c>
      <c r="Q144" s="69">
        <v>43833</v>
      </c>
      <c r="R144" s="3" t="s">
        <v>686</v>
      </c>
      <c r="S144" s="3" t="s">
        <v>669</v>
      </c>
      <c r="T144" s="3" t="s">
        <v>686</v>
      </c>
      <c r="U144" s="3">
        <v>0</v>
      </c>
      <c r="V144" s="3">
        <v>0</v>
      </c>
    </row>
    <row r="145" spans="1:25" ht="13" x14ac:dyDescent="0.15">
      <c r="A145" s="13">
        <v>43163</v>
      </c>
      <c r="B145" s="3" t="s">
        <v>293</v>
      </c>
      <c r="C145" s="14">
        <v>0.42708333333333331</v>
      </c>
      <c r="D145" s="14">
        <v>0.53125</v>
      </c>
      <c r="E145" s="3" t="s">
        <v>197</v>
      </c>
      <c r="H145" s="70">
        <v>0.43958333333333333</v>
      </c>
      <c r="I145" s="3">
        <v>-0.1</v>
      </c>
      <c r="J145" s="3" t="s">
        <v>590</v>
      </c>
      <c r="K145" s="3">
        <v>4</v>
      </c>
      <c r="L145" s="3" t="s">
        <v>660</v>
      </c>
      <c r="M145" s="3" t="s">
        <v>664</v>
      </c>
      <c r="O145" s="3" t="s">
        <v>842</v>
      </c>
      <c r="P145" s="69">
        <v>43992</v>
      </c>
      <c r="Q145" s="69">
        <v>43927</v>
      </c>
      <c r="R145" s="3" t="s">
        <v>850</v>
      </c>
      <c r="S145" s="69">
        <v>43833</v>
      </c>
      <c r="T145" s="3" t="s">
        <v>856</v>
      </c>
      <c r="U145" s="3">
        <v>0</v>
      </c>
      <c r="V145" s="3">
        <v>0</v>
      </c>
      <c r="W145" s="3" t="s">
        <v>842</v>
      </c>
      <c r="X145" s="3" t="s">
        <v>857</v>
      </c>
      <c r="Y145" s="3" t="s">
        <v>858</v>
      </c>
    </row>
    <row r="146" spans="1:25" ht="13" x14ac:dyDescent="0.15">
      <c r="A146" s="13">
        <v>43175</v>
      </c>
      <c r="B146" s="3" t="s">
        <v>230</v>
      </c>
      <c r="C146" s="14">
        <v>0.41666666666666669</v>
      </c>
      <c r="D146" s="14">
        <v>0.5</v>
      </c>
      <c r="E146" s="3" t="s">
        <v>513</v>
      </c>
      <c r="F146" s="3" t="s">
        <v>859</v>
      </c>
      <c r="H146" s="70">
        <v>0.47916666666666669</v>
      </c>
      <c r="I146" s="3">
        <v>0.1</v>
      </c>
      <c r="J146" s="3" t="s">
        <v>860</v>
      </c>
      <c r="K146" s="3">
        <v>16</v>
      </c>
      <c r="L146" s="3" t="s">
        <v>668</v>
      </c>
      <c r="M146" s="3" t="s">
        <v>664</v>
      </c>
      <c r="O146" s="3" t="s">
        <v>676</v>
      </c>
      <c r="P146" s="3" t="s">
        <v>698</v>
      </c>
      <c r="Q146" s="69">
        <v>43833</v>
      </c>
      <c r="R146" s="3" t="s">
        <v>676</v>
      </c>
      <c r="S146" s="3" t="s">
        <v>662</v>
      </c>
      <c r="T146" s="3" t="s">
        <v>762</v>
      </c>
      <c r="U146" s="69">
        <v>43835</v>
      </c>
      <c r="V146" s="69">
        <v>43835</v>
      </c>
      <c r="W146" s="3" t="s">
        <v>861</v>
      </c>
      <c r="X146" s="3" t="s">
        <v>862</v>
      </c>
      <c r="Y146" s="3"/>
    </row>
    <row r="147" spans="1:25" ht="13" x14ac:dyDescent="0.15">
      <c r="A147" s="13">
        <v>43207</v>
      </c>
      <c r="B147" s="3" t="s">
        <v>244</v>
      </c>
      <c r="C147" s="14">
        <v>0.38541666666666669</v>
      </c>
      <c r="D147" s="14">
        <v>0.44444444444444442</v>
      </c>
      <c r="E147" s="3" t="s">
        <v>326</v>
      </c>
      <c r="H147" s="70">
        <v>0.44861111111111113</v>
      </c>
      <c r="I147" s="3">
        <v>-0.15</v>
      </c>
      <c r="J147" s="3" t="s">
        <v>863</v>
      </c>
      <c r="K147" s="3">
        <v>50</v>
      </c>
      <c r="L147" s="3" t="s">
        <v>689</v>
      </c>
      <c r="M147" s="3" t="s">
        <v>664</v>
      </c>
      <c r="O147" s="3" t="s">
        <v>864</v>
      </c>
      <c r="P147" s="69">
        <v>43835</v>
      </c>
      <c r="Q147" s="69">
        <v>43833</v>
      </c>
      <c r="R147" s="3" t="s">
        <v>865</v>
      </c>
      <c r="S147" s="3" t="s">
        <v>662</v>
      </c>
      <c r="T147" s="3">
        <v>0</v>
      </c>
      <c r="U147" s="3">
        <v>0</v>
      </c>
      <c r="Y147" s="3" t="s">
        <v>866</v>
      </c>
    </row>
    <row r="148" spans="1:25" ht="13" x14ac:dyDescent="0.15">
      <c r="A148" s="13">
        <v>43208</v>
      </c>
      <c r="B148" s="3" t="s">
        <v>515</v>
      </c>
      <c r="C148" s="14">
        <v>0.41111111111111109</v>
      </c>
      <c r="D148" s="14">
        <v>0.4513888888888889</v>
      </c>
      <c r="E148" s="3" t="s">
        <v>383</v>
      </c>
      <c r="H148" s="70">
        <v>0.44513888888888886</v>
      </c>
      <c r="I148" s="3">
        <v>2</v>
      </c>
      <c r="J148" s="3" t="s">
        <v>590</v>
      </c>
      <c r="K148" s="3">
        <v>21</v>
      </c>
      <c r="L148" s="3" t="s">
        <v>668</v>
      </c>
      <c r="M148" s="3" t="s">
        <v>661</v>
      </c>
      <c r="N148" s="3">
        <v>0.19</v>
      </c>
      <c r="O148" s="3" t="s">
        <v>867</v>
      </c>
      <c r="P148" s="3" t="s">
        <v>684</v>
      </c>
      <c r="Q148" s="69">
        <v>43927</v>
      </c>
      <c r="R148" s="3" t="s">
        <v>590</v>
      </c>
      <c r="S148" s="3" t="s">
        <v>669</v>
      </c>
      <c r="T148" s="3" t="s">
        <v>868</v>
      </c>
      <c r="U148" s="3">
        <v>0</v>
      </c>
      <c r="V148" s="3">
        <v>0</v>
      </c>
      <c r="X148" s="3"/>
    </row>
    <row r="149" spans="1:25" ht="13" x14ac:dyDescent="0.15">
      <c r="A149" s="13">
        <v>43209</v>
      </c>
      <c r="B149" s="3" t="s">
        <v>250</v>
      </c>
      <c r="C149" s="14"/>
      <c r="D149" s="14"/>
      <c r="E149" s="3"/>
      <c r="H149" s="70"/>
      <c r="I149" s="3"/>
      <c r="J149" s="3"/>
      <c r="K149" s="3"/>
      <c r="L149" s="3"/>
      <c r="M149" s="3"/>
      <c r="N149" s="3"/>
      <c r="O149" s="3"/>
      <c r="P149" s="3"/>
      <c r="Q149" s="69"/>
      <c r="R149" s="3"/>
      <c r="S149" s="69"/>
      <c r="T149" s="3"/>
      <c r="U149" s="69"/>
      <c r="V149" s="69"/>
      <c r="X149" s="3"/>
    </row>
    <row r="150" spans="1:25" ht="13" x14ac:dyDescent="0.15">
      <c r="A150" s="13">
        <v>43211</v>
      </c>
      <c r="B150" s="3" t="s">
        <v>293</v>
      </c>
      <c r="C150" s="14">
        <v>0.47916666666666669</v>
      </c>
      <c r="D150" s="14">
        <v>4.1666666666666664E-2</v>
      </c>
      <c r="E150" s="3" t="s">
        <v>418</v>
      </c>
      <c r="H150" s="70">
        <v>0.53611111111111109</v>
      </c>
      <c r="I150" s="3">
        <v>0.01</v>
      </c>
      <c r="J150" s="3" t="s">
        <v>688</v>
      </c>
      <c r="K150" s="3">
        <v>2</v>
      </c>
      <c r="L150" s="3" t="s">
        <v>689</v>
      </c>
      <c r="M150" s="3" t="s">
        <v>664</v>
      </c>
      <c r="N150" s="3">
        <v>1.57</v>
      </c>
      <c r="O150" s="3" t="s">
        <v>810</v>
      </c>
      <c r="P150" s="3" t="s">
        <v>684</v>
      </c>
      <c r="Q150" s="69">
        <v>43833</v>
      </c>
      <c r="R150" s="3" t="s">
        <v>590</v>
      </c>
      <c r="S150" s="69">
        <v>43833</v>
      </c>
      <c r="T150" s="3" t="s">
        <v>590</v>
      </c>
      <c r="U150" s="69">
        <v>43835</v>
      </c>
      <c r="V150" s="69">
        <v>43835</v>
      </c>
      <c r="X150" s="3" t="s">
        <v>869</v>
      </c>
    </row>
    <row r="151" spans="1:25" ht="13" x14ac:dyDescent="0.15">
      <c r="A151" s="13">
        <v>43212</v>
      </c>
      <c r="B151" s="3" t="s">
        <v>293</v>
      </c>
      <c r="C151" s="14">
        <v>0.5541666666666667</v>
      </c>
      <c r="D151" s="14">
        <v>0.64583333333333337</v>
      </c>
      <c r="E151" s="3" t="s">
        <v>418</v>
      </c>
      <c r="H151" s="70">
        <v>9.375E-2</v>
      </c>
      <c r="I151" s="3">
        <v>0.2</v>
      </c>
      <c r="J151" s="3" t="s">
        <v>688</v>
      </c>
      <c r="K151" s="3">
        <v>7</v>
      </c>
      <c r="L151" s="3" t="s">
        <v>660</v>
      </c>
      <c r="M151" s="3" t="s">
        <v>664</v>
      </c>
      <c r="N151" s="3">
        <v>1.57</v>
      </c>
      <c r="O151" s="3" t="s">
        <v>810</v>
      </c>
      <c r="P151" s="3">
        <v>0</v>
      </c>
      <c r="Q151" s="69">
        <v>43833</v>
      </c>
      <c r="R151" s="3" t="s">
        <v>590</v>
      </c>
      <c r="S151" s="69">
        <v>43928</v>
      </c>
      <c r="T151" s="3" t="s">
        <v>590</v>
      </c>
      <c r="U151" s="3">
        <v>0</v>
      </c>
      <c r="V151" s="3">
        <v>0</v>
      </c>
      <c r="X151" s="3" t="s">
        <v>870</v>
      </c>
    </row>
    <row r="152" spans="1:25" ht="13" x14ac:dyDescent="0.15">
      <c r="A152" s="13">
        <v>43213</v>
      </c>
      <c r="B152" s="3" t="s">
        <v>219</v>
      </c>
      <c r="C152" s="14">
        <v>0.33333333333333331</v>
      </c>
      <c r="D152" s="14">
        <v>0.45833333333333331</v>
      </c>
      <c r="E152" s="3" t="s">
        <v>269</v>
      </c>
      <c r="H152" s="70">
        <v>0.41666666666666669</v>
      </c>
      <c r="I152" s="3">
        <v>-0.1</v>
      </c>
      <c r="J152" s="3" t="s">
        <v>569</v>
      </c>
      <c r="K152" s="3">
        <v>20</v>
      </c>
      <c r="L152" s="3" t="s">
        <v>660</v>
      </c>
      <c r="M152" s="3" t="s">
        <v>664</v>
      </c>
      <c r="O152" s="3" t="s">
        <v>569</v>
      </c>
      <c r="P152" s="69">
        <v>43992</v>
      </c>
      <c r="Q152" s="69">
        <v>43833</v>
      </c>
      <c r="R152" s="3" t="s">
        <v>569</v>
      </c>
      <c r="S152" s="3" t="s">
        <v>662</v>
      </c>
      <c r="T152" s="3" t="s">
        <v>569</v>
      </c>
      <c r="U152" s="3">
        <v>0</v>
      </c>
      <c r="V152" s="3">
        <v>0</v>
      </c>
      <c r="Y152" s="3"/>
    </row>
    <row r="153" spans="1:25" ht="13" x14ac:dyDescent="0.15">
      <c r="A153" s="13">
        <v>43214</v>
      </c>
      <c r="B153" s="3" t="s">
        <v>244</v>
      </c>
      <c r="C153" s="14">
        <v>0.375</v>
      </c>
      <c r="D153" s="14">
        <v>0.44444444444444442</v>
      </c>
      <c r="E153" s="3" t="s">
        <v>326</v>
      </c>
      <c r="H153" s="70">
        <v>0.29166666666666669</v>
      </c>
      <c r="I153" s="3">
        <v>-0.11</v>
      </c>
      <c r="J153" s="3" t="s">
        <v>863</v>
      </c>
      <c r="K153" s="3">
        <v>30</v>
      </c>
      <c r="L153" s="3" t="s">
        <v>668</v>
      </c>
      <c r="M153" s="3" t="s">
        <v>664</v>
      </c>
      <c r="O153" s="3" t="s">
        <v>864</v>
      </c>
      <c r="P153" s="69">
        <v>43835</v>
      </c>
      <c r="Q153" s="69">
        <v>43833</v>
      </c>
      <c r="R153" s="3" t="s">
        <v>865</v>
      </c>
      <c r="S153" s="3" t="s">
        <v>662</v>
      </c>
      <c r="T153" s="3" t="s">
        <v>865</v>
      </c>
      <c r="U153" s="69">
        <v>43835</v>
      </c>
      <c r="V153" s="3">
        <v>0</v>
      </c>
      <c r="Y153" s="3" t="s">
        <v>871</v>
      </c>
    </row>
    <row r="154" spans="1:25" ht="13" x14ac:dyDescent="0.15">
      <c r="A154" s="13">
        <v>43214</v>
      </c>
      <c r="B154" s="3" t="s">
        <v>201</v>
      </c>
      <c r="C154" s="14">
        <v>0.38541666666666669</v>
      </c>
      <c r="D154" s="14">
        <v>0.40972222222222221</v>
      </c>
      <c r="E154" s="3" t="s">
        <v>422</v>
      </c>
      <c r="H154" s="70">
        <v>0.29166666666666669</v>
      </c>
      <c r="I154" s="3">
        <v>-0.15</v>
      </c>
      <c r="J154" s="3" t="s">
        <v>569</v>
      </c>
      <c r="K154" s="3">
        <v>22</v>
      </c>
      <c r="L154" s="3" t="s">
        <v>764</v>
      </c>
      <c r="M154" s="3" t="s">
        <v>664</v>
      </c>
      <c r="N154" s="3">
        <v>0.04</v>
      </c>
      <c r="O154" s="3" t="s">
        <v>872</v>
      </c>
      <c r="P154" s="69">
        <v>43835</v>
      </c>
      <c r="Q154" s="69">
        <v>43833</v>
      </c>
      <c r="R154" s="3" t="s">
        <v>873</v>
      </c>
      <c r="S154" s="3" t="s">
        <v>701</v>
      </c>
      <c r="T154" s="3" t="s">
        <v>873</v>
      </c>
      <c r="U154" s="69">
        <v>43835</v>
      </c>
      <c r="V154" s="3">
        <v>0</v>
      </c>
      <c r="X154" s="3" t="s">
        <v>874</v>
      </c>
    </row>
    <row r="155" spans="1:25" ht="13" x14ac:dyDescent="0.15">
      <c r="A155" s="13">
        <v>43215</v>
      </c>
      <c r="B155" s="3" t="s">
        <v>340</v>
      </c>
      <c r="C155" s="14">
        <v>0.31597222222222221</v>
      </c>
      <c r="D155" s="14">
        <v>0.34375</v>
      </c>
      <c r="E155" s="3" t="s">
        <v>381</v>
      </c>
      <c r="H155" s="70">
        <v>0.30694444444444446</v>
      </c>
      <c r="I155" s="3">
        <v>0.02</v>
      </c>
      <c r="J155" s="3" t="s">
        <v>875</v>
      </c>
      <c r="K155" s="3">
        <v>24</v>
      </c>
      <c r="L155" s="3" t="s">
        <v>668</v>
      </c>
      <c r="M155" s="3" t="s">
        <v>661</v>
      </c>
      <c r="O155" s="3" t="s">
        <v>876</v>
      </c>
      <c r="P155" s="69">
        <v>43992</v>
      </c>
      <c r="Q155" s="69">
        <v>43833</v>
      </c>
      <c r="R155" s="3" t="s">
        <v>678</v>
      </c>
      <c r="S155" s="69">
        <v>43928</v>
      </c>
      <c r="T155" s="3" t="s">
        <v>678</v>
      </c>
      <c r="U155" s="3">
        <v>0</v>
      </c>
      <c r="V155" s="3">
        <v>0</v>
      </c>
    </row>
    <row r="156" spans="1:25" ht="13" x14ac:dyDescent="0.15">
      <c r="A156" s="13">
        <v>43216</v>
      </c>
      <c r="B156" s="3" t="s">
        <v>329</v>
      </c>
      <c r="C156" s="14">
        <v>0.39583333333333331</v>
      </c>
      <c r="D156" s="14">
        <v>0.4236111111111111</v>
      </c>
      <c r="E156" s="3" t="s">
        <v>330</v>
      </c>
      <c r="F156" s="3" t="s">
        <v>664</v>
      </c>
      <c r="G156" s="3" t="s">
        <v>39</v>
      </c>
      <c r="H156" s="70">
        <v>0.33750000000000002</v>
      </c>
      <c r="I156" s="3">
        <v>-0.2</v>
      </c>
      <c r="J156" s="3" t="s">
        <v>877</v>
      </c>
      <c r="K156" s="3">
        <v>10</v>
      </c>
      <c r="L156" s="3" t="s">
        <v>660</v>
      </c>
      <c r="M156" s="3" t="s">
        <v>664</v>
      </c>
      <c r="N156" s="3">
        <v>1</v>
      </c>
      <c r="O156" s="3" t="s">
        <v>569</v>
      </c>
      <c r="P156" s="3">
        <v>0</v>
      </c>
      <c r="Q156" s="69">
        <v>43833</v>
      </c>
      <c r="R156" s="3" t="s">
        <v>569</v>
      </c>
      <c r="S156" s="3" t="s">
        <v>662</v>
      </c>
      <c r="T156" s="3" t="s">
        <v>805</v>
      </c>
      <c r="U156" s="3">
        <v>0</v>
      </c>
      <c r="V156" s="3">
        <v>0</v>
      </c>
      <c r="X156" s="3" t="s">
        <v>878</v>
      </c>
    </row>
    <row r="157" spans="1:25" ht="13" x14ac:dyDescent="0.15">
      <c r="A157" s="13">
        <v>43217</v>
      </c>
      <c r="B157" s="3" t="s">
        <v>377</v>
      </c>
      <c r="C157" s="14">
        <v>0.4284722222222222</v>
      </c>
      <c r="D157" s="14">
        <v>0.47361111111111109</v>
      </c>
      <c r="E157" s="3" t="s">
        <v>704</v>
      </c>
      <c r="H157" s="70">
        <v>0.33888888888888891</v>
      </c>
      <c r="I157" s="3">
        <v>0.02</v>
      </c>
      <c r="J157" s="3" t="s">
        <v>879</v>
      </c>
      <c r="K157" s="3">
        <v>19</v>
      </c>
      <c r="L157" s="3" t="s">
        <v>689</v>
      </c>
      <c r="M157" s="3" t="s">
        <v>664</v>
      </c>
      <c r="N157" s="3">
        <v>0.14000000000000001</v>
      </c>
      <c r="O157" s="3" t="s">
        <v>880</v>
      </c>
      <c r="P157" s="3" t="s">
        <v>684</v>
      </c>
      <c r="Q157" s="69">
        <v>43833</v>
      </c>
      <c r="R157" s="3" t="s">
        <v>880</v>
      </c>
      <c r="S157" s="3" t="s">
        <v>662</v>
      </c>
      <c r="T157" s="3" t="s">
        <v>880</v>
      </c>
      <c r="U157" s="3">
        <v>0</v>
      </c>
      <c r="V157" s="3">
        <v>0</v>
      </c>
      <c r="X157" s="3" t="s">
        <v>881</v>
      </c>
    </row>
    <row r="158" spans="1:25" ht="13" x14ac:dyDescent="0.15">
      <c r="A158" s="13">
        <v>43219</v>
      </c>
      <c r="B158" s="3" t="s">
        <v>374</v>
      </c>
      <c r="C158" s="14">
        <v>0.35625000000000001</v>
      </c>
      <c r="D158" s="14">
        <v>0.44791666666666669</v>
      </c>
      <c r="E158" s="3" t="s">
        <v>375</v>
      </c>
      <c r="G158" s="3" t="s">
        <v>703</v>
      </c>
      <c r="H158" s="70">
        <v>0.39374999999999999</v>
      </c>
      <c r="I158" s="3">
        <v>-3.1</v>
      </c>
      <c r="J158" s="3" t="s">
        <v>795</v>
      </c>
      <c r="K158" s="3">
        <v>8</v>
      </c>
      <c r="L158" s="3" t="s">
        <v>689</v>
      </c>
      <c r="M158" s="3" t="s">
        <v>661</v>
      </c>
      <c r="O158" s="3" t="s">
        <v>882</v>
      </c>
      <c r="P158" s="69">
        <v>43835</v>
      </c>
      <c r="Q158" s="69">
        <v>43833</v>
      </c>
      <c r="R158" s="3" t="s">
        <v>662</v>
      </c>
      <c r="S158" s="69">
        <v>43833</v>
      </c>
      <c r="T158" s="3" t="s">
        <v>882</v>
      </c>
      <c r="U158" s="69">
        <v>43835</v>
      </c>
      <c r="V158" s="3">
        <v>0</v>
      </c>
    </row>
    <row r="159" spans="1:25" ht="13" x14ac:dyDescent="0.15">
      <c r="A159" s="13">
        <v>43221</v>
      </c>
      <c r="B159" s="3" t="s">
        <v>456</v>
      </c>
      <c r="C159" s="14">
        <v>0.38541666666666669</v>
      </c>
      <c r="D159" s="14">
        <v>0.44097222222222221</v>
      </c>
      <c r="E159" s="3" t="s">
        <v>385</v>
      </c>
      <c r="H159" s="70">
        <v>0.375</v>
      </c>
      <c r="I159" s="3">
        <v>-0.1</v>
      </c>
      <c r="J159" s="3" t="s">
        <v>769</v>
      </c>
      <c r="K159" s="3">
        <v>23</v>
      </c>
      <c r="L159" s="3" t="s">
        <v>660</v>
      </c>
      <c r="M159" s="3" t="s">
        <v>661</v>
      </c>
      <c r="O159" s="3" t="s">
        <v>769</v>
      </c>
      <c r="P159" s="3" t="s">
        <v>684</v>
      </c>
      <c r="Q159" s="69">
        <v>43927</v>
      </c>
      <c r="R159" s="3" t="s">
        <v>883</v>
      </c>
      <c r="S159" s="69">
        <v>43928</v>
      </c>
      <c r="T159" s="3" t="s">
        <v>883</v>
      </c>
      <c r="U159" s="69">
        <v>43835</v>
      </c>
      <c r="V159" s="69">
        <v>43835</v>
      </c>
      <c r="W159" s="3" t="s">
        <v>884</v>
      </c>
      <c r="X159" s="3" t="s">
        <v>885</v>
      </c>
    </row>
    <row r="160" spans="1:25" ht="13" x14ac:dyDescent="0.15">
      <c r="A160" s="13">
        <v>43222</v>
      </c>
      <c r="B160" s="3" t="s">
        <v>246</v>
      </c>
      <c r="C160" s="14"/>
      <c r="D160" s="14"/>
      <c r="E160" s="3"/>
      <c r="H160" s="70"/>
      <c r="I160" s="3"/>
      <c r="J160" s="3"/>
      <c r="K160" s="3"/>
      <c r="L160" s="3"/>
      <c r="M160" s="3"/>
      <c r="O160" s="3"/>
      <c r="P160" s="3"/>
      <c r="Q160" s="69"/>
      <c r="R160" s="3"/>
      <c r="S160" s="69"/>
      <c r="T160" s="3"/>
      <c r="U160" s="69"/>
      <c r="V160" s="3"/>
    </row>
    <row r="161" spans="1:25" ht="13" x14ac:dyDescent="0.15">
      <c r="A161" s="13">
        <v>43222</v>
      </c>
      <c r="B161" s="3" t="s">
        <v>216</v>
      </c>
      <c r="C161" s="14">
        <v>0.38541666666666669</v>
      </c>
      <c r="D161" s="14">
        <v>0.4375</v>
      </c>
      <c r="E161" s="3" t="s">
        <v>385</v>
      </c>
      <c r="H161" s="70">
        <v>0.44791666666666669</v>
      </c>
      <c r="I161" s="3">
        <v>-0.1</v>
      </c>
      <c r="J161" s="3" t="s">
        <v>569</v>
      </c>
      <c r="K161" s="3">
        <v>30</v>
      </c>
      <c r="L161" s="3" t="s">
        <v>764</v>
      </c>
      <c r="M161" s="3" t="s">
        <v>661</v>
      </c>
      <c r="O161" s="3" t="s">
        <v>569</v>
      </c>
      <c r="P161" s="3">
        <v>0</v>
      </c>
      <c r="Q161" s="69">
        <v>43833</v>
      </c>
      <c r="R161" s="3" t="s">
        <v>569</v>
      </c>
      <c r="S161" s="69">
        <v>43928</v>
      </c>
      <c r="T161" s="3" t="s">
        <v>569</v>
      </c>
      <c r="U161" s="69">
        <v>43835</v>
      </c>
      <c r="V161" s="3">
        <v>0</v>
      </c>
    </row>
    <row r="162" spans="1:25" ht="13" x14ac:dyDescent="0.15">
      <c r="A162" s="13">
        <v>43230</v>
      </c>
      <c r="B162" s="3" t="s">
        <v>201</v>
      </c>
      <c r="C162" s="14">
        <v>0.3611111111111111</v>
      </c>
      <c r="D162" s="14">
        <v>0.40277777777777779</v>
      </c>
      <c r="E162" s="3" t="s">
        <v>299</v>
      </c>
      <c r="H162" s="70">
        <v>0.29444444444444445</v>
      </c>
      <c r="I162" s="3">
        <v>-0.08</v>
      </c>
      <c r="J162" s="3" t="s">
        <v>886</v>
      </c>
      <c r="K162" s="3">
        <v>16</v>
      </c>
      <c r="L162" s="3" t="s">
        <v>689</v>
      </c>
      <c r="M162" s="3" t="s">
        <v>661</v>
      </c>
      <c r="O162" s="3" t="s">
        <v>739</v>
      </c>
      <c r="P162" s="69">
        <v>43835</v>
      </c>
      <c r="Q162" s="69">
        <v>43833</v>
      </c>
      <c r="R162" s="3" t="s">
        <v>859</v>
      </c>
      <c r="S162" s="3" t="s">
        <v>662</v>
      </c>
      <c r="T162" s="3" t="s">
        <v>859</v>
      </c>
      <c r="U162" s="3">
        <v>0</v>
      </c>
      <c r="V162" s="3">
        <v>0</v>
      </c>
      <c r="X162" s="3" t="s">
        <v>887</v>
      </c>
    </row>
    <row r="163" spans="1:25" ht="13" x14ac:dyDescent="0.15">
      <c r="A163" s="13">
        <v>43231</v>
      </c>
      <c r="B163" s="3" t="s">
        <v>201</v>
      </c>
      <c r="C163" s="14">
        <v>0.375</v>
      </c>
      <c r="D163" s="14">
        <v>0.40972222222222221</v>
      </c>
      <c r="E163" s="3" t="s">
        <v>299</v>
      </c>
      <c r="H163" s="70">
        <v>0.31319444444444444</v>
      </c>
      <c r="I163" s="3">
        <v>-0.05</v>
      </c>
      <c r="J163" s="3" t="s">
        <v>886</v>
      </c>
      <c r="K163" s="3">
        <v>16</v>
      </c>
      <c r="L163" s="3" t="s">
        <v>668</v>
      </c>
      <c r="M163" s="3" t="s">
        <v>661</v>
      </c>
      <c r="O163" s="3" t="s">
        <v>739</v>
      </c>
      <c r="P163" s="69">
        <v>43992</v>
      </c>
      <c r="Q163" s="69">
        <v>43833</v>
      </c>
      <c r="R163" s="3" t="s">
        <v>859</v>
      </c>
      <c r="S163" s="3" t="s">
        <v>662</v>
      </c>
      <c r="T163" s="3" t="s">
        <v>859</v>
      </c>
      <c r="U163" s="69">
        <v>43835</v>
      </c>
      <c r="V163" s="3">
        <v>0</v>
      </c>
      <c r="X163" s="3" t="s">
        <v>888</v>
      </c>
    </row>
    <row r="164" spans="1:25" ht="13" x14ac:dyDescent="0.15">
      <c r="A164" s="13">
        <v>43232</v>
      </c>
      <c r="B164" s="3" t="s">
        <v>374</v>
      </c>
      <c r="C164" s="14">
        <v>0.37152777777777779</v>
      </c>
      <c r="D164" s="14">
        <v>0.42083333333333334</v>
      </c>
      <c r="E164" s="3" t="s">
        <v>391</v>
      </c>
      <c r="H164" s="70">
        <v>0.33263888888888887</v>
      </c>
      <c r="I164" s="3">
        <v>0</v>
      </c>
      <c r="J164" s="3" t="s">
        <v>889</v>
      </c>
      <c r="K164" s="3">
        <v>5</v>
      </c>
      <c r="L164" s="3" t="s">
        <v>660</v>
      </c>
      <c r="M164" s="3" t="s">
        <v>661</v>
      </c>
      <c r="O164" s="3" t="s">
        <v>890</v>
      </c>
      <c r="P164" s="3">
        <v>0</v>
      </c>
      <c r="Q164" s="69">
        <v>43833</v>
      </c>
      <c r="R164" s="69">
        <v>43833</v>
      </c>
      <c r="S164" s="3" t="s">
        <v>662</v>
      </c>
      <c r="T164" s="3" t="s">
        <v>890</v>
      </c>
      <c r="U164" s="3">
        <v>0</v>
      </c>
      <c r="V164" s="3">
        <v>0</v>
      </c>
      <c r="W164" s="3" t="s">
        <v>891</v>
      </c>
      <c r="X164" s="3" t="s">
        <v>891</v>
      </c>
      <c r="Y164" s="3" t="s">
        <v>891</v>
      </c>
    </row>
    <row r="165" spans="1:25" ht="13" x14ac:dyDescent="0.15">
      <c r="A165" s="13">
        <v>43234</v>
      </c>
      <c r="B165" s="3" t="s">
        <v>216</v>
      </c>
      <c r="C165" s="14">
        <v>0.38263888888888886</v>
      </c>
      <c r="D165" s="14">
        <v>0.41944444444444445</v>
      </c>
      <c r="E165" s="3" t="s">
        <v>272</v>
      </c>
      <c r="H165" s="70">
        <v>0.37083333333333335</v>
      </c>
      <c r="I165" s="3">
        <v>-36</v>
      </c>
      <c r="J165" s="3" t="s">
        <v>569</v>
      </c>
      <c r="K165" s="3">
        <v>20</v>
      </c>
      <c r="L165" s="3" t="s">
        <v>660</v>
      </c>
      <c r="M165" s="3" t="s">
        <v>661</v>
      </c>
      <c r="O165" s="3" t="s">
        <v>569</v>
      </c>
      <c r="P165" s="69">
        <v>43835</v>
      </c>
      <c r="Q165" s="69">
        <v>43833</v>
      </c>
      <c r="R165" s="3" t="s">
        <v>569</v>
      </c>
      <c r="S165" s="3" t="s">
        <v>701</v>
      </c>
      <c r="T165" s="3" t="s">
        <v>569</v>
      </c>
      <c r="U165" s="3">
        <v>0</v>
      </c>
      <c r="V165" s="69">
        <v>43835</v>
      </c>
      <c r="W165" s="3" t="s">
        <v>892</v>
      </c>
      <c r="X165" s="3" t="s">
        <v>893</v>
      </c>
    </row>
    <row r="166" spans="1:25" ht="13" x14ac:dyDescent="0.15">
      <c r="A166" s="13">
        <v>43235</v>
      </c>
      <c r="B166" s="3" t="s">
        <v>216</v>
      </c>
      <c r="C166" s="14">
        <v>0.38263888888888886</v>
      </c>
      <c r="D166" s="14">
        <v>0.40833333333333333</v>
      </c>
      <c r="E166" s="3" t="s">
        <v>272</v>
      </c>
      <c r="H166" s="70">
        <v>0.39374999999999999</v>
      </c>
      <c r="I166" s="3">
        <v>-0.39</v>
      </c>
      <c r="J166" s="3" t="s">
        <v>569</v>
      </c>
      <c r="K166" s="3">
        <v>20</v>
      </c>
      <c r="L166" s="3" t="s">
        <v>668</v>
      </c>
      <c r="M166" s="3" t="s">
        <v>661</v>
      </c>
      <c r="N166" s="3"/>
      <c r="O166" s="3" t="s">
        <v>569</v>
      </c>
      <c r="P166" s="69">
        <v>43835</v>
      </c>
      <c r="Q166" s="69">
        <v>43833</v>
      </c>
      <c r="R166" s="3" t="s">
        <v>569</v>
      </c>
      <c r="S166" s="69">
        <v>44055</v>
      </c>
      <c r="T166" s="3" t="s">
        <v>569</v>
      </c>
      <c r="U166" s="3">
        <v>0</v>
      </c>
      <c r="V166" s="3">
        <v>0</v>
      </c>
      <c r="X166" s="3" t="s">
        <v>894</v>
      </c>
    </row>
    <row r="167" spans="1:25" ht="13" x14ac:dyDescent="0.15">
      <c r="A167" s="13">
        <v>43235</v>
      </c>
      <c r="B167" s="75" t="s">
        <v>828</v>
      </c>
      <c r="C167" s="14"/>
      <c r="D167" s="14"/>
      <c r="E167" s="3"/>
      <c r="H167" s="70"/>
      <c r="I167" s="3"/>
      <c r="J167" s="3"/>
      <c r="K167" s="3"/>
      <c r="L167" s="3"/>
      <c r="M167" s="3"/>
      <c r="N167" s="3"/>
      <c r="O167" s="3"/>
      <c r="P167" s="3"/>
      <c r="Q167" s="69"/>
      <c r="R167" s="3"/>
      <c r="S167" s="3"/>
      <c r="T167" s="3"/>
      <c r="U167" s="3"/>
      <c r="V167" s="3"/>
      <c r="X167" s="3"/>
    </row>
    <row r="168" spans="1:25" ht="13" x14ac:dyDescent="0.15">
      <c r="A168" s="13">
        <v>43236</v>
      </c>
      <c r="B168" s="3" t="s">
        <v>259</v>
      </c>
      <c r="C168" s="14">
        <v>0.375</v>
      </c>
      <c r="D168" s="14">
        <v>0.41666666666666669</v>
      </c>
      <c r="E168" s="3" t="s">
        <v>358</v>
      </c>
      <c r="H168" s="70">
        <v>0.44930555555555557</v>
      </c>
      <c r="I168" s="3">
        <v>-0.43</v>
      </c>
      <c r="J168" s="3" t="s">
        <v>688</v>
      </c>
      <c r="K168" s="3">
        <v>28</v>
      </c>
      <c r="L168" s="3" t="s">
        <v>660</v>
      </c>
      <c r="M168" s="3" t="s">
        <v>664</v>
      </c>
      <c r="N168" s="3">
        <v>0.3</v>
      </c>
      <c r="O168" s="3" t="s">
        <v>590</v>
      </c>
      <c r="P168" s="3">
        <v>0</v>
      </c>
      <c r="Q168" s="69">
        <v>43833</v>
      </c>
      <c r="R168" s="3" t="s">
        <v>590</v>
      </c>
      <c r="S168" s="3" t="s">
        <v>662</v>
      </c>
      <c r="T168" s="3" t="s">
        <v>590</v>
      </c>
      <c r="U168" s="3">
        <v>0</v>
      </c>
      <c r="V168" s="3">
        <v>0</v>
      </c>
      <c r="X168" s="3" t="s">
        <v>895</v>
      </c>
    </row>
    <row r="169" spans="1:25" ht="13" x14ac:dyDescent="0.15">
      <c r="A169" s="13">
        <v>43236</v>
      </c>
      <c r="B169" s="3" t="s">
        <v>266</v>
      </c>
      <c r="C169" s="14">
        <v>0.40625</v>
      </c>
      <c r="D169" s="14">
        <v>0.45555555555555555</v>
      </c>
      <c r="E169" s="3" t="s">
        <v>347</v>
      </c>
      <c r="H169" s="70">
        <v>0.40625</v>
      </c>
      <c r="I169" s="3">
        <v>-0.34</v>
      </c>
      <c r="J169" s="3" t="s">
        <v>896</v>
      </c>
      <c r="K169" s="3">
        <v>38</v>
      </c>
      <c r="L169" s="3" t="s">
        <v>660</v>
      </c>
      <c r="M169" s="3" t="s">
        <v>661</v>
      </c>
      <c r="O169" s="3" t="s">
        <v>571</v>
      </c>
      <c r="P169" s="3">
        <v>0</v>
      </c>
      <c r="Q169" s="69">
        <v>43833</v>
      </c>
      <c r="R169" s="3" t="s">
        <v>752</v>
      </c>
      <c r="S169" s="3" t="s">
        <v>662</v>
      </c>
      <c r="T169" s="3" t="s">
        <v>897</v>
      </c>
      <c r="U169" s="3">
        <v>0</v>
      </c>
      <c r="V169" s="3">
        <v>0</v>
      </c>
      <c r="X169" s="3" t="s">
        <v>898</v>
      </c>
    </row>
    <row r="170" spans="1:25" ht="13" x14ac:dyDescent="0.15">
      <c r="A170" s="13">
        <v>43237</v>
      </c>
      <c r="B170" s="3" t="s">
        <v>216</v>
      </c>
      <c r="C170" s="14">
        <v>0.375</v>
      </c>
      <c r="D170" s="14">
        <v>0.45833333333333331</v>
      </c>
      <c r="E170" s="3" t="s">
        <v>413</v>
      </c>
      <c r="H170" s="70">
        <v>0.44513888888888886</v>
      </c>
      <c r="I170" s="3">
        <v>-0.3</v>
      </c>
      <c r="J170" s="3" t="s">
        <v>569</v>
      </c>
      <c r="K170" s="3">
        <v>26</v>
      </c>
      <c r="L170" s="3" t="s">
        <v>660</v>
      </c>
      <c r="M170" s="3" t="s">
        <v>661</v>
      </c>
      <c r="O170" s="3" t="s">
        <v>569</v>
      </c>
      <c r="P170" s="69">
        <v>43835</v>
      </c>
      <c r="Q170" s="69">
        <v>43833</v>
      </c>
      <c r="R170" s="3" t="s">
        <v>569</v>
      </c>
      <c r="S170" s="3" t="s">
        <v>662</v>
      </c>
      <c r="T170" s="3" t="s">
        <v>569</v>
      </c>
      <c r="U170" s="3">
        <v>0</v>
      </c>
      <c r="V170" s="3">
        <v>0</v>
      </c>
      <c r="X170" s="3" t="s">
        <v>899</v>
      </c>
    </row>
    <row r="171" spans="1:25" ht="13" x14ac:dyDescent="0.15">
      <c r="A171" s="13">
        <v>43238</v>
      </c>
      <c r="B171" s="3" t="s">
        <v>201</v>
      </c>
      <c r="C171" s="14">
        <v>0.42708333333333331</v>
      </c>
      <c r="D171" s="14">
        <v>0.46736111111111112</v>
      </c>
      <c r="E171" s="3" t="s">
        <v>325</v>
      </c>
      <c r="H171" s="70">
        <v>0.47569444444444442</v>
      </c>
      <c r="I171" s="3">
        <v>-0.2</v>
      </c>
      <c r="J171" s="3" t="s">
        <v>726</v>
      </c>
      <c r="K171" s="3">
        <v>7</v>
      </c>
      <c r="L171" s="3" t="s">
        <v>660</v>
      </c>
      <c r="M171" s="3" t="s">
        <v>664</v>
      </c>
      <c r="N171" s="3">
        <v>0.46</v>
      </c>
      <c r="O171" s="3" t="s">
        <v>900</v>
      </c>
      <c r="P171" s="69">
        <v>44150</v>
      </c>
      <c r="Q171" s="69">
        <v>43833</v>
      </c>
      <c r="R171" s="3" t="s">
        <v>901</v>
      </c>
      <c r="S171" s="3" t="s">
        <v>669</v>
      </c>
      <c r="T171" s="3" t="s">
        <v>901</v>
      </c>
      <c r="U171" s="69">
        <v>43835</v>
      </c>
      <c r="V171" s="69">
        <v>43835</v>
      </c>
      <c r="W171" s="3" t="s">
        <v>902</v>
      </c>
    </row>
    <row r="172" spans="1:25" ht="13" x14ac:dyDescent="0.15">
      <c r="A172" s="13">
        <v>43238</v>
      </c>
      <c r="B172" s="3" t="s">
        <v>259</v>
      </c>
      <c r="C172" s="14">
        <v>0.3888888888888889</v>
      </c>
      <c r="D172" s="14">
        <v>0.41666666666666669</v>
      </c>
      <c r="E172" s="3" t="s">
        <v>358</v>
      </c>
      <c r="F172" s="3" t="s">
        <v>664</v>
      </c>
      <c r="G172" s="3" t="s">
        <v>703</v>
      </c>
      <c r="H172" s="70">
        <v>0.3888888888888889</v>
      </c>
      <c r="I172" s="3">
        <v>10.47</v>
      </c>
      <c r="J172" s="3" t="s">
        <v>903</v>
      </c>
      <c r="K172" s="3">
        <v>28</v>
      </c>
      <c r="L172" s="3" t="s">
        <v>660</v>
      </c>
      <c r="M172" s="3" t="s">
        <v>664</v>
      </c>
      <c r="N172" s="3">
        <v>0.32</v>
      </c>
      <c r="O172" s="3">
        <v>0.32</v>
      </c>
      <c r="P172" s="3">
        <v>0</v>
      </c>
      <c r="Q172" s="69">
        <v>43833</v>
      </c>
      <c r="R172" s="3" t="s">
        <v>845</v>
      </c>
      <c r="S172" s="3" t="s">
        <v>662</v>
      </c>
      <c r="T172" s="3" t="s">
        <v>904</v>
      </c>
      <c r="U172" s="3">
        <v>0</v>
      </c>
      <c r="V172" s="3">
        <v>0</v>
      </c>
      <c r="W172" s="3">
        <v>0</v>
      </c>
    </row>
    <row r="173" spans="1:25" ht="13" x14ac:dyDescent="0.15">
      <c r="A173" s="13">
        <v>43238</v>
      </c>
      <c r="B173" s="3" t="s">
        <v>246</v>
      </c>
      <c r="C173" s="14"/>
      <c r="D173" s="14"/>
      <c r="E173" s="3"/>
      <c r="F173" s="3"/>
      <c r="G173" s="3"/>
      <c r="H173" s="70"/>
      <c r="I173" s="3"/>
      <c r="J173" s="3"/>
      <c r="K173" s="3"/>
      <c r="L173" s="3"/>
      <c r="M173" s="3"/>
      <c r="O173" s="3"/>
      <c r="P173" s="3"/>
      <c r="Q173" s="69"/>
      <c r="R173" s="3"/>
      <c r="S173" s="3"/>
      <c r="T173" s="3"/>
      <c r="U173" s="69"/>
      <c r="V173" s="3"/>
      <c r="Y173" s="3"/>
    </row>
    <row r="174" spans="1:25" ht="13" x14ac:dyDescent="0.15">
      <c r="A174" s="13">
        <v>43239</v>
      </c>
      <c r="B174" s="3" t="s">
        <v>369</v>
      </c>
      <c r="C174" s="14">
        <v>0.45694444444444443</v>
      </c>
      <c r="D174" s="14">
        <v>0.47569444444444442</v>
      </c>
      <c r="E174" s="3" t="s">
        <v>321</v>
      </c>
      <c r="F174" s="3" t="s">
        <v>664</v>
      </c>
      <c r="G174" s="3" t="s">
        <v>703</v>
      </c>
      <c r="H174" s="70">
        <v>0.49583333333333335</v>
      </c>
      <c r="I174" s="3">
        <v>-0.05</v>
      </c>
      <c r="J174" s="74" t="s">
        <v>905</v>
      </c>
      <c r="K174" s="3">
        <v>5</v>
      </c>
      <c r="L174" s="3" t="s">
        <v>668</v>
      </c>
      <c r="M174" s="3" t="s">
        <v>661</v>
      </c>
      <c r="O174" s="74" t="s">
        <v>781</v>
      </c>
      <c r="P174" s="3" t="s">
        <v>684</v>
      </c>
      <c r="Q174" s="69">
        <v>43833</v>
      </c>
      <c r="R174" s="74" t="s">
        <v>906</v>
      </c>
      <c r="S174" s="3" t="s">
        <v>669</v>
      </c>
      <c r="T174" s="74" t="s">
        <v>907</v>
      </c>
      <c r="U174" s="69">
        <v>43835</v>
      </c>
      <c r="V174" s="3">
        <v>0</v>
      </c>
      <c r="Y174" s="3" t="s">
        <v>908</v>
      </c>
    </row>
    <row r="175" spans="1:25" ht="13" x14ac:dyDescent="0.15">
      <c r="A175" s="13">
        <v>43241</v>
      </c>
      <c r="B175" s="3" t="s">
        <v>230</v>
      </c>
      <c r="C175" s="14">
        <v>0.46875</v>
      </c>
      <c r="D175" s="14">
        <v>0.54166666666666663</v>
      </c>
      <c r="E175" s="3" t="s">
        <v>397</v>
      </c>
      <c r="F175" s="3" t="s">
        <v>664</v>
      </c>
      <c r="G175" s="3" t="s">
        <v>39</v>
      </c>
      <c r="H175" s="70">
        <v>8.5416666666666669E-2</v>
      </c>
      <c r="I175" s="3">
        <v>0.18</v>
      </c>
      <c r="J175" s="3" t="s">
        <v>825</v>
      </c>
      <c r="K175" s="3">
        <v>13</v>
      </c>
      <c r="L175" s="3" t="s">
        <v>668</v>
      </c>
      <c r="M175" s="3" t="s">
        <v>661</v>
      </c>
      <c r="O175" s="3" t="s">
        <v>825</v>
      </c>
      <c r="P175" s="69">
        <v>43835</v>
      </c>
      <c r="Q175" s="69">
        <v>43833</v>
      </c>
      <c r="R175" s="3" t="s">
        <v>909</v>
      </c>
      <c r="S175" s="3" t="s">
        <v>662</v>
      </c>
      <c r="T175" s="3" t="s">
        <v>825</v>
      </c>
      <c r="U175" s="69">
        <v>43835</v>
      </c>
      <c r="V175" s="3">
        <v>0</v>
      </c>
      <c r="W175" s="3" t="s">
        <v>891</v>
      </c>
      <c r="X175" s="3" t="s">
        <v>910</v>
      </c>
      <c r="Y175" s="3" t="s">
        <v>911</v>
      </c>
    </row>
    <row r="176" spans="1:25" ht="13" x14ac:dyDescent="0.15">
      <c r="A176" s="13">
        <v>43248</v>
      </c>
      <c r="B176" s="3" t="s">
        <v>246</v>
      </c>
      <c r="C176" s="14"/>
      <c r="D176" s="14"/>
      <c r="E176" s="3"/>
      <c r="H176" s="70"/>
      <c r="I176" s="3"/>
      <c r="J176" s="3"/>
      <c r="K176" s="3"/>
      <c r="L176" s="3"/>
      <c r="M176" s="3"/>
      <c r="N176" s="3"/>
      <c r="O176" s="3"/>
      <c r="P176" s="69"/>
      <c r="Q176" s="69"/>
      <c r="R176" s="3"/>
      <c r="S176" s="3"/>
      <c r="T176" s="3"/>
      <c r="U176" s="3"/>
      <c r="V176" s="3"/>
      <c r="X176" s="3"/>
    </row>
    <row r="177" spans="1:25" ht="13" x14ac:dyDescent="0.15">
      <c r="A177" s="13">
        <v>43250</v>
      </c>
      <c r="B177" s="3" t="s">
        <v>400</v>
      </c>
      <c r="C177" s="14"/>
      <c r="D177" s="14"/>
      <c r="E177" s="3"/>
      <c r="H177" s="70"/>
      <c r="I177" s="3"/>
      <c r="J177" s="3"/>
      <c r="K177" s="3"/>
      <c r="L177" s="3"/>
      <c r="M177" s="3"/>
      <c r="N177" s="3"/>
      <c r="O177" s="3"/>
      <c r="P177" s="69"/>
      <c r="Q177" s="69"/>
      <c r="R177" s="3"/>
      <c r="S177" s="3"/>
      <c r="T177" s="3"/>
      <c r="U177" s="3"/>
      <c r="V177" s="3"/>
      <c r="X177" s="3"/>
    </row>
    <row r="178" spans="1:25" ht="13" x14ac:dyDescent="0.15">
      <c r="A178" s="13">
        <v>43251</v>
      </c>
      <c r="B178" s="3" t="s">
        <v>337</v>
      </c>
      <c r="C178" s="14"/>
      <c r="D178" s="14"/>
      <c r="E178" s="3"/>
      <c r="H178" s="70"/>
      <c r="I178" s="3"/>
      <c r="J178" s="3"/>
      <c r="K178" s="3"/>
      <c r="L178" s="3"/>
      <c r="M178" s="3"/>
      <c r="N178" s="3"/>
      <c r="O178" s="3"/>
      <c r="P178" s="69"/>
      <c r="Q178" s="69"/>
      <c r="R178" s="3"/>
      <c r="S178" s="3"/>
      <c r="T178" s="3"/>
      <c r="U178" s="3"/>
      <c r="V178" s="3"/>
      <c r="X178" s="3"/>
    </row>
    <row r="179" spans="1:25" ht="13" x14ac:dyDescent="0.15">
      <c r="A179" s="13">
        <v>43311</v>
      </c>
      <c r="B179" s="3" t="s">
        <v>246</v>
      </c>
      <c r="C179" s="14">
        <v>0.39027777777777778</v>
      </c>
      <c r="D179" s="14">
        <v>0.44791666666666669</v>
      </c>
      <c r="E179" s="3" t="s">
        <v>353</v>
      </c>
      <c r="H179" s="70">
        <v>0.33333333333333331</v>
      </c>
      <c r="I179" s="3">
        <v>-0.19</v>
      </c>
      <c r="J179" s="3" t="s">
        <v>674</v>
      </c>
      <c r="K179" s="3">
        <v>26</v>
      </c>
      <c r="L179" s="3" t="s">
        <v>660</v>
      </c>
      <c r="M179" s="3" t="s">
        <v>664</v>
      </c>
      <c r="N179" s="3">
        <v>0.47</v>
      </c>
      <c r="O179" s="3" t="s">
        <v>769</v>
      </c>
      <c r="P179" s="69">
        <v>43835</v>
      </c>
      <c r="Q179" s="69">
        <v>43927</v>
      </c>
      <c r="R179" s="3" t="s">
        <v>914</v>
      </c>
      <c r="S179" s="3" t="s">
        <v>701</v>
      </c>
      <c r="T179" s="3" t="s">
        <v>842</v>
      </c>
      <c r="U179" s="3">
        <v>0</v>
      </c>
      <c r="V179" s="3">
        <v>0</v>
      </c>
      <c r="X179" s="3" t="s">
        <v>915</v>
      </c>
    </row>
    <row r="180" spans="1:25" ht="13" x14ac:dyDescent="0.15">
      <c r="A180" s="13">
        <v>43416</v>
      </c>
      <c r="B180" s="3" t="s">
        <v>216</v>
      </c>
      <c r="C180" s="14">
        <v>0.64236111111111116</v>
      </c>
      <c r="D180" s="14">
        <v>0.67013888888888884</v>
      </c>
      <c r="E180" s="3" t="s">
        <v>385</v>
      </c>
      <c r="H180" s="70">
        <v>0.6381944444444444</v>
      </c>
      <c r="I180" s="3">
        <v>0.35</v>
      </c>
      <c r="J180" s="3" t="s">
        <v>873</v>
      </c>
      <c r="K180" s="3">
        <v>19</v>
      </c>
      <c r="L180" s="3" t="s">
        <v>668</v>
      </c>
      <c r="M180" s="3" t="s">
        <v>661</v>
      </c>
      <c r="O180" s="3" t="s">
        <v>569</v>
      </c>
      <c r="P180" s="3" t="s">
        <v>698</v>
      </c>
      <c r="Q180" s="69">
        <v>43833</v>
      </c>
      <c r="R180" s="3" t="s">
        <v>569</v>
      </c>
      <c r="S180" s="3" t="s">
        <v>669</v>
      </c>
      <c r="T180" s="3" t="s">
        <v>569</v>
      </c>
      <c r="U180" s="69">
        <v>43992</v>
      </c>
      <c r="V180" s="69">
        <v>43835</v>
      </c>
      <c r="W180" s="3" t="s">
        <v>758</v>
      </c>
    </row>
    <row r="181" spans="1:25" ht="13" x14ac:dyDescent="0.15">
      <c r="A181" s="13">
        <v>43485</v>
      </c>
      <c r="B181" s="3" t="s">
        <v>201</v>
      </c>
      <c r="C181" s="14">
        <v>0.40625</v>
      </c>
      <c r="D181" s="14">
        <v>0.44791666666666669</v>
      </c>
      <c r="E181" s="3" t="s">
        <v>418</v>
      </c>
      <c r="H181" s="70">
        <v>0.45624999999999999</v>
      </c>
      <c r="I181" s="3">
        <v>-0.03</v>
      </c>
      <c r="J181" s="3" t="s">
        <v>569</v>
      </c>
      <c r="K181" s="3">
        <v>12</v>
      </c>
      <c r="L181" s="3" t="s">
        <v>660</v>
      </c>
      <c r="M181" s="3" t="s">
        <v>664</v>
      </c>
      <c r="O181" s="3" t="s">
        <v>569</v>
      </c>
      <c r="P181" s="69">
        <v>43835</v>
      </c>
      <c r="Q181" s="69">
        <v>43833</v>
      </c>
      <c r="R181" s="3" t="s">
        <v>569</v>
      </c>
      <c r="S181" s="69">
        <v>43928</v>
      </c>
      <c r="T181" s="3" t="s">
        <v>569</v>
      </c>
      <c r="U181" s="3">
        <v>0</v>
      </c>
      <c r="V181" s="3">
        <v>0</v>
      </c>
    </row>
    <row r="182" spans="1:25" ht="13" x14ac:dyDescent="0.15">
      <c r="A182" s="13">
        <v>43505</v>
      </c>
      <c r="B182" s="3" t="s">
        <v>266</v>
      </c>
      <c r="C182" s="14">
        <v>1.1574074074074073E-5</v>
      </c>
      <c r="D182" s="14">
        <v>2.3148148148148147E-5</v>
      </c>
      <c r="E182" s="3" t="s">
        <v>536</v>
      </c>
      <c r="H182" s="70">
        <v>4.3055555555555555E-2</v>
      </c>
      <c r="I182" s="3">
        <v>0.1</v>
      </c>
      <c r="J182" s="3" t="s">
        <v>571</v>
      </c>
      <c r="K182" s="3">
        <v>6</v>
      </c>
      <c r="L182" s="3" t="s">
        <v>668</v>
      </c>
      <c r="M182" s="3" t="s">
        <v>664</v>
      </c>
      <c r="O182" s="3" t="s">
        <v>916</v>
      </c>
      <c r="P182" s="3">
        <v>0</v>
      </c>
      <c r="Q182" s="69">
        <v>43833</v>
      </c>
      <c r="R182" s="3" t="s">
        <v>266</v>
      </c>
      <c r="S182" s="3" t="s">
        <v>672</v>
      </c>
      <c r="T182" s="3" t="s">
        <v>266</v>
      </c>
      <c r="U182" s="69">
        <v>43835</v>
      </c>
      <c r="V182" s="3">
        <v>0</v>
      </c>
      <c r="X182" s="3" t="s">
        <v>917</v>
      </c>
      <c r="Y182" s="3" t="s">
        <v>918</v>
      </c>
    </row>
    <row r="183" spans="1:25" ht="13" x14ac:dyDescent="0.15">
      <c r="A183" s="13">
        <v>43515</v>
      </c>
      <c r="B183" s="3" t="s">
        <v>244</v>
      </c>
      <c r="C183" s="14">
        <v>0.38541666666666669</v>
      </c>
      <c r="D183" s="14">
        <v>0.42708333333333331</v>
      </c>
      <c r="E183" s="3" t="s">
        <v>278</v>
      </c>
      <c r="H183" s="70">
        <v>0.47013888888888888</v>
      </c>
      <c r="I183" s="3">
        <v>-0.19</v>
      </c>
      <c r="J183" s="3" t="s">
        <v>919</v>
      </c>
      <c r="K183" s="3">
        <v>19</v>
      </c>
      <c r="L183" s="3" t="s">
        <v>689</v>
      </c>
      <c r="M183" s="3" t="s">
        <v>664</v>
      </c>
      <c r="O183" s="3" t="s">
        <v>919</v>
      </c>
      <c r="P183" s="69">
        <v>43835</v>
      </c>
      <c r="Q183" s="69">
        <v>43833</v>
      </c>
      <c r="R183" s="3" t="s">
        <v>919</v>
      </c>
      <c r="S183" s="69">
        <v>43833</v>
      </c>
      <c r="T183" s="3" t="s">
        <v>919</v>
      </c>
      <c r="U183" s="3">
        <v>0</v>
      </c>
      <c r="V183" s="3">
        <v>0</v>
      </c>
      <c r="X183" s="3" t="s">
        <v>920</v>
      </c>
    </row>
    <row r="184" spans="1:25" ht="13" x14ac:dyDescent="0.15">
      <c r="A184" s="13">
        <v>43515</v>
      </c>
      <c r="B184" s="3" t="s">
        <v>266</v>
      </c>
      <c r="C184" s="14">
        <v>0.4201388888888889</v>
      </c>
      <c r="D184" s="14">
        <v>0.51041666666666663</v>
      </c>
      <c r="E184" s="3" t="s">
        <v>418</v>
      </c>
      <c r="H184" s="70">
        <v>0.39791666666666664</v>
      </c>
      <c r="I184" s="3">
        <v>-0.3</v>
      </c>
      <c r="J184" s="3" t="s">
        <v>671</v>
      </c>
      <c r="K184" s="3">
        <v>5</v>
      </c>
      <c r="L184" s="3" t="s">
        <v>660</v>
      </c>
      <c r="M184" s="3" t="s">
        <v>661</v>
      </c>
      <c r="O184" s="3" t="s">
        <v>671</v>
      </c>
      <c r="P184" s="69">
        <v>44150</v>
      </c>
      <c r="Q184" s="69">
        <v>43833</v>
      </c>
      <c r="R184" s="3" t="s">
        <v>671</v>
      </c>
      <c r="S184" s="3" t="s">
        <v>662</v>
      </c>
      <c r="T184" s="3" t="s">
        <v>671</v>
      </c>
      <c r="U184" s="3">
        <v>0</v>
      </c>
      <c r="V184" s="3">
        <v>0</v>
      </c>
    </row>
    <row r="185" spans="1:25" ht="13" x14ac:dyDescent="0.15">
      <c r="A185" s="13">
        <v>43516</v>
      </c>
      <c r="B185" s="3" t="s">
        <v>216</v>
      </c>
      <c r="C185" s="14"/>
      <c r="D185" s="14"/>
      <c r="E185" s="3"/>
      <c r="H185" s="70"/>
      <c r="I185" s="3"/>
      <c r="J185" s="3"/>
      <c r="K185" s="3"/>
      <c r="L185" s="3"/>
      <c r="M185" s="3"/>
      <c r="N185" s="3"/>
      <c r="O185" s="3"/>
      <c r="P185" s="69"/>
      <c r="Q185" s="69"/>
      <c r="R185" s="3"/>
      <c r="S185" s="69"/>
      <c r="T185" s="3"/>
      <c r="U185" s="3"/>
      <c r="V185" s="69"/>
      <c r="X185" s="3"/>
    </row>
    <row r="186" spans="1:25" ht="13" x14ac:dyDescent="0.15">
      <c r="A186" s="13">
        <v>43516</v>
      </c>
      <c r="B186" s="3" t="s">
        <v>244</v>
      </c>
      <c r="C186" s="14">
        <v>0.39444444444444443</v>
      </c>
      <c r="D186" s="14">
        <v>0.47916666666666669</v>
      </c>
      <c r="E186" s="3" t="s">
        <v>278</v>
      </c>
      <c r="H186" s="70">
        <v>0.49444444444444446</v>
      </c>
      <c r="I186" s="3">
        <v>-0.21</v>
      </c>
      <c r="J186" s="3" t="s">
        <v>919</v>
      </c>
      <c r="K186" s="3">
        <v>27</v>
      </c>
      <c r="L186" s="3" t="s">
        <v>660</v>
      </c>
      <c r="M186" s="3" t="s">
        <v>664</v>
      </c>
      <c r="N186" s="3">
        <v>3</v>
      </c>
      <c r="O186" s="3" t="s">
        <v>919</v>
      </c>
      <c r="P186" s="69">
        <v>43835</v>
      </c>
      <c r="Q186" s="69">
        <v>43833</v>
      </c>
      <c r="R186" s="3" t="s">
        <v>919</v>
      </c>
      <c r="S186" s="69">
        <v>43833</v>
      </c>
      <c r="T186" s="3" t="s">
        <v>919</v>
      </c>
      <c r="U186" s="3">
        <v>0</v>
      </c>
      <c r="V186" s="69">
        <v>43835</v>
      </c>
      <c r="X186" s="3" t="s">
        <v>921</v>
      </c>
    </row>
    <row r="187" spans="1:25" ht="13" x14ac:dyDescent="0.15">
      <c r="A187" s="13">
        <v>43517</v>
      </c>
      <c r="B187" s="3" t="s">
        <v>440</v>
      </c>
      <c r="C187" s="14">
        <v>0.45833333333333331</v>
      </c>
      <c r="D187" s="14">
        <v>0.49027777777777776</v>
      </c>
      <c r="E187" s="3" t="s">
        <v>418</v>
      </c>
      <c r="H187" s="70">
        <v>0.50694444444444442</v>
      </c>
      <c r="I187" s="3">
        <v>-0.2</v>
      </c>
      <c r="J187" s="3" t="s">
        <v>569</v>
      </c>
      <c r="K187" s="3">
        <v>60</v>
      </c>
      <c r="L187" s="3" t="s">
        <v>660</v>
      </c>
      <c r="M187" s="3" t="s">
        <v>664</v>
      </c>
      <c r="N187" s="3">
        <v>0.6</v>
      </c>
      <c r="O187" s="3" t="s">
        <v>872</v>
      </c>
      <c r="P187" s="3">
        <v>0</v>
      </c>
      <c r="Q187" s="69">
        <v>43833</v>
      </c>
      <c r="R187" s="3" t="s">
        <v>922</v>
      </c>
      <c r="S187" s="69">
        <v>43833</v>
      </c>
      <c r="T187" s="3" t="s">
        <v>872</v>
      </c>
      <c r="U187" s="3">
        <v>0</v>
      </c>
      <c r="V187" s="3">
        <v>0</v>
      </c>
      <c r="Y187" s="3" t="s">
        <v>923</v>
      </c>
    </row>
    <row r="188" spans="1:25" ht="13" x14ac:dyDescent="0.15">
      <c r="A188" s="13">
        <v>43519</v>
      </c>
      <c r="B188" s="3" t="s">
        <v>266</v>
      </c>
      <c r="C188" s="14">
        <v>0.36875000000000002</v>
      </c>
      <c r="D188" s="14">
        <v>0.40625</v>
      </c>
      <c r="E188" s="3" t="s">
        <v>297</v>
      </c>
      <c r="H188" s="70">
        <v>0.375</v>
      </c>
      <c r="I188" s="3">
        <v>0.1</v>
      </c>
      <c r="J188" s="3" t="s">
        <v>896</v>
      </c>
      <c r="K188" s="3">
        <v>24</v>
      </c>
      <c r="L188" s="3" t="s">
        <v>660</v>
      </c>
      <c r="M188" s="3" t="s">
        <v>661</v>
      </c>
      <c r="O188" s="3" t="s">
        <v>571</v>
      </c>
      <c r="P188" s="3">
        <v>0</v>
      </c>
      <c r="Q188" s="69">
        <v>43833</v>
      </c>
      <c r="R188" s="3" t="s">
        <v>662</v>
      </c>
      <c r="S188" s="3" t="s">
        <v>662</v>
      </c>
      <c r="T188" s="3" t="s">
        <v>671</v>
      </c>
      <c r="U188" s="3">
        <v>0</v>
      </c>
      <c r="V188" s="3">
        <v>0</v>
      </c>
      <c r="X188" s="3" t="s">
        <v>924</v>
      </c>
    </row>
    <row r="189" spans="1:25" ht="13" x14ac:dyDescent="0.15">
      <c r="A189" s="13">
        <v>43519</v>
      </c>
      <c r="B189" s="3" t="s">
        <v>266</v>
      </c>
      <c r="C189" s="14">
        <v>0.53472222222222221</v>
      </c>
      <c r="D189" s="14">
        <v>0.60416666666666663</v>
      </c>
      <c r="E189" s="3" t="s">
        <v>347</v>
      </c>
      <c r="H189" s="70">
        <v>0.53541666666666665</v>
      </c>
      <c r="I189" s="3">
        <v>0</v>
      </c>
      <c r="J189" s="3" t="s">
        <v>571</v>
      </c>
      <c r="K189" s="3">
        <v>6</v>
      </c>
      <c r="L189" s="3" t="s">
        <v>660</v>
      </c>
      <c r="M189" s="3" t="s">
        <v>661</v>
      </c>
      <c r="O189" s="3" t="s">
        <v>571</v>
      </c>
      <c r="P189" s="69">
        <v>43835</v>
      </c>
      <c r="Q189" s="69">
        <v>43833</v>
      </c>
      <c r="R189" s="3" t="s">
        <v>571</v>
      </c>
      <c r="S189" s="69">
        <v>43928</v>
      </c>
      <c r="T189" s="3" t="s">
        <v>571</v>
      </c>
      <c r="U189" s="3">
        <v>0</v>
      </c>
      <c r="V189" s="3">
        <v>0</v>
      </c>
      <c r="X189" s="3" t="s">
        <v>925</v>
      </c>
    </row>
    <row r="190" spans="1:25" ht="13" x14ac:dyDescent="0.15">
      <c r="A190" s="13">
        <v>43520</v>
      </c>
      <c r="B190" s="3" t="s">
        <v>293</v>
      </c>
      <c r="C190" s="14">
        <v>0.55208333333333337</v>
      </c>
      <c r="D190" s="14">
        <v>0.59375</v>
      </c>
      <c r="E190" s="3" t="s">
        <v>418</v>
      </c>
      <c r="F190" s="3" t="s">
        <v>664</v>
      </c>
      <c r="G190" s="3" t="s">
        <v>39</v>
      </c>
      <c r="H190" s="70">
        <v>0.51180555555555551</v>
      </c>
      <c r="I190" s="3">
        <v>0</v>
      </c>
      <c r="J190" s="3" t="s">
        <v>590</v>
      </c>
      <c r="K190" s="3">
        <v>12</v>
      </c>
      <c r="L190" s="3" t="s">
        <v>764</v>
      </c>
      <c r="M190" s="3" t="s">
        <v>664</v>
      </c>
      <c r="N190" s="3">
        <v>0.46</v>
      </c>
      <c r="O190" s="3" t="s">
        <v>590</v>
      </c>
      <c r="P190" s="69">
        <v>43992</v>
      </c>
      <c r="Q190" s="69">
        <v>43833</v>
      </c>
      <c r="R190" s="3" t="s">
        <v>590</v>
      </c>
      <c r="S190" s="69">
        <v>44055</v>
      </c>
      <c r="T190" s="3" t="s">
        <v>590</v>
      </c>
      <c r="U190" s="69">
        <v>43835</v>
      </c>
      <c r="V190" s="69">
        <v>43835</v>
      </c>
      <c r="W190" s="3" t="s">
        <v>926</v>
      </c>
    </row>
    <row r="191" spans="1:25" ht="13" x14ac:dyDescent="0.15">
      <c r="A191" s="13">
        <v>43525</v>
      </c>
      <c r="B191" s="3" t="s">
        <v>244</v>
      </c>
      <c r="C191" s="14">
        <v>0.38541666666666669</v>
      </c>
      <c r="D191" s="14">
        <v>0.47222222222222221</v>
      </c>
      <c r="E191" s="3" t="s">
        <v>278</v>
      </c>
      <c r="H191" s="70">
        <v>0.37013888888888891</v>
      </c>
      <c r="I191" s="3">
        <v>0.2</v>
      </c>
      <c r="J191" s="3" t="s">
        <v>919</v>
      </c>
      <c r="K191" s="3">
        <v>43</v>
      </c>
      <c r="L191" s="3" t="s">
        <v>668</v>
      </c>
      <c r="M191" s="3" t="s">
        <v>661</v>
      </c>
      <c r="O191" s="3" t="s">
        <v>919</v>
      </c>
      <c r="P191" s="69">
        <v>43835</v>
      </c>
      <c r="Q191" s="69">
        <v>43833</v>
      </c>
      <c r="R191" s="3" t="s">
        <v>919</v>
      </c>
      <c r="S191" s="3" t="s">
        <v>662</v>
      </c>
      <c r="T191" s="3" t="s">
        <v>919</v>
      </c>
      <c r="U191" s="69">
        <v>43835</v>
      </c>
      <c r="V191" s="3">
        <v>0</v>
      </c>
    </row>
    <row r="192" spans="1:25" ht="13" x14ac:dyDescent="0.15">
      <c r="A192" s="13">
        <v>43528</v>
      </c>
      <c r="B192" s="3" t="s">
        <v>400</v>
      </c>
      <c r="C192" s="14">
        <v>0.39583333333333331</v>
      </c>
      <c r="D192" s="14">
        <v>0.44097222222222221</v>
      </c>
      <c r="E192" s="3" t="s">
        <v>401</v>
      </c>
      <c r="H192" s="70">
        <v>0.39930555555555558</v>
      </c>
      <c r="I192" s="3">
        <v>7.0000000000000007E-2</v>
      </c>
      <c r="J192" s="3" t="s">
        <v>835</v>
      </c>
      <c r="K192" s="3">
        <v>26</v>
      </c>
      <c r="L192" s="3" t="s">
        <v>660</v>
      </c>
      <c r="M192" s="3" t="s">
        <v>661</v>
      </c>
      <c r="O192" s="3" t="s">
        <v>927</v>
      </c>
      <c r="P192" s="3">
        <v>0</v>
      </c>
      <c r="Q192" s="69">
        <v>43833</v>
      </c>
      <c r="R192" s="3" t="s">
        <v>835</v>
      </c>
      <c r="S192" s="3" t="s">
        <v>662</v>
      </c>
      <c r="T192" s="3" t="s">
        <v>835</v>
      </c>
      <c r="U192" s="3">
        <v>0</v>
      </c>
      <c r="V192" s="3">
        <v>0</v>
      </c>
      <c r="X192" s="3" t="s">
        <v>928</v>
      </c>
    </row>
    <row r="193" spans="1:25" ht="13" x14ac:dyDescent="0.15">
      <c r="A193" s="13">
        <v>43531</v>
      </c>
      <c r="B193" s="3" t="s">
        <v>266</v>
      </c>
      <c r="C193" s="14">
        <v>0.4375</v>
      </c>
      <c r="D193" s="14">
        <v>0.50208333333333333</v>
      </c>
      <c r="E193" s="3" t="s">
        <v>418</v>
      </c>
      <c r="H193" s="70">
        <v>0.44791666666666669</v>
      </c>
      <c r="I193" s="3">
        <v>7.0000000000000007E-2</v>
      </c>
      <c r="J193" s="3" t="s">
        <v>763</v>
      </c>
      <c r="K193" s="3">
        <v>25</v>
      </c>
      <c r="L193" s="3" t="s">
        <v>668</v>
      </c>
      <c r="M193" s="3" t="s">
        <v>664</v>
      </c>
      <c r="N193" s="3">
        <v>0.14000000000000001</v>
      </c>
      <c r="O193" s="3" t="s">
        <v>753</v>
      </c>
      <c r="P193" s="69">
        <v>43835</v>
      </c>
      <c r="Q193" s="69">
        <v>43833</v>
      </c>
      <c r="R193" s="3" t="s">
        <v>842</v>
      </c>
      <c r="S193" s="3" t="s">
        <v>701</v>
      </c>
      <c r="T193" s="3" t="s">
        <v>842</v>
      </c>
      <c r="U193" s="3">
        <v>0</v>
      </c>
      <c r="V193" s="3">
        <v>0</v>
      </c>
      <c r="W193" s="3" t="s">
        <v>842</v>
      </c>
      <c r="Y193" s="3" t="s">
        <v>929</v>
      </c>
    </row>
    <row r="194" spans="1:25" ht="13" x14ac:dyDescent="0.15">
      <c r="A194" s="13">
        <v>43531</v>
      </c>
      <c r="B194" s="3" t="s">
        <v>233</v>
      </c>
      <c r="C194" s="14">
        <v>0.43541666666666667</v>
      </c>
      <c r="D194" s="14">
        <v>0.47430555555555554</v>
      </c>
      <c r="E194" s="3" t="s">
        <v>286</v>
      </c>
      <c r="H194" s="70">
        <v>0.46388888888888891</v>
      </c>
      <c r="I194" s="3">
        <v>0</v>
      </c>
      <c r="J194" s="3" t="s">
        <v>930</v>
      </c>
      <c r="K194" s="3">
        <v>14</v>
      </c>
      <c r="L194" s="3" t="s">
        <v>668</v>
      </c>
      <c r="M194" s="3" t="s">
        <v>664</v>
      </c>
      <c r="O194" s="3" t="s">
        <v>931</v>
      </c>
      <c r="P194" s="3">
        <v>0</v>
      </c>
      <c r="Q194" s="69">
        <v>43833</v>
      </c>
      <c r="R194" s="3" t="s">
        <v>932</v>
      </c>
      <c r="S194" s="3" t="s">
        <v>701</v>
      </c>
      <c r="T194" s="3" t="s">
        <v>933</v>
      </c>
      <c r="U194" s="3">
        <v>0</v>
      </c>
      <c r="V194" s="3">
        <v>0</v>
      </c>
    </row>
    <row r="195" spans="1:25" ht="16" x14ac:dyDescent="0.2">
      <c r="A195" s="33">
        <v>43533</v>
      </c>
      <c r="B195" s="22" t="s">
        <v>244</v>
      </c>
      <c r="C195" s="34">
        <v>0.45277777777777778</v>
      </c>
      <c r="D195" s="34">
        <v>0.48194444444444445</v>
      </c>
      <c r="E195" s="22" t="s">
        <v>418</v>
      </c>
      <c r="H195" s="70">
        <v>0.50138888888888888</v>
      </c>
      <c r="I195" s="3">
        <v>0.4</v>
      </c>
      <c r="J195" s="3" t="s">
        <v>934</v>
      </c>
      <c r="K195" s="3">
        <v>21</v>
      </c>
      <c r="L195" s="3" t="s">
        <v>668</v>
      </c>
      <c r="M195" s="3" t="s">
        <v>661</v>
      </c>
      <c r="O195" s="3" t="s">
        <v>935</v>
      </c>
      <c r="P195" s="69">
        <v>43835</v>
      </c>
      <c r="Q195" s="69">
        <v>43833</v>
      </c>
      <c r="R195" s="3" t="s">
        <v>244</v>
      </c>
      <c r="S195" s="3" t="s">
        <v>669</v>
      </c>
      <c r="T195" s="3" t="s">
        <v>244</v>
      </c>
      <c r="U195" s="3">
        <v>0</v>
      </c>
      <c r="V195" s="3">
        <v>0</v>
      </c>
    </row>
    <row r="196" spans="1:25" ht="16" x14ac:dyDescent="0.2">
      <c r="A196" s="35">
        <v>43536</v>
      </c>
      <c r="B196" s="22" t="s">
        <v>201</v>
      </c>
      <c r="C196" s="34">
        <v>0.5625</v>
      </c>
      <c r="D196" s="36">
        <v>0.66666666666666663</v>
      </c>
      <c r="E196" s="22" t="s">
        <v>418</v>
      </c>
      <c r="H196" s="70">
        <v>0.5625</v>
      </c>
      <c r="I196" s="3">
        <v>8.0000000000000004E-4</v>
      </c>
      <c r="J196" s="3" t="s">
        <v>569</v>
      </c>
      <c r="K196" s="3">
        <v>25</v>
      </c>
      <c r="L196" s="3" t="s">
        <v>660</v>
      </c>
      <c r="M196" s="3" t="s">
        <v>661</v>
      </c>
      <c r="O196" s="3" t="s">
        <v>569</v>
      </c>
      <c r="P196" s="3">
        <v>0</v>
      </c>
      <c r="Q196" s="69">
        <v>43833</v>
      </c>
      <c r="R196" s="3" t="s">
        <v>569</v>
      </c>
      <c r="S196" s="3" t="s">
        <v>662</v>
      </c>
      <c r="T196" s="3" t="s">
        <v>569</v>
      </c>
      <c r="U196" s="3">
        <v>0</v>
      </c>
      <c r="V196" s="3">
        <v>0</v>
      </c>
      <c r="Y196" s="3" t="s">
        <v>936</v>
      </c>
    </row>
    <row r="197" spans="1:25" ht="16" x14ac:dyDescent="0.2">
      <c r="A197" s="35">
        <v>43536</v>
      </c>
      <c r="B197" s="22" t="s">
        <v>473</v>
      </c>
      <c r="C197" s="34">
        <v>0.39305555555555555</v>
      </c>
      <c r="D197" s="36">
        <v>0.4375</v>
      </c>
      <c r="E197" s="22" t="s">
        <v>418</v>
      </c>
      <c r="H197" s="70">
        <v>0.5</v>
      </c>
      <c r="I197" s="3">
        <v>0.01</v>
      </c>
      <c r="J197" s="3" t="s">
        <v>937</v>
      </c>
      <c r="K197" s="3">
        <v>17</v>
      </c>
      <c r="L197" s="3" t="s">
        <v>668</v>
      </c>
      <c r="M197" s="3" t="s">
        <v>664</v>
      </c>
      <c r="N197" s="3">
        <v>2</v>
      </c>
      <c r="O197" s="3" t="s">
        <v>937</v>
      </c>
      <c r="P197" s="69">
        <v>43835</v>
      </c>
      <c r="Q197" s="69">
        <v>43833</v>
      </c>
      <c r="R197" s="3" t="s">
        <v>937</v>
      </c>
      <c r="S197" s="3" t="s">
        <v>669</v>
      </c>
      <c r="T197" s="3" t="s">
        <v>937</v>
      </c>
      <c r="U197" s="3">
        <v>0</v>
      </c>
      <c r="V197" s="3">
        <v>0</v>
      </c>
    </row>
    <row r="198" spans="1:25" ht="16" x14ac:dyDescent="0.2">
      <c r="A198" s="13">
        <v>43556</v>
      </c>
      <c r="B198" s="22" t="s">
        <v>456</v>
      </c>
      <c r="C198" s="36">
        <v>0.36458333333333331</v>
      </c>
      <c r="D198" s="36">
        <v>0.45833333333333331</v>
      </c>
      <c r="E198" s="22" t="s">
        <v>418</v>
      </c>
      <c r="H198" s="70">
        <v>0.36666666666666664</v>
      </c>
      <c r="I198" s="3">
        <v>0</v>
      </c>
      <c r="J198" s="3" t="s">
        <v>569</v>
      </c>
      <c r="K198" s="3">
        <v>28</v>
      </c>
      <c r="L198" s="3" t="s">
        <v>660</v>
      </c>
      <c r="M198" s="3" t="s">
        <v>661</v>
      </c>
      <c r="O198" s="3" t="s">
        <v>569</v>
      </c>
      <c r="P198" s="69">
        <v>43835</v>
      </c>
      <c r="Q198" s="69">
        <v>43833</v>
      </c>
      <c r="R198" s="3" t="s">
        <v>938</v>
      </c>
      <c r="S198" s="3" t="s">
        <v>662</v>
      </c>
      <c r="T198" s="3" t="s">
        <v>569</v>
      </c>
      <c r="U198" s="3">
        <v>0</v>
      </c>
      <c r="V198" s="69">
        <v>43835</v>
      </c>
      <c r="W198" s="3" t="s">
        <v>758</v>
      </c>
      <c r="X198" s="3" t="s">
        <v>939</v>
      </c>
      <c r="Y198" s="3" t="s">
        <v>940</v>
      </c>
    </row>
    <row r="199" spans="1:25" ht="13" x14ac:dyDescent="0.15">
      <c r="A199" s="13">
        <v>43557</v>
      </c>
      <c r="B199" s="3" t="s">
        <v>456</v>
      </c>
      <c r="C199" s="14">
        <v>0.36458333333333331</v>
      </c>
      <c r="D199" s="14">
        <v>0.46875</v>
      </c>
      <c r="E199" s="3" t="s">
        <v>418</v>
      </c>
      <c r="H199" s="70">
        <v>0.38124999999999998</v>
      </c>
      <c r="I199" s="3">
        <v>0</v>
      </c>
      <c r="J199" s="3" t="s">
        <v>569</v>
      </c>
      <c r="K199" s="3">
        <v>28</v>
      </c>
      <c r="L199" s="3" t="s">
        <v>660</v>
      </c>
      <c r="M199" s="3" t="s">
        <v>661</v>
      </c>
      <c r="O199" s="3" t="s">
        <v>569</v>
      </c>
      <c r="P199" s="69">
        <v>43992</v>
      </c>
      <c r="Q199" s="69">
        <v>43833</v>
      </c>
      <c r="R199" s="3" t="s">
        <v>938</v>
      </c>
      <c r="S199" s="3" t="s">
        <v>669</v>
      </c>
      <c r="T199" s="3" t="s">
        <v>569</v>
      </c>
      <c r="U199" s="3">
        <v>0</v>
      </c>
      <c r="V199" s="3">
        <v>0</v>
      </c>
      <c r="X199" s="3" t="s">
        <v>941</v>
      </c>
      <c r="Y199" s="3" t="s">
        <v>942</v>
      </c>
    </row>
    <row r="200" spans="1:25" ht="13" x14ac:dyDescent="0.15">
      <c r="A200" s="13">
        <v>43557</v>
      </c>
      <c r="B200" s="3" t="s">
        <v>499</v>
      </c>
      <c r="C200" s="14"/>
      <c r="D200" s="14"/>
      <c r="E200" s="3"/>
      <c r="H200" s="70"/>
      <c r="I200" s="3"/>
      <c r="J200" s="3"/>
      <c r="K200" s="3"/>
      <c r="L200" s="3"/>
      <c r="M200" s="3"/>
      <c r="O200" s="3"/>
      <c r="P200" s="69"/>
      <c r="Q200" s="69"/>
      <c r="R200" s="3"/>
      <c r="S200" s="69"/>
      <c r="T200" s="3"/>
      <c r="U200" s="3"/>
      <c r="V200" s="3"/>
      <c r="X200" s="3"/>
      <c r="Y200" s="3"/>
    </row>
    <row r="201" spans="1:25" ht="13" x14ac:dyDescent="0.15">
      <c r="A201" s="13">
        <v>43558</v>
      </c>
      <c r="B201" s="3" t="s">
        <v>456</v>
      </c>
      <c r="C201" s="14">
        <v>0.375</v>
      </c>
      <c r="D201" s="14">
        <v>0.45833333333333331</v>
      </c>
      <c r="E201" s="3" t="s">
        <v>418</v>
      </c>
      <c r="H201" s="70">
        <v>0.39513888888888887</v>
      </c>
      <c r="I201" s="3">
        <v>-0.1</v>
      </c>
      <c r="J201" s="3" t="s">
        <v>569</v>
      </c>
      <c r="K201" s="3">
        <v>21</v>
      </c>
      <c r="L201" s="3" t="s">
        <v>668</v>
      </c>
      <c r="M201" s="3" t="s">
        <v>661</v>
      </c>
      <c r="O201" s="3" t="s">
        <v>569</v>
      </c>
      <c r="P201" s="69">
        <v>43835</v>
      </c>
      <c r="Q201" s="69">
        <v>43833</v>
      </c>
      <c r="R201" s="3" t="s">
        <v>938</v>
      </c>
      <c r="S201" s="69">
        <v>44055</v>
      </c>
      <c r="T201" s="3" t="s">
        <v>569</v>
      </c>
      <c r="U201" s="3">
        <v>0</v>
      </c>
      <c r="V201" s="3">
        <v>0</v>
      </c>
      <c r="X201" s="3" t="s">
        <v>943</v>
      </c>
      <c r="Y201" s="3" t="s">
        <v>944</v>
      </c>
    </row>
    <row r="202" spans="1:25" ht="13" x14ac:dyDescent="0.15">
      <c r="A202" s="13">
        <v>43558</v>
      </c>
      <c r="B202" s="3" t="s">
        <v>216</v>
      </c>
      <c r="C202" s="14">
        <v>0.39305555555555555</v>
      </c>
      <c r="D202" s="14">
        <v>0.44791666666666669</v>
      </c>
      <c r="E202" s="3" t="s">
        <v>413</v>
      </c>
      <c r="H202" s="70">
        <v>0.39444444444444443</v>
      </c>
      <c r="I202" s="3">
        <v>-0.09</v>
      </c>
      <c r="J202" s="3" t="s">
        <v>569</v>
      </c>
      <c r="K202" s="3">
        <v>17</v>
      </c>
      <c r="L202" s="3" t="s">
        <v>660</v>
      </c>
      <c r="M202" s="3" t="s">
        <v>661</v>
      </c>
      <c r="O202" s="3" t="s">
        <v>569</v>
      </c>
      <c r="P202" s="69">
        <v>43835</v>
      </c>
      <c r="Q202" s="69">
        <v>43833</v>
      </c>
      <c r="R202" s="3" t="s">
        <v>569</v>
      </c>
      <c r="S202" s="3" t="s">
        <v>662</v>
      </c>
      <c r="T202" s="3" t="s">
        <v>569</v>
      </c>
      <c r="U202" s="3">
        <v>0</v>
      </c>
      <c r="V202" s="3">
        <v>0</v>
      </c>
    </row>
    <row r="203" spans="1:25" ht="13" x14ac:dyDescent="0.15">
      <c r="A203" s="13">
        <v>43559</v>
      </c>
      <c r="B203" s="3" t="s">
        <v>456</v>
      </c>
      <c r="C203" s="14">
        <v>0.375</v>
      </c>
      <c r="D203" s="14">
        <v>0.47916666666666669</v>
      </c>
      <c r="E203" s="3" t="s">
        <v>418</v>
      </c>
      <c r="H203" s="70">
        <v>0.40972222222222221</v>
      </c>
      <c r="I203" s="3">
        <v>-0.1</v>
      </c>
      <c r="J203" s="3" t="s">
        <v>569</v>
      </c>
      <c r="K203" s="3">
        <v>23</v>
      </c>
      <c r="L203" s="3" t="s">
        <v>668</v>
      </c>
      <c r="M203" s="3" t="s">
        <v>661</v>
      </c>
      <c r="O203" s="3" t="s">
        <v>569</v>
      </c>
      <c r="P203" s="3" t="s">
        <v>698</v>
      </c>
      <c r="Q203" s="69">
        <v>43833</v>
      </c>
      <c r="R203" s="3" t="s">
        <v>938</v>
      </c>
      <c r="S203" s="69">
        <v>44055</v>
      </c>
      <c r="T203" s="3" t="s">
        <v>569</v>
      </c>
      <c r="U203" s="3">
        <v>0</v>
      </c>
      <c r="V203" s="3">
        <v>0</v>
      </c>
      <c r="X203" s="3" t="s">
        <v>945</v>
      </c>
      <c r="Y203" s="3" t="s">
        <v>946</v>
      </c>
    </row>
    <row r="204" spans="1:25" ht="13" x14ac:dyDescent="0.15">
      <c r="A204" s="13">
        <v>43560</v>
      </c>
      <c r="B204" s="3" t="s">
        <v>511</v>
      </c>
      <c r="C204" s="14">
        <v>0.43055555555555558</v>
      </c>
      <c r="D204" s="14">
        <v>0.4548611111111111</v>
      </c>
      <c r="E204" s="3" t="s">
        <v>508</v>
      </c>
      <c r="H204" s="70">
        <v>0.4152777777777778</v>
      </c>
      <c r="I204" s="3">
        <v>-0.1</v>
      </c>
      <c r="J204" s="3" t="s">
        <v>678</v>
      </c>
      <c r="K204" s="3">
        <v>12</v>
      </c>
      <c r="L204" s="3" t="s">
        <v>668</v>
      </c>
      <c r="M204" s="3" t="s">
        <v>664</v>
      </c>
      <c r="N204" s="3">
        <v>0.01</v>
      </c>
      <c r="O204" s="3" t="s">
        <v>678</v>
      </c>
      <c r="P204" s="3" t="s">
        <v>684</v>
      </c>
      <c r="Q204" s="69">
        <v>43833</v>
      </c>
      <c r="R204" s="3" t="s">
        <v>678</v>
      </c>
      <c r="S204" s="69">
        <v>43928</v>
      </c>
      <c r="T204" s="3" t="s">
        <v>678</v>
      </c>
      <c r="U204" s="3">
        <v>0</v>
      </c>
      <c r="V204" s="3">
        <v>0</v>
      </c>
      <c r="Y204" s="3" t="s">
        <v>947</v>
      </c>
    </row>
    <row r="205" spans="1:25" ht="13" x14ac:dyDescent="0.15">
      <c r="A205" s="13">
        <v>43562</v>
      </c>
      <c r="B205" s="3" t="s">
        <v>293</v>
      </c>
      <c r="C205" s="14">
        <v>0.45833333333333331</v>
      </c>
      <c r="D205" s="14">
        <v>0.47916666666666669</v>
      </c>
      <c r="E205" s="3" t="s">
        <v>482</v>
      </c>
      <c r="H205" s="70">
        <v>0.42499999999999999</v>
      </c>
      <c r="I205" s="3">
        <v>-0.25</v>
      </c>
      <c r="J205" s="3" t="s">
        <v>948</v>
      </c>
      <c r="K205" s="3">
        <v>4</v>
      </c>
      <c r="L205" s="3" t="s">
        <v>660</v>
      </c>
      <c r="M205" s="3" t="s">
        <v>661</v>
      </c>
      <c r="O205" s="3" t="s">
        <v>948</v>
      </c>
      <c r="P205" s="69">
        <v>43835</v>
      </c>
      <c r="Q205" s="69">
        <v>43833</v>
      </c>
      <c r="R205" s="3" t="s">
        <v>948</v>
      </c>
      <c r="S205" s="3" t="s">
        <v>662</v>
      </c>
      <c r="T205" s="3" t="s">
        <v>948</v>
      </c>
      <c r="U205" s="69">
        <v>43835</v>
      </c>
      <c r="V205" s="69">
        <v>43835</v>
      </c>
      <c r="W205" s="3" t="s">
        <v>949</v>
      </c>
      <c r="X205" s="3" t="s">
        <v>950</v>
      </c>
    </row>
    <row r="206" spans="1:25" ht="13" x14ac:dyDescent="0.15">
      <c r="A206" s="13">
        <v>43563</v>
      </c>
      <c r="B206" s="3" t="s">
        <v>216</v>
      </c>
      <c r="C206" s="14"/>
      <c r="D206" s="14"/>
      <c r="E206" s="3"/>
      <c r="H206" s="70"/>
      <c r="I206" s="3"/>
      <c r="J206" s="3"/>
      <c r="K206" s="3"/>
      <c r="L206" s="3"/>
      <c r="M206" s="3"/>
      <c r="O206" s="3"/>
      <c r="P206" s="69"/>
      <c r="Q206" s="69"/>
      <c r="R206" s="3"/>
      <c r="S206" s="69"/>
      <c r="T206" s="3"/>
      <c r="U206" s="69"/>
      <c r="V206" s="3"/>
      <c r="X206" s="3"/>
    </row>
    <row r="207" spans="1:25" ht="13" x14ac:dyDescent="0.15">
      <c r="A207" s="13">
        <v>43563</v>
      </c>
      <c r="B207" s="3" t="s">
        <v>400</v>
      </c>
      <c r="C207" s="14">
        <v>0.4548611111111111</v>
      </c>
      <c r="D207" s="14">
        <v>0.48958333333333331</v>
      </c>
      <c r="E207" s="3" t="s">
        <v>465</v>
      </c>
      <c r="H207" s="70">
        <v>0.45208333333333334</v>
      </c>
      <c r="I207" s="3">
        <v>-0.24</v>
      </c>
      <c r="J207" s="3" t="s">
        <v>835</v>
      </c>
      <c r="K207" s="3">
        <v>23</v>
      </c>
      <c r="L207" s="3" t="s">
        <v>689</v>
      </c>
      <c r="M207" s="3" t="s">
        <v>661</v>
      </c>
      <c r="O207" s="3" t="s">
        <v>835</v>
      </c>
      <c r="P207" s="69">
        <v>43835</v>
      </c>
      <c r="Q207" s="69">
        <v>43833</v>
      </c>
      <c r="R207" s="3" t="s">
        <v>951</v>
      </c>
      <c r="S207" s="69">
        <v>43928</v>
      </c>
      <c r="T207" s="3" t="s">
        <v>951</v>
      </c>
      <c r="U207" s="69">
        <v>43835</v>
      </c>
      <c r="V207" s="3">
        <v>0</v>
      </c>
      <c r="X207" s="3" t="s">
        <v>952</v>
      </c>
    </row>
    <row r="208" spans="1:25" ht="13" x14ac:dyDescent="0.15">
      <c r="A208" s="13">
        <v>43564</v>
      </c>
      <c r="B208" s="3" t="s">
        <v>456</v>
      </c>
      <c r="C208" s="14">
        <v>0.36319444444444443</v>
      </c>
      <c r="D208" s="14">
        <v>0.39583333333333331</v>
      </c>
      <c r="E208" s="3" t="s">
        <v>469</v>
      </c>
      <c r="H208" s="70">
        <v>0.44166666666666665</v>
      </c>
      <c r="I208" s="3">
        <v>-0.04</v>
      </c>
      <c r="J208" s="3" t="s">
        <v>691</v>
      </c>
      <c r="K208" s="3">
        <v>12</v>
      </c>
      <c r="L208" s="3" t="s">
        <v>668</v>
      </c>
      <c r="M208" s="3" t="s">
        <v>661</v>
      </c>
      <c r="O208" s="3" t="s">
        <v>691</v>
      </c>
      <c r="P208" s="69">
        <v>43835</v>
      </c>
      <c r="Q208" s="69">
        <v>43833</v>
      </c>
      <c r="R208" s="3" t="s">
        <v>953</v>
      </c>
      <c r="S208" s="69">
        <v>43928</v>
      </c>
      <c r="T208" s="3" t="s">
        <v>953</v>
      </c>
      <c r="U208" s="3">
        <v>0</v>
      </c>
      <c r="V208" s="3">
        <v>0</v>
      </c>
      <c r="X208" s="3" t="s">
        <v>954</v>
      </c>
    </row>
    <row r="209" spans="1:25" ht="13" x14ac:dyDescent="0.15">
      <c r="A209" s="13">
        <v>43564</v>
      </c>
      <c r="B209" s="3" t="s">
        <v>244</v>
      </c>
      <c r="C209" s="14">
        <v>0.39583333333333331</v>
      </c>
      <c r="D209" s="14">
        <v>0.4375</v>
      </c>
      <c r="E209" s="3" t="s">
        <v>326</v>
      </c>
      <c r="H209" s="70">
        <v>0.50347222222222221</v>
      </c>
      <c r="I209" s="3">
        <v>0.06</v>
      </c>
      <c r="J209" s="3" t="s">
        <v>955</v>
      </c>
      <c r="K209" s="3">
        <v>22</v>
      </c>
      <c r="L209" s="3" t="s">
        <v>660</v>
      </c>
      <c r="M209" s="3" t="s">
        <v>664</v>
      </c>
      <c r="N209" s="3">
        <v>0.14000000000000001</v>
      </c>
      <c r="O209" s="3" t="s">
        <v>956</v>
      </c>
      <c r="P209" s="69">
        <v>43835</v>
      </c>
      <c r="Q209" s="69">
        <v>43833</v>
      </c>
      <c r="R209" s="3" t="s">
        <v>244</v>
      </c>
      <c r="S209" s="69">
        <v>44055</v>
      </c>
      <c r="T209" s="3" t="s">
        <v>244</v>
      </c>
      <c r="U209" s="69">
        <v>43835</v>
      </c>
      <c r="V209" s="3">
        <v>0</v>
      </c>
      <c r="W209" s="3" t="s">
        <v>842</v>
      </c>
      <c r="Y209" s="3" t="s">
        <v>957</v>
      </c>
    </row>
    <row r="210" spans="1:25" ht="13" x14ac:dyDescent="0.15">
      <c r="A210" s="13">
        <v>43564</v>
      </c>
      <c r="B210" s="3" t="s">
        <v>246</v>
      </c>
      <c r="C210" s="14">
        <v>0.3888888888888889</v>
      </c>
      <c r="D210" s="14">
        <v>0.45833333333333331</v>
      </c>
      <c r="E210" s="3" t="s">
        <v>548</v>
      </c>
      <c r="H210" s="70">
        <v>0.47083333333333333</v>
      </c>
      <c r="I210" s="3">
        <v>-0.08</v>
      </c>
      <c r="J210" s="3" t="s">
        <v>674</v>
      </c>
      <c r="K210" s="3">
        <v>24</v>
      </c>
      <c r="L210" s="3" t="s">
        <v>660</v>
      </c>
      <c r="M210" s="3" t="s">
        <v>664</v>
      </c>
      <c r="N210" s="3">
        <v>0.01</v>
      </c>
      <c r="O210" s="3" t="s">
        <v>769</v>
      </c>
      <c r="P210" s="3" t="s">
        <v>684</v>
      </c>
      <c r="Q210" s="69">
        <v>43833</v>
      </c>
      <c r="R210" s="3" t="s">
        <v>569</v>
      </c>
      <c r="S210" s="69">
        <v>43928</v>
      </c>
      <c r="T210" s="3" t="s">
        <v>958</v>
      </c>
      <c r="U210" s="3">
        <v>0</v>
      </c>
      <c r="V210" s="3">
        <v>0</v>
      </c>
      <c r="X210" s="3" t="s">
        <v>959</v>
      </c>
    </row>
    <row r="211" spans="1:25" ht="13" x14ac:dyDescent="0.15">
      <c r="A211" s="13">
        <v>43566</v>
      </c>
      <c r="B211" s="3" t="s">
        <v>246</v>
      </c>
      <c r="C211" s="14">
        <v>0.3888888888888889</v>
      </c>
      <c r="D211" s="14">
        <v>0.46180555555555558</v>
      </c>
      <c r="E211" s="3" t="s">
        <v>548</v>
      </c>
      <c r="H211" s="70">
        <v>0.54236111111111107</v>
      </c>
      <c r="I211" s="3">
        <v>7.0000000000000007E-2</v>
      </c>
      <c r="J211" s="3" t="s">
        <v>569</v>
      </c>
      <c r="K211" s="3">
        <v>25</v>
      </c>
      <c r="L211" s="3" t="s">
        <v>668</v>
      </c>
      <c r="M211" s="3" t="s">
        <v>664</v>
      </c>
      <c r="N211" s="3">
        <v>0.01</v>
      </c>
      <c r="O211" s="3" t="s">
        <v>769</v>
      </c>
      <c r="P211" s="69">
        <v>44150</v>
      </c>
      <c r="Q211" s="69">
        <v>43927</v>
      </c>
      <c r="R211" s="3" t="s">
        <v>569</v>
      </c>
      <c r="S211" s="3" t="s">
        <v>669</v>
      </c>
      <c r="T211" s="3" t="s">
        <v>569</v>
      </c>
      <c r="U211" s="3">
        <v>0</v>
      </c>
      <c r="V211" s="3">
        <v>0</v>
      </c>
    </row>
    <row r="212" spans="1:25" ht="13" x14ac:dyDescent="0.15">
      <c r="A212" s="13">
        <v>43566</v>
      </c>
      <c r="B212" s="3" t="s">
        <v>473</v>
      </c>
      <c r="C212" s="14">
        <v>0.41666666666666669</v>
      </c>
      <c r="D212" s="14">
        <v>0.47916666666666669</v>
      </c>
      <c r="E212" s="3" t="s">
        <v>418</v>
      </c>
      <c r="H212" s="70">
        <v>7.0833333333333331E-2</v>
      </c>
      <c r="I212" s="3">
        <v>0.2</v>
      </c>
      <c r="J212" s="3" t="s">
        <v>769</v>
      </c>
      <c r="K212" s="3">
        <v>20</v>
      </c>
      <c r="L212" s="3" t="s">
        <v>668</v>
      </c>
      <c r="M212" s="3" t="s">
        <v>664</v>
      </c>
      <c r="N212" s="3">
        <v>0.5</v>
      </c>
      <c r="O212" s="3" t="s">
        <v>960</v>
      </c>
      <c r="P212" s="69">
        <v>43992</v>
      </c>
      <c r="Q212" s="69">
        <v>43833</v>
      </c>
      <c r="R212" s="3" t="s">
        <v>769</v>
      </c>
      <c r="S212" s="3" t="s">
        <v>672</v>
      </c>
      <c r="T212" s="3" t="s">
        <v>961</v>
      </c>
      <c r="U212" s="3">
        <v>0</v>
      </c>
      <c r="V212" s="3">
        <v>0</v>
      </c>
    </row>
    <row r="213" spans="1:25" ht="13" x14ac:dyDescent="0.15">
      <c r="A213" s="13">
        <v>43567</v>
      </c>
      <c r="B213" s="3" t="s">
        <v>473</v>
      </c>
      <c r="C213" s="14">
        <v>0.41666666666666669</v>
      </c>
      <c r="D213" s="14">
        <v>0.5</v>
      </c>
      <c r="E213" s="3" t="s">
        <v>418</v>
      </c>
      <c r="H213" s="70">
        <v>0.54861111111111116</v>
      </c>
      <c r="I213" s="3">
        <v>0.23</v>
      </c>
      <c r="J213" s="3" t="s">
        <v>962</v>
      </c>
      <c r="K213" s="3">
        <v>25</v>
      </c>
      <c r="L213" s="3" t="s">
        <v>660</v>
      </c>
      <c r="M213" s="3" t="s">
        <v>661</v>
      </c>
      <c r="O213" s="3" t="s">
        <v>963</v>
      </c>
      <c r="P213" s="69">
        <v>43992</v>
      </c>
      <c r="Q213" s="69">
        <v>43927</v>
      </c>
      <c r="R213" s="3" t="s">
        <v>961</v>
      </c>
      <c r="S213" s="3" t="s">
        <v>669</v>
      </c>
      <c r="T213" s="3" t="s">
        <v>963</v>
      </c>
      <c r="U213" s="3">
        <v>0</v>
      </c>
      <c r="V213" s="3">
        <v>0</v>
      </c>
      <c r="Y213" s="3" t="s">
        <v>964</v>
      </c>
    </row>
    <row r="214" spans="1:25" ht="13" x14ac:dyDescent="0.15">
      <c r="A214" s="13">
        <v>43571</v>
      </c>
      <c r="B214" s="3" t="s">
        <v>244</v>
      </c>
      <c r="C214" s="14">
        <v>0.3888888888888889</v>
      </c>
      <c r="D214" s="14">
        <v>0.41319444444444442</v>
      </c>
      <c r="E214" s="3" t="s">
        <v>326</v>
      </c>
      <c r="H214" s="70">
        <v>0.3527777777777778</v>
      </c>
      <c r="I214" s="3">
        <v>-0.215</v>
      </c>
      <c r="J214" s="3" t="s">
        <v>955</v>
      </c>
      <c r="K214" s="3">
        <v>25</v>
      </c>
      <c r="L214" s="3" t="s">
        <v>660</v>
      </c>
      <c r="M214" s="3" t="s">
        <v>661</v>
      </c>
      <c r="O214" s="3" t="s">
        <v>955</v>
      </c>
      <c r="P214" s="3">
        <v>0</v>
      </c>
      <c r="Q214" s="69">
        <v>43833</v>
      </c>
      <c r="R214" s="3" t="s">
        <v>955</v>
      </c>
      <c r="S214" s="3" t="s">
        <v>662</v>
      </c>
      <c r="T214" s="3" t="s">
        <v>955</v>
      </c>
      <c r="U214" s="3">
        <v>0</v>
      </c>
      <c r="V214" s="3">
        <v>0</v>
      </c>
    </row>
    <row r="215" spans="1:25" ht="13" x14ac:dyDescent="0.15">
      <c r="A215" s="13">
        <v>43571</v>
      </c>
      <c r="B215" s="3" t="s">
        <v>201</v>
      </c>
      <c r="C215" s="14">
        <v>0.3576388888888889</v>
      </c>
      <c r="D215" s="14">
        <v>0.41666666666666669</v>
      </c>
      <c r="E215" s="3" t="s">
        <v>477</v>
      </c>
      <c r="H215" s="70">
        <v>0.35138888888888886</v>
      </c>
      <c r="I215" s="3">
        <v>0.26</v>
      </c>
      <c r="J215" s="3" t="s">
        <v>569</v>
      </c>
      <c r="K215" s="3">
        <v>18</v>
      </c>
      <c r="L215" s="3" t="s">
        <v>660</v>
      </c>
      <c r="M215" s="3" t="s">
        <v>664</v>
      </c>
      <c r="N215" s="3">
        <v>0.08</v>
      </c>
      <c r="O215" s="3" t="s">
        <v>569</v>
      </c>
      <c r="P215" s="69">
        <v>43992</v>
      </c>
      <c r="Q215" s="69">
        <v>43833</v>
      </c>
      <c r="R215" s="3" t="s">
        <v>569</v>
      </c>
      <c r="S215" s="3" t="s">
        <v>662</v>
      </c>
      <c r="T215" s="69">
        <v>43928</v>
      </c>
      <c r="U215" s="3">
        <v>0</v>
      </c>
      <c r="V215" s="3">
        <v>0</v>
      </c>
    </row>
    <row r="216" spans="1:25" ht="13" x14ac:dyDescent="0.15">
      <c r="A216" s="13">
        <v>43572</v>
      </c>
      <c r="B216" s="3" t="s">
        <v>201</v>
      </c>
      <c r="C216" s="14">
        <v>0.3611111111111111</v>
      </c>
      <c r="D216" s="14">
        <v>0.41666666666666669</v>
      </c>
      <c r="E216" s="3" t="s">
        <v>477</v>
      </c>
      <c r="H216" s="70">
        <v>0.37222222222222223</v>
      </c>
      <c r="I216" s="3">
        <v>-0.31</v>
      </c>
      <c r="J216" s="3" t="s">
        <v>965</v>
      </c>
      <c r="K216" s="3">
        <v>15</v>
      </c>
      <c r="L216" s="3" t="s">
        <v>660</v>
      </c>
      <c r="M216" s="3" t="s">
        <v>664</v>
      </c>
      <c r="N216" s="3">
        <v>0.01</v>
      </c>
      <c r="O216" s="3" t="s">
        <v>569</v>
      </c>
      <c r="P216" s="69">
        <v>43992</v>
      </c>
      <c r="Q216" s="69">
        <v>43833</v>
      </c>
      <c r="R216" s="3" t="s">
        <v>774</v>
      </c>
      <c r="S216" s="69">
        <v>43928</v>
      </c>
      <c r="T216" s="3" t="s">
        <v>569</v>
      </c>
      <c r="U216" s="69">
        <v>43835</v>
      </c>
      <c r="V216" s="69">
        <v>43835</v>
      </c>
    </row>
    <row r="217" spans="1:25" ht="13" x14ac:dyDescent="0.15">
      <c r="A217" s="13">
        <v>43572</v>
      </c>
      <c r="B217" s="3" t="s">
        <v>259</v>
      </c>
      <c r="C217" s="14">
        <v>0.36805555555555558</v>
      </c>
      <c r="D217" s="14">
        <v>0.44791666666666669</v>
      </c>
      <c r="E217" s="3" t="s">
        <v>482</v>
      </c>
      <c r="H217" s="70">
        <v>0.33611111111111114</v>
      </c>
      <c r="I217" s="3">
        <v>-0.3</v>
      </c>
      <c r="J217" s="3" t="s">
        <v>948</v>
      </c>
      <c r="K217" s="3">
        <v>33</v>
      </c>
      <c r="L217" s="3" t="s">
        <v>660</v>
      </c>
      <c r="M217" s="3" t="s">
        <v>664</v>
      </c>
      <c r="N217" s="3">
        <v>2.84</v>
      </c>
      <c r="O217" s="3" t="s">
        <v>948</v>
      </c>
      <c r="P217" s="3">
        <v>0</v>
      </c>
      <c r="Q217" s="69">
        <v>43833</v>
      </c>
      <c r="R217" s="3" t="s">
        <v>948</v>
      </c>
      <c r="S217" s="69">
        <v>43833</v>
      </c>
      <c r="T217" s="3" t="s">
        <v>948</v>
      </c>
      <c r="U217" s="3">
        <v>0</v>
      </c>
      <c r="V217" s="3">
        <v>0</v>
      </c>
    </row>
    <row r="218" spans="1:25" ht="13" x14ac:dyDescent="0.15">
      <c r="A218" s="13">
        <v>43573</v>
      </c>
      <c r="B218" s="3" t="s">
        <v>340</v>
      </c>
      <c r="C218" s="14">
        <v>0.41319444444444442</v>
      </c>
      <c r="D218" s="14">
        <v>0.47916666666666669</v>
      </c>
      <c r="E218" s="3" t="s">
        <v>418</v>
      </c>
      <c r="H218" s="70">
        <v>0.38333333333333336</v>
      </c>
      <c r="I218" s="3">
        <v>-0.28999999999999998</v>
      </c>
      <c r="J218" s="3" t="s">
        <v>590</v>
      </c>
      <c r="K218" s="3">
        <v>7</v>
      </c>
      <c r="L218" s="3" t="s">
        <v>660</v>
      </c>
      <c r="M218" s="3" t="s">
        <v>661</v>
      </c>
      <c r="O218" s="3" t="s">
        <v>590</v>
      </c>
      <c r="P218" s="3">
        <v>0</v>
      </c>
      <c r="Q218" s="69">
        <v>43833</v>
      </c>
      <c r="R218" s="3" t="s">
        <v>590</v>
      </c>
      <c r="S218" s="69">
        <v>43833</v>
      </c>
      <c r="T218" s="3" t="s">
        <v>590</v>
      </c>
      <c r="U218" s="3">
        <v>0</v>
      </c>
      <c r="V218" s="69">
        <v>44150</v>
      </c>
      <c r="Y218" s="3" t="s">
        <v>966</v>
      </c>
    </row>
    <row r="219" spans="1:25" ht="13" x14ac:dyDescent="0.15">
      <c r="A219" s="13">
        <v>43573</v>
      </c>
      <c r="B219" s="3" t="s">
        <v>259</v>
      </c>
      <c r="C219" s="14">
        <v>0.375</v>
      </c>
      <c r="D219" s="14">
        <v>0.44791666666666669</v>
      </c>
      <c r="E219" s="3" t="s">
        <v>482</v>
      </c>
      <c r="F219" s="3" t="s">
        <v>661</v>
      </c>
      <c r="H219" s="70">
        <v>0.3576388888888889</v>
      </c>
      <c r="I219" s="3">
        <v>-0.44</v>
      </c>
      <c r="J219" s="3" t="s">
        <v>948</v>
      </c>
      <c r="K219" s="3">
        <v>35</v>
      </c>
      <c r="L219" s="3" t="s">
        <v>660</v>
      </c>
      <c r="M219" s="3" t="s">
        <v>664</v>
      </c>
      <c r="N219" s="3">
        <v>1.27</v>
      </c>
      <c r="O219" s="3" t="s">
        <v>948</v>
      </c>
      <c r="P219" s="3">
        <v>0</v>
      </c>
      <c r="Q219" s="69">
        <v>43833</v>
      </c>
      <c r="R219" s="3" t="s">
        <v>948</v>
      </c>
      <c r="S219" s="3" t="s">
        <v>662</v>
      </c>
      <c r="T219" s="3" t="s">
        <v>948</v>
      </c>
      <c r="U219" s="3">
        <v>0</v>
      </c>
      <c r="V219" s="69">
        <v>43835</v>
      </c>
      <c r="W219" s="3" t="s">
        <v>683</v>
      </c>
    </row>
    <row r="220" spans="1:25" ht="13" x14ac:dyDescent="0.15">
      <c r="A220" s="19">
        <v>43573</v>
      </c>
      <c r="B220" s="20" t="s">
        <v>489</v>
      </c>
      <c r="C220" s="21">
        <v>0.375</v>
      </c>
      <c r="D220" s="21">
        <v>0.47916666666666669</v>
      </c>
      <c r="E220" s="20" t="s">
        <v>367</v>
      </c>
      <c r="H220" s="70">
        <v>0.38333333333333336</v>
      </c>
      <c r="I220" s="3">
        <v>-0.28999999999999998</v>
      </c>
      <c r="J220" s="3" t="s">
        <v>590</v>
      </c>
      <c r="K220" s="3">
        <v>7</v>
      </c>
      <c r="L220" s="3" t="s">
        <v>660</v>
      </c>
      <c r="M220" s="3" t="s">
        <v>661</v>
      </c>
      <c r="O220" s="3" t="s">
        <v>875</v>
      </c>
      <c r="P220" s="3">
        <v>0</v>
      </c>
      <c r="Q220" s="69">
        <v>43833</v>
      </c>
      <c r="R220" s="3" t="s">
        <v>875</v>
      </c>
      <c r="S220" s="69">
        <v>43833</v>
      </c>
      <c r="T220" s="3" t="s">
        <v>875</v>
      </c>
      <c r="U220" s="3">
        <v>0</v>
      </c>
      <c r="V220" s="3">
        <v>0</v>
      </c>
    </row>
    <row r="221" spans="1:25" ht="13" x14ac:dyDescent="0.15">
      <c r="A221" s="13">
        <v>43573</v>
      </c>
      <c r="B221" s="3" t="s">
        <v>201</v>
      </c>
      <c r="C221" s="14">
        <v>0.375</v>
      </c>
      <c r="D221" s="14">
        <v>0.43055555555555558</v>
      </c>
      <c r="E221" s="3" t="s">
        <v>477</v>
      </c>
      <c r="H221" s="70">
        <v>0.3923611111111111</v>
      </c>
      <c r="I221" s="3">
        <v>-0.3</v>
      </c>
      <c r="J221" s="3" t="s">
        <v>965</v>
      </c>
      <c r="K221" s="3">
        <v>15</v>
      </c>
      <c r="L221" s="3" t="s">
        <v>660</v>
      </c>
      <c r="M221" s="3" t="s">
        <v>664</v>
      </c>
      <c r="N221" s="3">
        <v>0.05</v>
      </c>
      <c r="O221" s="3" t="s">
        <v>774</v>
      </c>
      <c r="P221" s="69">
        <v>44150</v>
      </c>
      <c r="Q221" s="69">
        <v>43833</v>
      </c>
      <c r="R221" s="3" t="s">
        <v>569</v>
      </c>
      <c r="S221" s="69">
        <v>44055</v>
      </c>
      <c r="T221" s="3" t="s">
        <v>569</v>
      </c>
      <c r="U221" s="3">
        <v>0</v>
      </c>
      <c r="V221" s="69">
        <v>43835</v>
      </c>
      <c r="W221" s="3" t="s">
        <v>967</v>
      </c>
    </row>
    <row r="222" spans="1:25" ht="13" x14ac:dyDescent="0.15">
      <c r="A222" s="13">
        <v>43573</v>
      </c>
      <c r="B222" s="3" t="s">
        <v>492</v>
      </c>
      <c r="C222" s="14">
        <v>0.35416666666666669</v>
      </c>
      <c r="D222" s="14">
        <v>0.39930555555555558</v>
      </c>
      <c r="E222" s="3" t="s">
        <v>493</v>
      </c>
      <c r="H222" s="70">
        <v>0.40486111111111112</v>
      </c>
      <c r="I222" s="3">
        <v>-0.36</v>
      </c>
      <c r="J222" s="3" t="s">
        <v>749</v>
      </c>
      <c r="K222" s="3">
        <v>23</v>
      </c>
      <c r="L222" s="3" t="s">
        <v>660</v>
      </c>
      <c r="M222" s="3" t="s">
        <v>661</v>
      </c>
      <c r="O222" s="3" t="s">
        <v>749</v>
      </c>
      <c r="P222" s="69">
        <v>43835</v>
      </c>
      <c r="Q222" s="69">
        <v>43833</v>
      </c>
      <c r="R222" s="3" t="s">
        <v>749</v>
      </c>
      <c r="S222" s="3" t="s">
        <v>662</v>
      </c>
      <c r="T222" s="3" t="s">
        <v>749</v>
      </c>
      <c r="U222" s="3">
        <v>0</v>
      </c>
      <c r="V222" s="3">
        <v>0</v>
      </c>
      <c r="Y222" s="3" t="s">
        <v>968</v>
      </c>
    </row>
    <row r="223" spans="1:25" ht="13" x14ac:dyDescent="0.15">
      <c r="A223" s="13">
        <v>43573</v>
      </c>
      <c r="B223" s="3" t="s">
        <v>246</v>
      </c>
      <c r="C223" s="14"/>
      <c r="D223" s="14"/>
      <c r="E223" s="3"/>
      <c r="H223" s="70"/>
      <c r="I223" s="3"/>
      <c r="J223" s="3"/>
      <c r="K223" s="3"/>
      <c r="L223" s="3"/>
      <c r="M223" s="3"/>
      <c r="O223" s="3"/>
      <c r="P223" s="3"/>
      <c r="Q223" s="69"/>
      <c r="R223" s="3"/>
      <c r="S223" s="3"/>
      <c r="T223" s="3"/>
      <c r="U223" s="3"/>
      <c r="V223" s="3"/>
      <c r="X223" s="3"/>
    </row>
    <row r="224" spans="1:25" ht="13" x14ac:dyDescent="0.15">
      <c r="A224" s="13">
        <v>43577</v>
      </c>
      <c r="B224" s="3" t="s">
        <v>301</v>
      </c>
      <c r="C224" s="14">
        <v>0.45833333333333331</v>
      </c>
      <c r="D224" s="14">
        <v>0.5</v>
      </c>
      <c r="E224" s="3" t="s">
        <v>347</v>
      </c>
      <c r="H224" s="70">
        <v>0.45833333333333331</v>
      </c>
      <c r="I224" s="3">
        <v>-1.5</v>
      </c>
      <c r="J224" s="3" t="s">
        <v>671</v>
      </c>
      <c r="K224" s="3">
        <v>18</v>
      </c>
      <c r="L224" s="3" t="s">
        <v>660</v>
      </c>
      <c r="M224" s="3" t="s">
        <v>661</v>
      </c>
      <c r="O224" s="3" t="s">
        <v>671</v>
      </c>
      <c r="P224" s="3">
        <v>0</v>
      </c>
      <c r="Q224" s="69">
        <v>43833</v>
      </c>
      <c r="R224" s="3" t="s">
        <v>969</v>
      </c>
      <c r="S224" s="3" t="s">
        <v>662</v>
      </c>
      <c r="T224" s="3" t="s">
        <v>347</v>
      </c>
      <c r="U224" s="3">
        <v>0</v>
      </c>
      <c r="V224" s="3">
        <v>0</v>
      </c>
      <c r="X224" s="3" t="s">
        <v>970</v>
      </c>
    </row>
    <row r="225" spans="1:25" ht="13" x14ac:dyDescent="0.15">
      <c r="A225" s="13">
        <v>43577</v>
      </c>
      <c r="B225" s="3" t="s">
        <v>266</v>
      </c>
      <c r="C225" s="14">
        <v>0.46180555555555558</v>
      </c>
      <c r="D225" s="14">
        <v>0.5</v>
      </c>
      <c r="E225" s="3" t="s">
        <v>418</v>
      </c>
      <c r="H225" s="70">
        <v>0.45833333333333331</v>
      </c>
      <c r="I225" s="3">
        <v>-1.5</v>
      </c>
      <c r="J225" s="3" t="s">
        <v>671</v>
      </c>
      <c r="K225" s="3">
        <v>20</v>
      </c>
      <c r="L225" s="3" t="s">
        <v>660</v>
      </c>
      <c r="M225" s="3" t="s">
        <v>661</v>
      </c>
      <c r="O225" s="3" t="s">
        <v>347</v>
      </c>
      <c r="P225" s="3">
        <v>0</v>
      </c>
      <c r="Q225" s="69">
        <v>43833</v>
      </c>
      <c r="R225" s="3" t="s">
        <v>969</v>
      </c>
      <c r="S225" s="3" t="s">
        <v>662</v>
      </c>
      <c r="T225" s="3" t="s">
        <v>569</v>
      </c>
      <c r="U225" s="3">
        <v>0</v>
      </c>
      <c r="V225" s="3">
        <v>0</v>
      </c>
      <c r="Y225" s="3" t="s">
        <v>971</v>
      </c>
    </row>
    <row r="226" spans="1:25" ht="13" x14ac:dyDescent="0.15">
      <c r="A226" s="13">
        <v>43577</v>
      </c>
      <c r="B226" s="3" t="s">
        <v>293</v>
      </c>
      <c r="C226" s="14">
        <v>0.41736111111111113</v>
      </c>
      <c r="D226" s="14">
        <v>0.45694444444444443</v>
      </c>
      <c r="E226" s="3" t="s">
        <v>496</v>
      </c>
      <c r="H226" s="70">
        <v>0.44236111111111109</v>
      </c>
      <c r="I226" s="3">
        <v>-0.31</v>
      </c>
      <c r="J226" s="3" t="s">
        <v>590</v>
      </c>
      <c r="K226" s="3">
        <v>18</v>
      </c>
      <c r="L226" s="3" t="s">
        <v>660</v>
      </c>
      <c r="M226" s="3" t="s">
        <v>661</v>
      </c>
      <c r="O226" s="3" t="s">
        <v>590</v>
      </c>
      <c r="P226" s="69">
        <v>43835</v>
      </c>
      <c r="Q226" s="69">
        <v>43833</v>
      </c>
      <c r="R226" s="3" t="s">
        <v>293</v>
      </c>
      <c r="S226" s="69">
        <v>43928</v>
      </c>
      <c r="T226" s="3" t="s">
        <v>293</v>
      </c>
      <c r="U226" s="3">
        <v>0</v>
      </c>
      <c r="V226" s="3">
        <v>0</v>
      </c>
      <c r="W226" s="3" t="s">
        <v>972</v>
      </c>
    </row>
    <row r="227" spans="1:25" ht="13" x14ac:dyDescent="0.15">
      <c r="A227" s="13">
        <v>43578</v>
      </c>
      <c r="B227" s="3" t="s">
        <v>201</v>
      </c>
      <c r="C227" s="14">
        <v>0.47916666666666669</v>
      </c>
      <c r="D227" s="14">
        <v>0.51041666666666663</v>
      </c>
      <c r="E227" s="3" t="s">
        <v>418</v>
      </c>
      <c r="H227" s="70">
        <v>0.5</v>
      </c>
      <c r="I227" s="3">
        <v>0.01</v>
      </c>
      <c r="J227" s="3" t="s">
        <v>569</v>
      </c>
      <c r="K227" s="3">
        <v>15</v>
      </c>
      <c r="L227" s="3" t="s">
        <v>668</v>
      </c>
      <c r="M227" s="3" t="s">
        <v>661</v>
      </c>
      <c r="O227" s="3" t="s">
        <v>569</v>
      </c>
      <c r="P227" s="69">
        <v>43835</v>
      </c>
      <c r="Q227" s="69">
        <v>43833</v>
      </c>
      <c r="R227" s="3" t="s">
        <v>569</v>
      </c>
      <c r="S227" s="69">
        <v>44055</v>
      </c>
      <c r="T227" s="3" t="s">
        <v>569</v>
      </c>
      <c r="U227" s="3">
        <v>0</v>
      </c>
      <c r="V227" s="3">
        <v>0</v>
      </c>
      <c r="X227" s="3" t="s">
        <v>973</v>
      </c>
    </row>
    <row r="228" spans="1:25" ht="13" x14ac:dyDescent="0.15">
      <c r="A228" s="13">
        <v>43587</v>
      </c>
      <c r="B228" s="3" t="s">
        <v>499</v>
      </c>
      <c r="C228" s="14">
        <v>0.39444444444444443</v>
      </c>
      <c r="D228" s="14">
        <v>0.42708333333333331</v>
      </c>
      <c r="E228" s="3" t="s">
        <v>418</v>
      </c>
      <c r="H228" s="70">
        <v>0.34791666666666665</v>
      </c>
      <c r="I228" s="3">
        <v>-0.02</v>
      </c>
      <c r="J228" s="3" t="s">
        <v>974</v>
      </c>
      <c r="K228" s="3">
        <v>30</v>
      </c>
      <c r="L228" s="3" t="s">
        <v>668</v>
      </c>
      <c r="M228" s="3" t="s">
        <v>661</v>
      </c>
      <c r="O228" s="3" t="s">
        <v>676</v>
      </c>
      <c r="P228" s="69">
        <v>43992</v>
      </c>
      <c r="Q228" s="69">
        <v>43833</v>
      </c>
      <c r="R228" s="3" t="s">
        <v>974</v>
      </c>
      <c r="S228" s="3" t="s">
        <v>662</v>
      </c>
      <c r="T228" s="3" t="s">
        <v>974</v>
      </c>
      <c r="U228" s="3">
        <v>0</v>
      </c>
      <c r="V228" s="3">
        <v>0</v>
      </c>
      <c r="W228" s="3" t="s">
        <v>891</v>
      </c>
      <c r="X228" s="3" t="s">
        <v>975</v>
      </c>
      <c r="Y228" s="3" t="s">
        <v>976</v>
      </c>
    </row>
    <row r="229" spans="1:25" ht="13" x14ac:dyDescent="0.15">
      <c r="A229" s="13">
        <v>43588</v>
      </c>
      <c r="B229" s="3" t="s">
        <v>250</v>
      </c>
      <c r="C229" s="14">
        <v>0.375</v>
      </c>
      <c r="D229" s="14">
        <v>0.5</v>
      </c>
      <c r="E229" s="3" t="s">
        <v>418</v>
      </c>
      <c r="H229" s="70">
        <v>0.375</v>
      </c>
      <c r="I229" s="3">
        <v>-3</v>
      </c>
      <c r="J229" s="3" t="s">
        <v>977</v>
      </c>
      <c r="K229" s="3">
        <v>65</v>
      </c>
      <c r="L229" s="3" t="s">
        <v>660</v>
      </c>
      <c r="M229" s="3" t="s">
        <v>661</v>
      </c>
      <c r="O229" s="3" t="s">
        <v>749</v>
      </c>
      <c r="P229" s="3" t="s">
        <v>684</v>
      </c>
      <c r="Q229" s="69">
        <v>43833</v>
      </c>
      <c r="R229" s="3" t="s">
        <v>749</v>
      </c>
      <c r="S229" s="3" t="s">
        <v>662</v>
      </c>
      <c r="T229" s="3" t="s">
        <v>749</v>
      </c>
      <c r="U229" s="69">
        <v>43835</v>
      </c>
      <c r="V229" s="69">
        <v>43835</v>
      </c>
      <c r="W229" s="3" t="s">
        <v>789</v>
      </c>
      <c r="X229" s="3" t="s">
        <v>978</v>
      </c>
    </row>
    <row r="230" spans="1:25" ht="13" x14ac:dyDescent="0.15">
      <c r="A230" s="13">
        <v>43588</v>
      </c>
      <c r="B230" s="3" t="s">
        <v>233</v>
      </c>
      <c r="C230" s="14">
        <v>0.3125</v>
      </c>
      <c r="D230" s="14">
        <v>0.45833333333333331</v>
      </c>
      <c r="E230" s="3" t="s">
        <v>321</v>
      </c>
      <c r="F230" s="3" t="s">
        <v>664</v>
      </c>
      <c r="G230" s="3" t="s">
        <v>979</v>
      </c>
      <c r="H230" s="70">
        <v>0.35555555555555557</v>
      </c>
      <c r="I230" s="3">
        <v>-0.183</v>
      </c>
      <c r="J230" s="3" t="s">
        <v>980</v>
      </c>
      <c r="K230" s="3">
        <v>14</v>
      </c>
      <c r="L230" s="3" t="s">
        <v>668</v>
      </c>
      <c r="M230" s="3" t="s">
        <v>664</v>
      </c>
      <c r="N230" s="3">
        <v>0.17</v>
      </c>
      <c r="O230" s="3" t="s">
        <v>981</v>
      </c>
      <c r="P230" s="69">
        <v>44150</v>
      </c>
      <c r="Q230" s="69">
        <v>43833</v>
      </c>
      <c r="R230" s="3" t="s">
        <v>980</v>
      </c>
      <c r="S230" s="69">
        <v>43928</v>
      </c>
      <c r="T230" s="3" t="s">
        <v>980</v>
      </c>
      <c r="U230" s="3">
        <v>0</v>
      </c>
      <c r="V230" s="3">
        <v>0</v>
      </c>
      <c r="W230" s="3" t="s">
        <v>891</v>
      </c>
    </row>
    <row r="231" spans="1:25" ht="13" x14ac:dyDescent="0.15">
      <c r="A231" s="13">
        <v>43591</v>
      </c>
      <c r="B231" s="3" t="s">
        <v>250</v>
      </c>
      <c r="C231" s="14">
        <v>0.40625</v>
      </c>
      <c r="D231" s="14">
        <v>0.47916666666666669</v>
      </c>
      <c r="E231" s="3" t="s">
        <v>418</v>
      </c>
      <c r="H231" s="70">
        <v>0.44166666666666665</v>
      </c>
      <c r="I231" s="3">
        <v>-2.5</v>
      </c>
      <c r="J231" s="3" t="s">
        <v>749</v>
      </c>
      <c r="K231" s="3">
        <v>21</v>
      </c>
      <c r="L231" s="3" t="s">
        <v>660</v>
      </c>
      <c r="M231" s="3" t="s">
        <v>664</v>
      </c>
      <c r="N231" s="3">
        <v>5</v>
      </c>
      <c r="O231" s="3" t="s">
        <v>749</v>
      </c>
      <c r="P231" s="3" t="s">
        <v>680</v>
      </c>
      <c r="Q231" s="69">
        <v>43833</v>
      </c>
      <c r="R231" s="3" t="s">
        <v>749</v>
      </c>
      <c r="S231" s="3" t="s">
        <v>662</v>
      </c>
      <c r="T231" s="3" t="s">
        <v>749</v>
      </c>
      <c r="U231" s="69">
        <v>43835</v>
      </c>
      <c r="V231" s="69">
        <v>44150</v>
      </c>
      <c r="W231" s="3" t="s">
        <v>982</v>
      </c>
      <c r="X231" s="3" t="s">
        <v>983</v>
      </c>
      <c r="Y231" s="3" t="s">
        <v>984</v>
      </c>
    </row>
    <row r="232" spans="1:25" ht="13" x14ac:dyDescent="0.15">
      <c r="A232" s="13">
        <v>43592</v>
      </c>
      <c r="B232" s="3" t="s">
        <v>250</v>
      </c>
      <c r="C232" s="14">
        <v>0.4375</v>
      </c>
      <c r="D232" s="14">
        <v>0.47916666666666669</v>
      </c>
      <c r="E232" s="3" t="s">
        <v>418</v>
      </c>
      <c r="H232" s="70">
        <v>0.46250000000000002</v>
      </c>
      <c r="I232" s="3">
        <v>1</v>
      </c>
      <c r="J232" s="3" t="s">
        <v>749</v>
      </c>
      <c r="K232" s="3">
        <v>19</v>
      </c>
      <c r="L232" s="3" t="s">
        <v>660</v>
      </c>
      <c r="M232" s="3" t="s">
        <v>661</v>
      </c>
      <c r="O232" s="3" t="s">
        <v>749</v>
      </c>
      <c r="P232" s="3">
        <v>0</v>
      </c>
      <c r="Q232" s="69">
        <v>43833</v>
      </c>
      <c r="R232" s="3" t="s">
        <v>749</v>
      </c>
      <c r="S232" s="3" t="s">
        <v>662</v>
      </c>
      <c r="T232" s="3" t="s">
        <v>749</v>
      </c>
      <c r="U232" s="3">
        <v>0</v>
      </c>
      <c r="V232" s="3">
        <v>0</v>
      </c>
      <c r="Y232" s="3" t="s">
        <v>985</v>
      </c>
    </row>
    <row r="233" spans="1:25" ht="13" x14ac:dyDescent="0.15">
      <c r="A233" s="13">
        <v>43593</v>
      </c>
      <c r="B233" s="3" t="s">
        <v>355</v>
      </c>
      <c r="C233" s="14">
        <v>0.38472222222222224</v>
      </c>
      <c r="D233" s="14">
        <v>0.42986111111111114</v>
      </c>
      <c r="E233" s="3" t="s">
        <v>356</v>
      </c>
      <c r="F233" s="3" t="s">
        <v>664</v>
      </c>
      <c r="G233" s="3" t="s">
        <v>39</v>
      </c>
      <c r="H233" s="70">
        <v>0.47083333333333333</v>
      </c>
      <c r="I233" s="3">
        <v>-0.13</v>
      </c>
      <c r="J233" s="3" t="s">
        <v>674</v>
      </c>
      <c r="K233" s="3">
        <v>29</v>
      </c>
      <c r="L233" s="3" t="s">
        <v>660</v>
      </c>
      <c r="M233" s="3" t="s">
        <v>661</v>
      </c>
      <c r="O233" s="3" t="s">
        <v>769</v>
      </c>
      <c r="P233" s="3" t="s">
        <v>684</v>
      </c>
      <c r="Q233" s="69">
        <v>43833</v>
      </c>
      <c r="R233" s="3" t="s">
        <v>569</v>
      </c>
      <c r="S233" s="69">
        <v>43928</v>
      </c>
      <c r="T233" s="3" t="s">
        <v>569</v>
      </c>
      <c r="U233" s="3">
        <v>0</v>
      </c>
      <c r="V233" s="69">
        <v>43835</v>
      </c>
      <c r="W233" s="3" t="s">
        <v>758</v>
      </c>
      <c r="X233" s="3" t="s">
        <v>986</v>
      </c>
    </row>
    <row r="234" spans="1:25" ht="13" x14ac:dyDescent="0.15">
      <c r="A234" s="13">
        <v>43602</v>
      </c>
      <c r="B234" s="3" t="s">
        <v>489</v>
      </c>
      <c r="C234" s="14">
        <v>0.36458333333333331</v>
      </c>
      <c r="D234" s="14">
        <v>0.44791666666666669</v>
      </c>
      <c r="E234" s="3" t="s">
        <v>418</v>
      </c>
      <c r="H234" s="70">
        <v>0.35694444444444445</v>
      </c>
      <c r="I234" s="3">
        <v>-0.37</v>
      </c>
      <c r="J234" s="3" t="s">
        <v>678</v>
      </c>
      <c r="K234" s="3">
        <v>10</v>
      </c>
      <c r="L234" s="3" t="s">
        <v>660</v>
      </c>
      <c r="M234" s="3" t="s">
        <v>661</v>
      </c>
      <c r="O234" s="3" t="s">
        <v>678</v>
      </c>
      <c r="P234" s="69">
        <v>43835</v>
      </c>
      <c r="Q234" s="69">
        <v>43833</v>
      </c>
      <c r="R234" s="3" t="s">
        <v>678</v>
      </c>
      <c r="S234" s="69">
        <v>43833</v>
      </c>
      <c r="T234" s="3" t="s">
        <v>875</v>
      </c>
      <c r="U234" s="3">
        <v>0</v>
      </c>
      <c r="V234" s="3">
        <v>0</v>
      </c>
      <c r="X234" s="3" t="s">
        <v>987</v>
      </c>
    </row>
    <row r="235" spans="1:25" ht="13" x14ac:dyDescent="0.15">
      <c r="A235" s="13">
        <v>43602</v>
      </c>
      <c r="B235" s="3" t="s">
        <v>244</v>
      </c>
      <c r="C235" s="14">
        <v>0.35416666666666669</v>
      </c>
      <c r="D235" s="14">
        <v>0.4375</v>
      </c>
      <c r="E235" s="3" t="s">
        <v>503</v>
      </c>
      <c r="F235" s="3" t="s">
        <v>664</v>
      </c>
      <c r="G235" s="3" t="s">
        <v>703</v>
      </c>
      <c r="H235" s="70">
        <v>0.36319444444444443</v>
      </c>
      <c r="I235" s="3">
        <v>-0.4</v>
      </c>
      <c r="J235" s="3" t="s">
        <v>988</v>
      </c>
      <c r="K235" s="3">
        <v>15</v>
      </c>
      <c r="L235" s="3" t="s">
        <v>660</v>
      </c>
      <c r="M235" s="3" t="s">
        <v>661</v>
      </c>
      <c r="O235" s="3" t="s">
        <v>569</v>
      </c>
      <c r="P235" s="3" t="s">
        <v>698</v>
      </c>
      <c r="Q235" s="69">
        <v>43833</v>
      </c>
      <c r="R235" s="3" t="s">
        <v>989</v>
      </c>
      <c r="S235" s="69">
        <v>43928</v>
      </c>
      <c r="T235" s="3" t="s">
        <v>569</v>
      </c>
      <c r="U235" s="3">
        <v>0</v>
      </c>
      <c r="V235" s="3">
        <v>0</v>
      </c>
      <c r="W235" s="3" t="s">
        <v>990</v>
      </c>
    </row>
    <row r="236" spans="1:25" ht="13" x14ac:dyDescent="0.15">
      <c r="A236" s="13">
        <v>43602</v>
      </c>
      <c r="B236" s="3" t="s">
        <v>377</v>
      </c>
      <c r="C236" s="14">
        <v>0.3888888888888889</v>
      </c>
      <c r="D236" s="14">
        <v>0.45833333333333331</v>
      </c>
      <c r="E236" s="3" t="s">
        <v>704</v>
      </c>
      <c r="H236" s="70">
        <v>0.3611111111111111</v>
      </c>
      <c r="I236" s="3">
        <v>-0.2</v>
      </c>
      <c r="J236" s="3" t="s">
        <v>991</v>
      </c>
      <c r="K236" s="3">
        <v>24</v>
      </c>
      <c r="L236" s="3" t="s">
        <v>668</v>
      </c>
      <c r="M236" s="3" t="s">
        <v>664</v>
      </c>
      <c r="N236" s="3">
        <v>0.24</v>
      </c>
      <c r="O236" s="3" t="s">
        <v>992</v>
      </c>
      <c r="P236" s="3" t="s">
        <v>684</v>
      </c>
      <c r="Q236" s="69">
        <v>43833</v>
      </c>
      <c r="R236" s="3" t="s">
        <v>880</v>
      </c>
      <c r="S236" s="69">
        <v>43928</v>
      </c>
      <c r="T236" s="3" t="s">
        <v>676</v>
      </c>
      <c r="U236" s="3">
        <v>0</v>
      </c>
      <c r="V236" s="3">
        <v>0</v>
      </c>
      <c r="X236" s="3" t="s">
        <v>993</v>
      </c>
    </row>
    <row r="237" spans="1:25" ht="13" x14ac:dyDescent="0.15">
      <c r="A237" s="13">
        <v>43605</v>
      </c>
      <c r="B237" s="3" t="s">
        <v>307</v>
      </c>
      <c r="C237" s="14">
        <v>0.40625</v>
      </c>
      <c r="D237" s="14">
        <v>0.46875</v>
      </c>
      <c r="E237" s="3" t="s">
        <v>308</v>
      </c>
      <c r="H237" s="70">
        <v>0.39652777777777776</v>
      </c>
      <c r="I237" s="3">
        <v>-0.5</v>
      </c>
      <c r="J237" s="3" t="s">
        <v>590</v>
      </c>
      <c r="K237" s="3">
        <v>27</v>
      </c>
      <c r="L237" s="3" t="s">
        <v>660</v>
      </c>
      <c r="M237" s="3" t="s">
        <v>664</v>
      </c>
      <c r="N237" s="3">
        <v>0.11</v>
      </c>
      <c r="O237" s="3" t="s">
        <v>810</v>
      </c>
      <c r="P237" s="3">
        <v>0</v>
      </c>
      <c r="Q237" s="69">
        <v>43833</v>
      </c>
      <c r="R237" s="3" t="s">
        <v>590</v>
      </c>
      <c r="S237" s="3" t="s">
        <v>662</v>
      </c>
      <c r="T237" s="3" t="s">
        <v>590</v>
      </c>
      <c r="U237" s="3">
        <v>0</v>
      </c>
      <c r="V237" s="3">
        <v>0</v>
      </c>
    </row>
    <row r="238" spans="1:25" ht="13" x14ac:dyDescent="0.15">
      <c r="A238" s="13">
        <v>43734</v>
      </c>
      <c r="B238" s="3" t="s">
        <v>329</v>
      </c>
      <c r="C238" s="14">
        <v>0.375</v>
      </c>
      <c r="D238" s="14">
        <v>0.39166666666666666</v>
      </c>
      <c r="E238" s="3" t="s">
        <v>286</v>
      </c>
      <c r="H238" s="70">
        <v>0.32777777777777778</v>
      </c>
      <c r="I238" s="3">
        <v>0.12</v>
      </c>
      <c r="J238" s="3" t="s">
        <v>994</v>
      </c>
      <c r="K238" s="3">
        <v>8</v>
      </c>
      <c r="L238" s="3" t="s">
        <v>668</v>
      </c>
      <c r="M238" s="3" t="s">
        <v>664</v>
      </c>
      <c r="O238" s="3" t="s">
        <v>724</v>
      </c>
      <c r="P238" s="3">
        <v>0</v>
      </c>
      <c r="Q238" s="69">
        <v>43927</v>
      </c>
      <c r="R238" s="3" t="s">
        <v>883</v>
      </c>
      <c r="S238" s="69">
        <v>43928</v>
      </c>
      <c r="T238" s="3" t="s">
        <v>995</v>
      </c>
      <c r="U238" s="3">
        <v>0</v>
      </c>
      <c r="V238" s="3">
        <v>0</v>
      </c>
    </row>
    <row r="239" spans="1:25" ht="13" x14ac:dyDescent="0.15">
      <c r="A239" s="13">
        <v>43735</v>
      </c>
      <c r="B239" s="3" t="s">
        <v>329</v>
      </c>
      <c r="C239" s="14">
        <v>0.37291666666666667</v>
      </c>
      <c r="D239" s="14">
        <v>0.38958333333333334</v>
      </c>
      <c r="E239" s="3" t="s">
        <v>286</v>
      </c>
      <c r="F239" s="3" t="s">
        <v>661</v>
      </c>
      <c r="H239" s="70">
        <v>0.36249999999999999</v>
      </c>
      <c r="I239" s="3">
        <v>0.03</v>
      </c>
      <c r="J239" s="3" t="s">
        <v>855</v>
      </c>
      <c r="K239" s="3">
        <v>26</v>
      </c>
      <c r="L239" s="3" t="s">
        <v>687</v>
      </c>
      <c r="M239" s="3" t="s">
        <v>664</v>
      </c>
      <c r="O239" s="3" t="s">
        <v>724</v>
      </c>
      <c r="P239" s="3">
        <v>0</v>
      </c>
      <c r="Q239" s="69">
        <v>43927</v>
      </c>
      <c r="R239" s="3" t="s">
        <v>883</v>
      </c>
      <c r="S239" s="69">
        <v>43928</v>
      </c>
      <c r="T239" s="3" t="s">
        <v>995</v>
      </c>
      <c r="U239" s="3">
        <v>0</v>
      </c>
      <c r="V239" s="3">
        <v>0</v>
      </c>
    </row>
    <row r="240" spans="1:25" ht="16" x14ac:dyDescent="0.2">
      <c r="A240" s="33">
        <v>43839</v>
      </c>
      <c r="B240" s="4" t="s">
        <v>366</v>
      </c>
      <c r="C240" s="34">
        <v>0.45138888888888901</v>
      </c>
      <c r="D240" s="34">
        <v>0.48611111111111099</v>
      </c>
      <c r="E240" s="4" t="s">
        <v>508</v>
      </c>
      <c r="F240" s="3" t="s">
        <v>661</v>
      </c>
      <c r="H240" s="70">
        <v>0.41875000000000001</v>
      </c>
      <c r="I240" s="3">
        <v>0.4</v>
      </c>
      <c r="J240" s="3" t="s">
        <v>678</v>
      </c>
      <c r="K240" s="3">
        <v>19</v>
      </c>
      <c r="L240" s="3" t="s">
        <v>660</v>
      </c>
      <c r="M240" s="3" t="s">
        <v>661</v>
      </c>
      <c r="O240" s="3" t="s">
        <v>678</v>
      </c>
      <c r="P240" s="69">
        <v>43992</v>
      </c>
      <c r="Q240" s="69">
        <v>43833</v>
      </c>
      <c r="R240" s="3" t="s">
        <v>678</v>
      </c>
      <c r="S240" s="69">
        <v>43928</v>
      </c>
      <c r="T240" s="3" t="s">
        <v>678</v>
      </c>
      <c r="U240" s="3">
        <v>0</v>
      </c>
      <c r="V240" s="3">
        <v>0</v>
      </c>
    </row>
    <row r="241" spans="1:25" ht="16" x14ac:dyDescent="0.2">
      <c r="A241" s="33">
        <v>43840</v>
      </c>
      <c r="B241" s="4" t="s">
        <v>511</v>
      </c>
      <c r="C241" s="34">
        <v>0.42499999999999999</v>
      </c>
      <c r="D241" s="34">
        <v>0.46180555555555602</v>
      </c>
      <c r="E241" s="4" t="s">
        <v>508</v>
      </c>
      <c r="F241" s="3" t="s">
        <v>664</v>
      </c>
      <c r="G241" s="3" t="s">
        <v>39</v>
      </c>
      <c r="H241" s="70">
        <v>0.44583333333333336</v>
      </c>
      <c r="I241" s="3">
        <v>0.4</v>
      </c>
      <c r="J241" s="3" t="s">
        <v>678</v>
      </c>
      <c r="K241" s="3">
        <v>21</v>
      </c>
      <c r="L241" s="3" t="s">
        <v>660</v>
      </c>
      <c r="M241" s="3" t="s">
        <v>664</v>
      </c>
      <c r="O241" s="3" t="s">
        <v>678</v>
      </c>
      <c r="P241" s="69">
        <v>43992</v>
      </c>
      <c r="Q241" s="69">
        <v>43833</v>
      </c>
      <c r="R241" s="3" t="s">
        <v>678</v>
      </c>
      <c r="S241" s="69">
        <v>43833</v>
      </c>
      <c r="T241" s="3" t="s">
        <v>678</v>
      </c>
      <c r="U241" s="3">
        <v>0</v>
      </c>
      <c r="V241" s="3">
        <v>0</v>
      </c>
    </row>
    <row r="242" spans="1:25" ht="16" x14ac:dyDescent="0.2">
      <c r="A242" s="35">
        <v>43868</v>
      </c>
      <c r="B242" s="4" t="s">
        <v>511</v>
      </c>
      <c r="C242" s="34">
        <v>0.420833333333333</v>
      </c>
      <c r="D242" s="34">
        <v>0.45138888888888901</v>
      </c>
      <c r="E242" s="3" t="s">
        <v>508</v>
      </c>
      <c r="F242" s="3" t="s">
        <v>664</v>
      </c>
      <c r="G242" s="3" t="s">
        <v>996</v>
      </c>
      <c r="H242" s="70">
        <v>0.40555555555555556</v>
      </c>
      <c r="I242" s="3">
        <v>0.3</v>
      </c>
      <c r="J242" s="3" t="s">
        <v>678</v>
      </c>
      <c r="K242" s="3">
        <v>19</v>
      </c>
      <c r="L242" s="3" t="s">
        <v>660</v>
      </c>
      <c r="M242" s="3" t="s">
        <v>664</v>
      </c>
      <c r="O242" s="3" t="s">
        <v>678</v>
      </c>
      <c r="P242" s="69">
        <v>43992</v>
      </c>
      <c r="Q242" s="69">
        <v>43833</v>
      </c>
      <c r="R242" s="3" t="s">
        <v>774</v>
      </c>
      <c r="S242" s="69">
        <v>43833</v>
      </c>
      <c r="T242" s="3" t="s">
        <v>678</v>
      </c>
      <c r="U242" s="3">
        <v>0</v>
      </c>
      <c r="V242" s="3">
        <v>0</v>
      </c>
    </row>
    <row r="243" spans="1:25" ht="16" x14ac:dyDescent="0.2">
      <c r="A243" s="13">
        <v>43882</v>
      </c>
      <c r="B243" s="3" t="s">
        <v>340</v>
      </c>
      <c r="C243" s="34">
        <v>0.41875000000000001</v>
      </c>
      <c r="D243" s="34">
        <v>0.44444444444444398</v>
      </c>
      <c r="E243" s="4" t="s">
        <v>508</v>
      </c>
      <c r="H243" s="70">
        <v>0.40625</v>
      </c>
      <c r="I243" s="3">
        <v>0.3</v>
      </c>
      <c r="J243" s="3" t="s">
        <v>678</v>
      </c>
      <c r="K243" s="3">
        <v>18</v>
      </c>
      <c r="L243" s="3" t="s">
        <v>660</v>
      </c>
      <c r="M243" s="3" t="s">
        <v>661</v>
      </c>
      <c r="O243" s="3" t="s">
        <v>678</v>
      </c>
      <c r="P243" s="3">
        <v>0</v>
      </c>
      <c r="Q243" s="69">
        <v>43833</v>
      </c>
      <c r="R243" s="3" t="s">
        <v>678</v>
      </c>
      <c r="S243" s="69">
        <v>43833</v>
      </c>
      <c r="T243" s="3" t="s">
        <v>678</v>
      </c>
      <c r="U243" s="3">
        <v>0</v>
      </c>
      <c r="V243" s="3">
        <v>0</v>
      </c>
    </row>
    <row r="244" spans="1:25" ht="16" x14ac:dyDescent="0.2">
      <c r="A244" s="35">
        <v>43885</v>
      </c>
      <c r="B244" s="3" t="s">
        <v>233</v>
      </c>
      <c r="C244" s="34">
        <v>0.47569444444444398</v>
      </c>
      <c r="D244" s="34">
        <v>0.51041666666666663</v>
      </c>
      <c r="E244" s="3" t="s">
        <v>286</v>
      </c>
      <c r="F244" s="3" t="s">
        <v>661</v>
      </c>
      <c r="H244" s="70">
        <v>0.47083333333333333</v>
      </c>
      <c r="I244" s="3">
        <v>0</v>
      </c>
      <c r="J244" s="3" t="s">
        <v>930</v>
      </c>
      <c r="K244" s="3">
        <v>20</v>
      </c>
      <c r="L244" s="3" t="s">
        <v>660</v>
      </c>
      <c r="M244" s="3" t="s">
        <v>661</v>
      </c>
      <c r="O244" s="3" t="s">
        <v>724</v>
      </c>
      <c r="P244" s="3">
        <v>0</v>
      </c>
      <c r="Q244" s="69">
        <v>43833</v>
      </c>
      <c r="R244" s="3" t="s">
        <v>930</v>
      </c>
      <c r="S244" s="69">
        <v>43833</v>
      </c>
      <c r="T244" s="3" t="s">
        <v>930</v>
      </c>
      <c r="U244" s="3">
        <v>0</v>
      </c>
      <c r="V244" s="3">
        <v>0</v>
      </c>
      <c r="W244" s="3" t="s">
        <v>972</v>
      </c>
      <c r="X244" s="3" t="s">
        <v>997</v>
      </c>
      <c r="Y244" s="3" t="s">
        <v>998</v>
      </c>
    </row>
    <row r="245" spans="1:25" ht="16" x14ac:dyDescent="0.2">
      <c r="A245" s="37">
        <v>43893</v>
      </c>
      <c r="B245" s="4" t="s">
        <v>244</v>
      </c>
      <c r="C245" s="38">
        <v>0.39583333333333298</v>
      </c>
      <c r="D245" s="38">
        <v>0.45833333333333298</v>
      </c>
      <c r="E245" s="4" t="s">
        <v>326</v>
      </c>
      <c r="F245" s="3" t="s">
        <v>664</v>
      </c>
      <c r="G245" s="3" t="s">
        <v>999</v>
      </c>
      <c r="H245" s="70">
        <v>0.3125</v>
      </c>
      <c r="I245" s="3">
        <v>0.5</v>
      </c>
      <c r="J245" s="3" t="s">
        <v>219</v>
      </c>
      <c r="K245" s="3">
        <v>19</v>
      </c>
      <c r="L245" s="3" t="s">
        <v>660</v>
      </c>
      <c r="M245" s="3" t="s">
        <v>664</v>
      </c>
      <c r="N245" s="3">
        <v>2</v>
      </c>
      <c r="O245" s="3" t="s">
        <v>219</v>
      </c>
      <c r="P245" s="69">
        <v>43992</v>
      </c>
      <c r="Q245" s="69">
        <v>43833</v>
      </c>
      <c r="R245" s="3" t="s">
        <v>219</v>
      </c>
      <c r="S245" s="3" t="s">
        <v>662</v>
      </c>
      <c r="T245" s="3" t="s">
        <v>219</v>
      </c>
      <c r="U245" s="69">
        <v>43835</v>
      </c>
      <c r="V245" s="3">
        <v>0</v>
      </c>
      <c r="Y245" s="3" t="s">
        <v>1000</v>
      </c>
    </row>
    <row r="246" spans="1:25" ht="16" x14ac:dyDescent="0.2">
      <c r="A246" s="37">
        <v>43901</v>
      </c>
      <c r="B246" s="4" t="s">
        <v>456</v>
      </c>
      <c r="C246" s="38">
        <v>0.375694444444444</v>
      </c>
      <c r="D246" s="38">
        <v>0.41666666666666702</v>
      </c>
      <c r="E246" s="4" t="s">
        <v>469</v>
      </c>
      <c r="H246" s="70">
        <v>0.42638888888888887</v>
      </c>
      <c r="I246" s="3">
        <v>0.06</v>
      </c>
      <c r="J246" s="3" t="s">
        <v>769</v>
      </c>
      <c r="K246" s="3">
        <v>14</v>
      </c>
      <c r="L246" s="3" t="s">
        <v>660</v>
      </c>
      <c r="M246" s="3" t="s">
        <v>664</v>
      </c>
      <c r="N246" s="3">
        <v>0.09</v>
      </c>
      <c r="O246" s="3" t="s">
        <v>1001</v>
      </c>
      <c r="P246" s="69">
        <v>43992</v>
      </c>
      <c r="Q246" s="69">
        <v>43927</v>
      </c>
      <c r="R246" s="3" t="s">
        <v>1002</v>
      </c>
      <c r="S246" s="69">
        <v>43833</v>
      </c>
      <c r="T246" s="3" t="s">
        <v>1001</v>
      </c>
      <c r="U246" s="3">
        <v>0</v>
      </c>
      <c r="V246" s="3">
        <v>0</v>
      </c>
    </row>
    <row r="247" spans="1:25" ht="16" x14ac:dyDescent="0.2">
      <c r="A247" s="13">
        <v>43902</v>
      </c>
      <c r="B247" s="3" t="s">
        <v>456</v>
      </c>
      <c r="C247" s="38">
        <v>0.41666666666666669</v>
      </c>
      <c r="D247" s="38">
        <v>0.48958333333333331</v>
      </c>
      <c r="E247" s="3" t="s">
        <v>607</v>
      </c>
      <c r="H247" s="70">
        <v>0.40416666666666667</v>
      </c>
      <c r="I247" s="3">
        <v>-3</v>
      </c>
      <c r="J247" s="3" t="s">
        <v>769</v>
      </c>
      <c r="K247" s="3">
        <v>5</v>
      </c>
      <c r="L247" s="3" t="s">
        <v>764</v>
      </c>
      <c r="M247" s="3" t="s">
        <v>664</v>
      </c>
      <c r="N247" s="3">
        <v>2</v>
      </c>
      <c r="O247" s="3" t="s">
        <v>569</v>
      </c>
      <c r="P247" s="69">
        <v>43992</v>
      </c>
      <c r="Q247" s="69">
        <v>43833</v>
      </c>
      <c r="R247" s="3" t="s">
        <v>569</v>
      </c>
      <c r="S247" s="69">
        <v>43833</v>
      </c>
      <c r="T247" s="3" t="s">
        <v>569</v>
      </c>
      <c r="U247" s="69">
        <v>43835</v>
      </c>
      <c r="V247" s="69">
        <v>43835</v>
      </c>
      <c r="W247" s="3" t="s">
        <v>758</v>
      </c>
      <c r="X247" s="3" t="s">
        <v>1003</v>
      </c>
    </row>
    <row r="248" spans="1:25" ht="13" x14ac:dyDescent="0.15">
      <c r="C248" s="14">
        <v>0</v>
      </c>
      <c r="D248" s="14">
        <v>4.1666666666666664E-2</v>
      </c>
      <c r="E248" s="3" t="s">
        <v>197</v>
      </c>
    </row>
    <row r="249" spans="1:25" ht="13" x14ac:dyDescent="0.15">
      <c r="J249" s="3" t="s">
        <v>1004</v>
      </c>
      <c r="K249" s="3">
        <f>SUM(K47:K247)</f>
        <v>3414</v>
      </c>
    </row>
    <row r="250" spans="1:25" ht="13" x14ac:dyDescent="0.15">
      <c r="J250" s="3" t="s">
        <v>1005</v>
      </c>
      <c r="K250" s="3">
        <f>COUNT(K47:K247)</f>
        <v>188</v>
      </c>
    </row>
    <row r="251" spans="1:25" ht="13" x14ac:dyDescent="0.15">
      <c r="J251" s="3" t="s">
        <v>1006</v>
      </c>
      <c r="K251" s="3">
        <f>K249/K250</f>
        <v>18.159574468085108</v>
      </c>
    </row>
    <row r="252" spans="1:25" ht="13" x14ac:dyDescent="0.15">
      <c r="J252" s="3" t="s">
        <v>1007</v>
      </c>
      <c r="K252" s="3">
        <f>COUNT(K3:K46)</f>
        <v>44</v>
      </c>
    </row>
    <row r="253" spans="1:25" ht="13" x14ac:dyDescent="0.15">
      <c r="J253" s="3" t="s">
        <v>1008</v>
      </c>
      <c r="K253" s="3">
        <f>K249+(K252*K251)</f>
        <v>4213.0212765957449</v>
      </c>
    </row>
  </sheetData>
  <hyperlinks>
    <hyperlink ref="J88" r:id="rId1" xr:uid="{00000000-0004-0000-0600-000000000000}"/>
    <hyperlink ref="O88" r:id="rId2" xr:uid="{00000000-0004-0000-0600-000001000000}"/>
    <hyperlink ref="R88" r:id="rId3" xr:uid="{00000000-0004-0000-0600-000002000000}"/>
    <hyperlink ref="T88" r:id="rId4" xr:uid="{00000000-0004-0000-0600-000003000000}"/>
    <hyperlink ref="J94" r:id="rId5" xr:uid="{00000000-0004-0000-0600-000004000000}"/>
    <hyperlink ref="O94" r:id="rId6" xr:uid="{00000000-0004-0000-0600-000005000000}"/>
    <hyperlink ref="R94" r:id="rId7" xr:uid="{00000000-0004-0000-0600-000006000000}"/>
    <hyperlink ref="T94" r:id="rId8" xr:uid="{00000000-0004-0000-0600-000007000000}"/>
    <hyperlink ref="J96" r:id="rId9" xr:uid="{00000000-0004-0000-0600-000008000000}"/>
    <hyperlink ref="O96" r:id="rId10" xr:uid="{00000000-0004-0000-0600-000009000000}"/>
    <hyperlink ref="R96" r:id="rId11" xr:uid="{00000000-0004-0000-0600-00000A000000}"/>
    <hyperlink ref="T96" r:id="rId12" xr:uid="{00000000-0004-0000-0600-00000B000000}"/>
    <hyperlink ref="J111" r:id="rId13" xr:uid="{00000000-0004-0000-0600-00000C000000}"/>
    <hyperlink ref="O111" r:id="rId14" xr:uid="{00000000-0004-0000-0600-00000D000000}"/>
    <hyperlink ref="R111" r:id="rId15" xr:uid="{00000000-0004-0000-0600-00000E000000}"/>
    <hyperlink ref="T111" r:id="rId16" xr:uid="{00000000-0004-0000-0600-00000F000000}"/>
    <hyperlink ref="J114" r:id="rId17" xr:uid="{00000000-0004-0000-0600-000010000000}"/>
    <hyperlink ref="O114" r:id="rId18" xr:uid="{00000000-0004-0000-0600-000011000000}"/>
    <hyperlink ref="R114" r:id="rId19" xr:uid="{00000000-0004-0000-0600-000012000000}"/>
    <hyperlink ref="T114" r:id="rId20" xr:uid="{00000000-0004-0000-0600-000013000000}"/>
    <hyperlink ref="J126" r:id="rId21" xr:uid="{00000000-0004-0000-0600-000014000000}"/>
    <hyperlink ref="O126" r:id="rId22" xr:uid="{00000000-0004-0000-0600-000015000000}"/>
    <hyperlink ref="R126" r:id="rId23" xr:uid="{00000000-0004-0000-0600-000016000000}"/>
    <hyperlink ref="T126" r:id="rId24" xr:uid="{00000000-0004-0000-0600-000017000000}"/>
    <hyperlink ref="J131" r:id="rId25" xr:uid="{00000000-0004-0000-0600-000018000000}"/>
    <hyperlink ref="O131" r:id="rId26" xr:uid="{00000000-0004-0000-0600-000019000000}"/>
    <hyperlink ref="R131" r:id="rId27" xr:uid="{00000000-0004-0000-0600-00001A000000}"/>
    <hyperlink ref="T131" r:id="rId28" xr:uid="{00000000-0004-0000-0600-00001B000000}"/>
    <hyperlink ref="J174" r:id="rId29" xr:uid="{00000000-0004-0000-0600-00001C000000}"/>
    <hyperlink ref="O174" r:id="rId30" xr:uid="{00000000-0004-0000-0600-00001D000000}"/>
    <hyperlink ref="R174" r:id="rId31" xr:uid="{00000000-0004-0000-0600-00001E000000}"/>
    <hyperlink ref="T174" r:id="rId32" xr:uid="{00000000-0004-0000-0600-00001F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186"/>
  <sheetViews>
    <sheetView workbookViewId="0"/>
  </sheetViews>
  <sheetFormatPr baseColWidth="10" defaultColWidth="12.6640625" defaultRowHeight="15.75" customHeight="1" x14ac:dyDescent="0.15"/>
  <cols>
    <col min="1" max="1" width="9.6640625" customWidth="1"/>
    <col min="2" max="2" width="17.83203125" customWidth="1"/>
    <col min="3" max="4" width="23.1640625" customWidth="1"/>
    <col min="5" max="5" width="15" customWidth="1"/>
  </cols>
  <sheetData>
    <row r="1" spans="1:8" ht="15.75" customHeight="1" x14ac:dyDescent="0.15">
      <c r="A1" s="3" t="s">
        <v>6</v>
      </c>
      <c r="B1" s="3" t="s">
        <v>7</v>
      </c>
      <c r="C1" s="3" t="s">
        <v>10</v>
      </c>
      <c r="D1" s="3" t="s">
        <v>912</v>
      </c>
      <c r="E1" s="76" t="s">
        <v>913</v>
      </c>
      <c r="F1" s="48" t="s">
        <v>568</v>
      </c>
    </row>
    <row r="2" spans="1:8" ht="15.75" customHeight="1" x14ac:dyDescent="0.15">
      <c r="A2" s="13">
        <v>43564</v>
      </c>
      <c r="B2" s="3" t="s">
        <v>456</v>
      </c>
      <c r="C2" s="3" t="s">
        <v>469</v>
      </c>
      <c r="D2" s="3">
        <v>5</v>
      </c>
      <c r="E2" s="3">
        <v>0.68403361344537816</v>
      </c>
      <c r="F2" s="23">
        <v>7.3723220000000006E-2</v>
      </c>
    </row>
    <row r="3" spans="1:8" ht="16" x14ac:dyDescent="0.2">
      <c r="A3" s="37">
        <v>43901</v>
      </c>
      <c r="B3" s="4" t="s">
        <v>456</v>
      </c>
      <c r="C3" s="4" t="s">
        <v>469</v>
      </c>
      <c r="D3" s="3">
        <v>5</v>
      </c>
      <c r="E3" s="3">
        <v>0.24251688588695341</v>
      </c>
      <c r="F3" s="23">
        <v>0.33947092000000001</v>
      </c>
    </row>
    <row r="4" spans="1:8" ht="15.75" customHeight="1" x14ac:dyDescent="0.15">
      <c r="A4" s="13">
        <v>42804</v>
      </c>
      <c r="B4" s="3" t="s">
        <v>219</v>
      </c>
      <c r="C4" s="3" t="s">
        <v>333</v>
      </c>
      <c r="D4" s="3">
        <v>29</v>
      </c>
      <c r="E4" s="3">
        <v>0.84733735077147099</v>
      </c>
      <c r="F4" s="53">
        <v>0.35400563000000002</v>
      </c>
    </row>
    <row r="5" spans="1:8" ht="15.75" customHeight="1" x14ac:dyDescent="0.15">
      <c r="A5" s="13">
        <v>43160</v>
      </c>
      <c r="B5" s="3" t="s">
        <v>219</v>
      </c>
      <c r="C5" s="3" t="s">
        <v>333</v>
      </c>
      <c r="D5" s="3">
        <v>33</v>
      </c>
      <c r="E5" s="3">
        <v>0.83583384307401432</v>
      </c>
      <c r="F5" s="53">
        <v>0.16377199000000001</v>
      </c>
    </row>
    <row r="6" spans="1:8" ht="15.75" customHeight="1" x14ac:dyDescent="0.15">
      <c r="A6" s="77">
        <v>43230</v>
      </c>
      <c r="B6" s="78" t="s">
        <v>201</v>
      </c>
      <c r="C6" s="78" t="s">
        <v>299</v>
      </c>
      <c r="D6" s="78">
        <v>15</v>
      </c>
      <c r="E6" s="78">
        <v>0.69913764031411096</v>
      </c>
      <c r="F6" s="79">
        <v>0.22559835</v>
      </c>
    </row>
    <row r="7" spans="1:8" ht="15.75" customHeight="1" x14ac:dyDescent="0.15">
      <c r="A7" s="77">
        <v>43231</v>
      </c>
      <c r="B7" s="78" t="s">
        <v>201</v>
      </c>
      <c r="C7" s="78" t="s">
        <v>299</v>
      </c>
      <c r="D7" s="78">
        <v>24</v>
      </c>
      <c r="E7" s="78">
        <v>0.80658566547660182</v>
      </c>
      <c r="F7" s="79">
        <v>0.17503922</v>
      </c>
    </row>
    <row r="8" spans="1:8" ht="15.75" customHeight="1" x14ac:dyDescent="0.15">
      <c r="A8" s="77">
        <v>42852</v>
      </c>
      <c r="B8" s="78" t="s">
        <v>201</v>
      </c>
      <c r="C8" s="78" t="s">
        <v>389</v>
      </c>
      <c r="D8" s="78">
        <v>11</v>
      </c>
      <c r="E8" s="78">
        <v>0.6983904020042444</v>
      </c>
      <c r="F8" s="79">
        <v>0.3351364</v>
      </c>
    </row>
    <row r="9" spans="1:8" ht="15.75" customHeight="1" x14ac:dyDescent="0.15">
      <c r="A9" s="77">
        <v>43214</v>
      </c>
      <c r="B9" s="78" t="s">
        <v>201</v>
      </c>
      <c r="C9" s="78" t="s">
        <v>422</v>
      </c>
      <c r="D9" s="78">
        <v>21</v>
      </c>
      <c r="E9" s="78">
        <v>0.54889783602185904</v>
      </c>
      <c r="F9" s="79">
        <v>0.36747220000000003</v>
      </c>
    </row>
    <row r="10" spans="1:8" ht="15.75" customHeight="1" x14ac:dyDescent="0.15">
      <c r="A10" s="77">
        <v>42804</v>
      </c>
      <c r="B10" s="78" t="s">
        <v>201</v>
      </c>
      <c r="C10" s="78" t="s">
        <v>325</v>
      </c>
      <c r="D10" s="78">
        <v>13</v>
      </c>
      <c r="E10" s="78">
        <v>0.63478651898134997</v>
      </c>
      <c r="F10" s="79">
        <v>0.4088852</v>
      </c>
    </row>
    <row r="11" spans="1:8" ht="15.75" customHeight="1" x14ac:dyDescent="0.15">
      <c r="A11" s="77">
        <v>43238</v>
      </c>
      <c r="B11" s="78" t="s">
        <v>201</v>
      </c>
      <c r="C11" s="78" t="s">
        <v>325</v>
      </c>
      <c r="D11" s="78">
        <v>25</v>
      </c>
      <c r="E11" s="78">
        <v>0.60154396535492372</v>
      </c>
      <c r="F11" s="79">
        <v>-4.1383046999999999E-2</v>
      </c>
    </row>
    <row r="12" spans="1:8" ht="15.75" customHeight="1" x14ac:dyDescent="0.15">
      <c r="A12" s="77">
        <v>43571</v>
      </c>
      <c r="B12" s="78" t="s">
        <v>201</v>
      </c>
      <c r="C12" s="78" t="s">
        <v>477</v>
      </c>
      <c r="D12" s="78">
        <v>16</v>
      </c>
      <c r="E12" s="78">
        <v>0.85513262835077086</v>
      </c>
      <c r="F12" s="80">
        <v>1.0084723E-2</v>
      </c>
    </row>
    <row r="13" spans="1:8" ht="15.75" customHeight="1" x14ac:dyDescent="0.15">
      <c r="A13" s="77">
        <v>43572</v>
      </c>
      <c r="B13" s="78" t="s">
        <v>201</v>
      </c>
      <c r="C13" s="78" t="s">
        <v>477</v>
      </c>
      <c r="D13" s="78">
        <v>23</v>
      </c>
      <c r="E13" s="78">
        <v>0.72501689324119223</v>
      </c>
      <c r="F13" s="80">
        <v>-7.3255464000000006E-2</v>
      </c>
      <c r="G13" s="81">
        <f t="shared" ref="G13:H13" si="0">AVERAGE(D6:D14)</f>
        <v>19.111111111111111</v>
      </c>
      <c r="H13" s="81">
        <f t="shared" si="0"/>
        <v>0.70806265086721865</v>
      </c>
    </row>
    <row r="14" spans="1:8" ht="15.75" customHeight="1" x14ac:dyDescent="0.15">
      <c r="A14" s="77">
        <v>43573</v>
      </c>
      <c r="B14" s="78" t="s">
        <v>201</v>
      </c>
      <c r="C14" s="78" t="s">
        <v>477</v>
      </c>
      <c r="D14" s="78">
        <v>24</v>
      </c>
      <c r="E14" s="78">
        <v>0.80307230805991459</v>
      </c>
      <c r="F14" s="80">
        <v>-0.18767901000000001</v>
      </c>
      <c r="G14" s="81">
        <f>CORREL(D6:D14,F6:F14)</f>
        <v>-0.65420570166577119</v>
      </c>
      <c r="H14" s="81">
        <f>CORREL(E6:E14,F6:F14)</f>
        <v>-0.5097726242599665</v>
      </c>
    </row>
    <row r="15" spans="1:8" ht="15.75" customHeight="1" x14ac:dyDescent="0.15">
      <c r="A15" s="27">
        <v>43602</v>
      </c>
      <c r="B15" s="28" t="s">
        <v>244</v>
      </c>
      <c r="C15" s="28" t="s">
        <v>503</v>
      </c>
      <c r="D15" s="28">
        <v>16</v>
      </c>
      <c r="E15" s="28">
        <v>0.67238081102920555</v>
      </c>
      <c r="F15" s="82">
        <v>0.11412068</v>
      </c>
    </row>
    <row r="16" spans="1:8" ht="15.75" customHeight="1" x14ac:dyDescent="0.15">
      <c r="A16" s="27">
        <v>42464</v>
      </c>
      <c r="B16" s="28" t="s">
        <v>244</v>
      </c>
      <c r="C16" s="28" t="s">
        <v>278</v>
      </c>
      <c r="D16" s="28">
        <v>13</v>
      </c>
      <c r="E16" s="28">
        <v>0.54599712062398631</v>
      </c>
      <c r="F16" s="83">
        <v>0.22878594999999999</v>
      </c>
    </row>
    <row r="17" spans="1:8" ht="15.75" customHeight="1" x14ac:dyDescent="0.15">
      <c r="A17" s="27">
        <v>42465</v>
      </c>
      <c r="B17" s="28" t="s">
        <v>244</v>
      </c>
      <c r="C17" s="28" t="s">
        <v>278</v>
      </c>
      <c r="D17" s="28">
        <v>20</v>
      </c>
      <c r="E17" s="28">
        <v>0.70259661835748788</v>
      </c>
      <c r="F17" s="83">
        <v>4.9345463999999999E-2</v>
      </c>
    </row>
    <row r="18" spans="1:8" ht="15.75" customHeight="1" x14ac:dyDescent="0.15">
      <c r="A18" s="27">
        <v>42802</v>
      </c>
      <c r="B18" s="28" t="s">
        <v>244</v>
      </c>
      <c r="C18" s="28" t="s">
        <v>278</v>
      </c>
      <c r="D18" s="28">
        <v>20</v>
      </c>
      <c r="E18" s="28">
        <v>0.81129094088057374</v>
      </c>
      <c r="F18" s="83">
        <v>0.75019990000000003</v>
      </c>
    </row>
    <row r="19" spans="1:8" ht="15.75" customHeight="1" x14ac:dyDescent="0.15">
      <c r="A19" s="27">
        <v>42823</v>
      </c>
      <c r="B19" s="28" t="s">
        <v>244</v>
      </c>
      <c r="C19" s="28" t="s">
        <v>278</v>
      </c>
      <c r="D19" s="28">
        <v>11</v>
      </c>
      <c r="E19" s="28">
        <v>0.71360960081133618</v>
      </c>
      <c r="F19" s="83">
        <v>0.42689177</v>
      </c>
    </row>
    <row r="20" spans="1:8" ht="15.75" customHeight="1" x14ac:dyDescent="0.15">
      <c r="A20" s="27">
        <v>42844</v>
      </c>
      <c r="B20" s="28" t="s">
        <v>244</v>
      </c>
      <c r="C20" s="28" t="s">
        <v>278</v>
      </c>
      <c r="D20" s="28">
        <v>18</v>
      </c>
      <c r="E20" s="28">
        <v>0.6290116444191991</v>
      </c>
      <c r="F20" s="83">
        <v>1.2988759000000001</v>
      </c>
    </row>
    <row r="21" spans="1:8" ht="15.75" customHeight="1" x14ac:dyDescent="0.15">
      <c r="A21" s="27">
        <v>42860</v>
      </c>
      <c r="B21" s="28" t="s">
        <v>244</v>
      </c>
      <c r="C21" s="28" t="s">
        <v>278</v>
      </c>
      <c r="D21" s="28">
        <v>21</v>
      </c>
      <c r="E21" s="28">
        <v>0.62614585685256263</v>
      </c>
      <c r="F21" s="83">
        <v>1.1795960999999999</v>
      </c>
    </row>
    <row r="22" spans="1:8" ht="15.75" customHeight="1" x14ac:dyDescent="0.15">
      <c r="A22" s="27">
        <v>42866</v>
      </c>
      <c r="B22" s="28" t="s">
        <v>244</v>
      </c>
      <c r="C22" s="28" t="s">
        <v>278</v>
      </c>
      <c r="D22" s="28">
        <v>27</v>
      </c>
      <c r="E22" s="28">
        <v>0.86088043327315655</v>
      </c>
      <c r="F22" s="83">
        <v>0.46418646000000002</v>
      </c>
    </row>
    <row r="23" spans="1:8" ht="15.75" customHeight="1" x14ac:dyDescent="0.15">
      <c r="A23" s="27">
        <v>43525</v>
      </c>
      <c r="B23" s="28" t="s">
        <v>244</v>
      </c>
      <c r="C23" s="28" t="s">
        <v>278</v>
      </c>
      <c r="D23" s="28">
        <v>27</v>
      </c>
      <c r="E23" s="28">
        <v>0.8417048534121705</v>
      </c>
      <c r="F23" s="83">
        <v>0.24612700000000001</v>
      </c>
    </row>
    <row r="24" spans="1:8" ht="15.75" customHeight="1" x14ac:dyDescent="0.15">
      <c r="A24" s="27">
        <v>42803</v>
      </c>
      <c r="B24" s="28" t="s">
        <v>244</v>
      </c>
      <c r="C24" s="28" t="s">
        <v>326</v>
      </c>
      <c r="D24" s="28">
        <v>24</v>
      </c>
      <c r="E24" s="28">
        <v>0.87834890965732093</v>
      </c>
      <c r="F24" s="83">
        <v>0.63862187000000004</v>
      </c>
    </row>
    <row r="25" spans="1:8" ht="15.75" customHeight="1" x14ac:dyDescent="0.15">
      <c r="A25" s="27">
        <v>42850</v>
      </c>
      <c r="B25" s="28" t="s">
        <v>244</v>
      </c>
      <c r="C25" s="28" t="s">
        <v>326</v>
      </c>
      <c r="D25" s="28">
        <v>24</v>
      </c>
      <c r="E25" s="28">
        <v>0.76070792457097625</v>
      </c>
      <c r="F25" s="83">
        <v>0.67981539999999996</v>
      </c>
    </row>
    <row r="26" spans="1:8" ht="15.75" customHeight="1" x14ac:dyDescent="0.15">
      <c r="A26" s="27">
        <v>43207</v>
      </c>
      <c r="B26" s="28" t="s">
        <v>244</v>
      </c>
      <c r="C26" s="28" t="s">
        <v>326</v>
      </c>
      <c r="D26" s="28">
        <v>21</v>
      </c>
      <c r="E26" s="28">
        <v>0.68526570048309177</v>
      </c>
      <c r="F26" s="83">
        <v>0.11334053400000001</v>
      </c>
    </row>
    <row r="27" spans="1:8" ht="15.75" customHeight="1" x14ac:dyDescent="0.15">
      <c r="A27" s="27">
        <v>43214</v>
      </c>
      <c r="B27" s="28" t="s">
        <v>244</v>
      </c>
      <c r="C27" s="28" t="s">
        <v>326</v>
      </c>
      <c r="D27" s="28">
        <v>24</v>
      </c>
      <c r="E27" s="28">
        <v>0.7092394014962593</v>
      </c>
      <c r="F27" s="83">
        <v>0.43758239999999998</v>
      </c>
    </row>
    <row r="28" spans="1:8" ht="15.75" customHeight="1" x14ac:dyDescent="0.15">
      <c r="A28" s="27">
        <v>43564</v>
      </c>
      <c r="B28" s="28" t="s">
        <v>244</v>
      </c>
      <c r="C28" s="28" t="s">
        <v>326</v>
      </c>
      <c r="D28" s="28">
        <v>17</v>
      </c>
      <c r="E28" s="28">
        <v>0.8501567398119122</v>
      </c>
      <c r="F28" s="82">
        <v>0.43692463999999998</v>
      </c>
    </row>
    <row r="29" spans="1:8" ht="15.75" customHeight="1" x14ac:dyDescent="0.15">
      <c r="A29" s="27">
        <v>43571</v>
      </c>
      <c r="B29" s="28" t="s">
        <v>244</v>
      </c>
      <c r="C29" s="28" t="s">
        <v>326</v>
      </c>
      <c r="D29" s="28">
        <v>18</v>
      </c>
      <c r="E29" s="28">
        <v>0.79538110410593632</v>
      </c>
      <c r="F29" s="82">
        <v>7.8750000000000001E-2</v>
      </c>
      <c r="G29" s="81">
        <f t="shared" ref="G29:H29" si="1">AVERAGE(D15:D30)</f>
        <v>19.125</v>
      </c>
      <c r="H29" s="81">
        <f t="shared" si="1"/>
        <v>0.73508930570887088</v>
      </c>
    </row>
    <row r="30" spans="1:8" ht="16" x14ac:dyDescent="0.2">
      <c r="A30" s="84">
        <v>43893</v>
      </c>
      <c r="B30" s="85" t="s">
        <v>244</v>
      </c>
      <c r="C30" s="85" t="s">
        <v>326</v>
      </c>
      <c r="D30" s="28">
        <v>5</v>
      </c>
      <c r="E30" s="28">
        <v>0.67871123155676005</v>
      </c>
      <c r="F30" s="82">
        <v>0.75844610000000001</v>
      </c>
      <c r="G30" s="81">
        <f>CORREL(D15:D30,F15:F30)</f>
        <v>-3.4265896933191146E-2</v>
      </c>
      <c r="H30" s="81">
        <f>CORREL(E15:E30,F15:F30)</f>
        <v>-0.14893220181601308</v>
      </c>
    </row>
    <row r="31" spans="1:8" ht="15.75" customHeight="1" x14ac:dyDescent="0.15">
      <c r="A31" s="13">
        <v>42836</v>
      </c>
      <c r="B31" s="3" t="s">
        <v>301</v>
      </c>
      <c r="C31" s="3" t="s">
        <v>347</v>
      </c>
      <c r="D31" s="3">
        <v>27</v>
      </c>
      <c r="E31" s="3">
        <v>0.81463557420236121</v>
      </c>
      <c r="F31" s="53">
        <v>0.59855270000000005</v>
      </c>
    </row>
    <row r="32" spans="1:8" ht="15.75" customHeight="1" x14ac:dyDescent="0.15">
      <c r="A32" s="13">
        <v>43577</v>
      </c>
      <c r="B32" s="3" t="s">
        <v>301</v>
      </c>
      <c r="C32" s="3" t="s">
        <v>347</v>
      </c>
      <c r="D32" s="3">
        <v>17</v>
      </c>
      <c r="E32" s="3">
        <v>0.61736070781949237</v>
      </c>
      <c r="F32" s="23">
        <v>0.17889309</v>
      </c>
    </row>
    <row r="33" spans="1:6" ht="15.75" customHeight="1" x14ac:dyDescent="0.15">
      <c r="A33" s="13">
        <v>42471</v>
      </c>
      <c r="B33" s="3" t="s">
        <v>301</v>
      </c>
      <c r="C33" s="3" t="s">
        <v>302</v>
      </c>
      <c r="D33" s="3">
        <v>20</v>
      </c>
      <c r="E33" s="3">
        <v>0.84094935774398349</v>
      </c>
      <c r="F33" s="53">
        <v>0.1514914</v>
      </c>
    </row>
    <row r="34" spans="1:6" ht="15.75" customHeight="1" x14ac:dyDescent="0.15">
      <c r="A34" s="13">
        <v>43572</v>
      </c>
      <c r="B34" s="3" t="s">
        <v>259</v>
      </c>
      <c r="C34" s="3" t="s">
        <v>482</v>
      </c>
      <c r="D34" s="3">
        <v>12</v>
      </c>
      <c r="E34" s="3">
        <v>0.81411742736652093</v>
      </c>
      <c r="F34" s="23">
        <v>0.59318506999999998</v>
      </c>
    </row>
    <row r="35" spans="1:6" ht="15.75" customHeight="1" x14ac:dyDescent="0.15">
      <c r="A35" s="13">
        <v>43573</v>
      </c>
      <c r="B35" s="3" t="s">
        <v>259</v>
      </c>
      <c r="C35" s="3" t="s">
        <v>482</v>
      </c>
      <c r="D35" s="3">
        <v>11</v>
      </c>
      <c r="E35" s="3">
        <v>0.57998148552646633</v>
      </c>
      <c r="F35" s="23">
        <v>0.24139936000000001</v>
      </c>
    </row>
    <row r="36" spans="1:6" ht="15.75" customHeight="1" x14ac:dyDescent="0.15">
      <c r="A36" s="13">
        <v>42838</v>
      </c>
      <c r="B36" s="3" t="s">
        <v>259</v>
      </c>
      <c r="C36" s="3" t="s">
        <v>358</v>
      </c>
      <c r="D36" s="3">
        <v>15</v>
      </c>
      <c r="E36" s="3">
        <v>0.64121059461109842</v>
      </c>
      <c r="F36" s="53">
        <v>0.46086976000000002</v>
      </c>
    </row>
    <row r="37" spans="1:6" ht="15.75" customHeight="1" x14ac:dyDescent="0.15">
      <c r="A37" s="13">
        <v>43238</v>
      </c>
      <c r="B37" s="3" t="s">
        <v>259</v>
      </c>
      <c r="C37" s="3" t="s">
        <v>358</v>
      </c>
      <c r="D37" s="3">
        <v>25</v>
      </c>
      <c r="E37" s="3">
        <v>0.71768664563617246</v>
      </c>
      <c r="F37" s="53">
        <v>6.839431E-2</v>
      </c>
    </row>
    <row r="38" spans="1:6" ht="15.75" customHeight="1" x14ac:dyDescent="0.15">
      <c r="A38" s="13">
        <v>42810</v>
      </c>
      <c r="B38" s="3" t="s">
        <v>337</v>
      </c>
      <c r="C38" s="3" t="s">
        <v>313</v>
      </c>
      <c r="D38" s="3">
        <v>19</v>
      </c>
      <c r="E38" s="3">
        <v>0.72092453030954928</v>
      </c>
      <c r="F38" s="53">
        <v>0.48213460000000002</v>
      </c>
    </row>
    <row r="39" spans="1:6" ht="15.75" customHeight="1" x14ac:dyDescent="0.15">
      <c r="A39" s="13">
        <v>42853</v>
      </c>
      <c r="B39" s="3" t="s">
        <v>374</v>
      </c>
      <c r="C39" s="3" t="s">
        <v>391</v>
      </c>
      <c r="D39" s="3">
        <v>7</v>
      </c>
      <c r="E39" s="3">
        <v>0.67044224803405239</v>
      </c>
      <c r="F39" s="53">
        <v>0.50052613000000001</v>
      </c>
    </row>
    <row r="40" spans="1:6" ht="15.75" customHeight="1" x14ac:dyDescent="0.15">
      <c r="A40" s="13">
        <v>42850</v>
      </c>
      <c r="B40" s="3" t="s">
        <v>374</v>
      </c>
      <c r="C40" s="3" t="s">
        <v>375</v>
      </c>
      <c r="D40" s="3">
        <v>28</v>
      </c>
      <c r="E40" s="3">
        <v>0.91909361783929255</v>
      </c>
      <c r="F40" s="53">
        <v>0.62436557000000004</v>
      </c>
    </row>
    <row r="41" spans="1:6" ht="16" x14ac:dyDescent="0.2">
      <c r="A41" s="33">
        <v>43840</v>
      </c>
      <c r="B41" s="4" t="s">
        <v>511</v>
      </c>
      <c r="C41" s="4" t="s">
        <v>508</v>
      </c>
      <c r="D41" s="3">
        <v>2</v>
      </c>
      <c r="E41" s="3">
        <v>0.48975697665173723</v>
      </c>
      <c r="F41" s="23">
        <v>1.2838669</v>
      </c>
    </row>
    <row r="42" spans="1:6" ht="16" x14ac:dyDescent="0.2">
      <c r="A42" s="35">
        <v>43868</v>
      </c>
      <c r="B42" s="4" t="s">
        <v>511</v>
      </c>
      <c r="C42" s="3" t="s">
        <v>508</v>
      </c>
      <c r="D42" s="3">
        <v>3</v>
      </c>
      <c r="E42" s="3">
        <v>0.48460174063284045</v>
      </c>
      <c r="F42" s="23">
        <v>0.70586090000000001</v>
      </c>
    </row>
    <row r="43" spans="1:6" ht="15.75" customHeight="1" x14ac:dyDescent="0.15">
      <c r="A43" s="13">
        <v>42804</v>
      </c>
      <c r="B43" s="3" t="s">
        <v>329</v>
      </c>
      <c r="C43" s="3" t="s">
        <v>330</v>
      </c>
      <c r="D43" s="3">
        <v>8</v>
      </c>
      <c r="E43" s="3">
        <v>0.74775910364145659</v>
      </c>
      <c r="F43" s="53">
        <v>0.47585230000000001</v>
      </c>
    </row>
    <row r="44" spans="1:6" ht="15.75" customHeight="1" x14ac:dyDescent="0.15">
      <c r="A44" s="13">
        <v>43216</v>
      </c>
      <c r="B44" s="3" t="s">
        <v>329</v>
      </c>
      <c r="C44" s="3" t="s">
        <v>330</v>
      </c>
      <c r="D44" s="3">
        <v>10</v>
      </c>
      <c r="E44" s="3">
        <v>0.67296002288493173</v>
      </c>
      <c r="F44" s="53">
        <v>0.13326481000000001</v>
      </c>
    </row>
    <row r="45" spans="1:6" ht="15.75" customHeight="1" x14ac:dyDescent="0.15">
      <c r="A45" s="13">
        <v>43734</v>
      </c>
      <c r="B45" s="3" t="s">
        <v>329</v>
      </c>
      <c r="C45" s="3" t="s">
        <v>286</v>
      </c>
      <c r="D45" s="3">
        <v>4</v>
      </c>
      <c r="E45" s="3">
        <v>0.10376447876447881</v>
      </c>
      <c r="F45" s="23">
        <v>0.60443999999999998</v>
      </c>
    </row>
    <row r="46" spans="1:6" ht="15.75" customHeight="1" x14ac:dyDescent="0.15">
      <c r="A46" s="13">
        <v>43735</v>
      </c>
      <c r="B46" s="3" t="s">
        <v>329</v>
      </c>
      <c r="C46" s="3" t="s">
        <v>286</v>
      </c>
      <c r="D46" s="3">
        <v>9</v>
      </c>
      <c r="E46" s="3">
        <v>0.76805138298974418</v>
      </c>
      <c r="F46" s="23">
        <v>0.43251002</v>
      </c>
    </row>
    <row r="47" spans="1:6" ht="15.75" customHeight="1" x14ac:dyDescent="0.15">
      <c r="A47" s="13">
        <v>42495</v>
      </c>
      <c r="B47" s="3" t="s">
        <v>307</v>
      </c>
      <c r="C47" s="3" t="s">
        <v>308</v>
      </c>
      <c r="D47" s="3">
        <v>17</v>
      </c>
      <c r="E47" s="3">
        <v>0.72768951281891703</v>
      </c>
      <c r="F47" s="53">
        <v>0.17996730999999999</v>
      </c>
    </row>
    <row r="48" spans="1:6" ht="15.75" customHeight="1" x14ac:dyDescent="0.15">
      <c r="A48" s="13">
        <v>42838</v>
      </c>
      <c r="B48" s="3" t="s">
        <v>352</v>
      </c>
      <c r="C48" s="3" t="s">
        <v>353</v>
      </c>
      <c r="D48" s="3">
        <v>18</v>
      </c>
      <c r="E48" s="3">
        <v>0.5548403522630091</v>
      </c>
      <c r="F48" s="53">
        <v>0.65665810000000002</v>
      </c>
    </row>
    <row r="49" spans="1:6" ht="15.75" customHeight="1" x14ac:dyDescent="0.15">
      <c r="A49" s="13">
        <v>43573</v>
      </c>
      <c r="B49" s="3" t="s">
        <v>489</v>
      </c>
      <c r="C49" s="3" t="s">
        <v>367</v>
      </c>
      <c r="D49" s="3">
        <v>16</v>
      </c>
      <c r="E49" s="3">
        <v>0.81131355196946031</v>
      </c>
      <c r="F49" s="23">
        <v>0.47288724999999998</v>
      </c>
    </row>
    <row r="50" spans="1:6" ht="15.75" customHeight="1" x14ac:dyDescent="0.15">
      <c r="A50" s="13">
        <v>42844</v>
      </c>
      <c r="B50" s="3" t="s">
        <v>369</v>
      </c>
      <c r="C50" s="3" t="s">
        <v>321</v>
      </c>
      <c r="D50" s="3">
        <v>13</v>
      </c>
      <c r="E50" s="3">
        <v>0.78194353785900783</v>
      </c>
      <c r="F50" s="53">
        <v>1.0282359999999999</v>
      </c>
    </row>
    <row r="51" spans="1:6" ht="15.75" customHeight="1" x14ac:dyDescent="0.15">
      <c r="A51" s="13">
        <v>42851</v>
      </c>
      <c r="B51" s="3" t="s">
        <v>369</v>
      </c>
      <c r="C51" s="3" t="s">
        <v>321</v>
      </c>
      <c r="D51" s="3">
        <v>19</v>
      </c>
      <c r="E51" s="3">
        <v>0.86149308252681966</v>
      </c>
      <c r="F51" s="53">
        <v>0.50337799999999999</v>
      </c>
    </row>
    <row r="52" spans="1:6" ht="15.75" customHeight="1" x14ac:dyDescent="0.15">
      <c r="A52" s="13">
        <v>42850</v>
      </c>
      <c r="B52" s="3" t="s">
        <v>250</v>
      </c>
      <c r="C52" s="3" t="s">
        <v>372</v>
      </c>
      <c r="D52" s="3">
        <v>20</v>
      </c>
      <c r="E52" s="3">
        <v>0.82728769701246763</v>
      </c>
      <c r="F52" s="53">
        <v>0.71422463999999997</v>
      </c>
    </row>
    <row r="53" spans="1:6" ht="15.75" customHeight="1" x14ac:dyDescent="0.15">
      <c r="A53" s="13">
        <v>42467</v>
      </c>
      <c r="B53" s="3" t="s">
        <v>233</v>
      </c>
      <c r="C53" s="3" t="s">
        <v>286</v>
      </c>
      <c r="D53" s="3">
        <v>13</v>
      </c>
      <c r="E53" s="3">
        <v>0.82260909935004645</v>
      </c>
      <c r="F53" s="53">
        <v>-0.10545163</v>
      </c>
    </row>
    <row r="54" spans="1:6" ht="13" x14ac:dyDescent="0.15">
      <c r="A54" s="13">
        <v>42761</v>
      </c>
      <c r="B54" s="3" t="s">
        <v>233</v>
      </c>
      <c r="C54" s="3" t="s">
        <v>286</v>
      </c>
      <c r="D54" s="3">
        <v>7</v>
      </c>
      <c r="E54" s="3">
        <v>0.63255967349631037</v>
      </c>
      <c r="F54" s="53">
        <v>0.37859789999999999</v>
      </c>
    </row>
    <row r="55" spans="1:6" ht="13" x14ac:dyDescent="0.15">
      <c r="A55" s="13">
        <v>43160</v>
      </c>
      <c r="B55" s="3" t="s">
        <v>233</v>
      </c>
      <c r="C55" s="3" t="s">
        <v>286</v>
      </c>
      <c r="D55" s="3">
        <v>11</v>
      </c>
      <c r="E55" s="3">
        <v>0.73529118964659035</v>
      </c>
      <c r="F55" s="53">
        <v>6.3809619999999996E-3</v>
      </c>
    </row>
    <row r="56" spans="1:6" ht="13" x14ac:dyDescent="0.15">
      <c r="A56" s="13">
        <v>43531</v>
      </c>
      <c r="B56" s="3" t="s">
        <v>233</v>
      </c>
      <c r="C56" s="3" t="s">
        <v>286</v>
      </c>
      <c r="D56" s="3">
        <v>11</v>
      </c>
      <c r="E56" s="3">
        <v>0.66150069050176463</v>
      </c>
      <c r="F56" s="53">
        <v>-8.7836259999999999E-2</v>
      </c>
    </row>
    <row r="57" spans="1:6" ht="16" x14ac:dyDescent="0.2">
      <c r="A57" s="35">
        <v>43885</v>
      </c>
      <c r="B57" s="3" t="s">
        <v>233</v>
      </c>
      <c r="C57" s="3" t="s">
        <v>286</v>
      </c>
      <c r="D57" s="3">
        <v>11</v>
      </c>
      <c r="E57" s="3">
        <v>0.59794871794871796</v>
      </c>
      <c r="F57" s="23">
        <v>3.6257360000000002E-2</v>
      </c>
    </row>
    <row r="58" spans="1:6" ht="13" x14ac:dyDescent="0.15">
      <c r="A58" s="13">
        <v>42481</v>
      </c>
      <c r="B58" s="3" t="s">
        <v>240</v>
      </c>
      <c r="C58" s="3" t="s">
        <v>286</v>
      </c>
      <c r="D58" s="3">
        <v>18</v>
      </c>
      <c r="E58" s="3">
        <v>0.38463900072805102</v>
      </c>
      <c r="F58" s="53">
        <v>0.29019496</v>
      </c>
    </row>
    <row r="59" spans="1:6" ht="13" x14ac:dyDescent="0.15">
      <c r="A59" s="13">
        <v>42788</v>
      </c>
      <c r="B59" s="3" t="s">
        <v>320</v>
      </c>
      <c r="C59" s="3" t="s">
        <v>321</v>
      </c>
      <c r="D59" s="3">
        <v>12</v>
      </c>
      <c r="E59" s="3">
        <v>0.85387504267668146</v>
      </c>
      <c r="F59" s="53">
        <v>0.64626735000000002</v>
      </c>
    </row>
    <row r="60" spans="1:6" ht="13" x14ac:dyDescent="0.15">
      <c r="A60" s="13">
        <v>42851</v>
      </c>
      <c r="B60" s="3" t="s">
        <v>340</v>
      </c>
      <c r="C60" s="3" t="s">
        <v>381</v>
      </c>
      <c r="D60" s="3">
        <v>13</v>
      </c>
      <c r="E60" s="3">
        <v>0.5345179694960458</v>
      </c>
      <c r="F60" s="53">
        <v>0.26245686000000001</v>
      </c>
    </row>
    <row r="61" spans="1:6" ht="13" x14ac:dyDescent="0.15">
      <c r="A61" s="13">
        <v>43215</v>
      </c>
      <c r="B61" s="3" t="s">
        <v>340</v>
      </c>
      <c r="C61" s="3" t="s">
        <v>381</v>
      </c>
      <c r="D61" s="3">
        <v>11</v>
      </c>
      <c r="E61" s="3">
        <v>0.58081931940433718</v>
      </c>
      <c r="F61" s="53">
        <v>0.59097509999999998</v>
      </c>
    </row>
    <row r="62" spans="1:6" ht="16" x14ac:dyDescent="0.2">
      <c r="A62" s="13">
        <v>43882</v>
      </c>
      <c r="B62" s="3" t="s">
        <v>340</v>
      </c>
      <c r="C62" s="4" t="s">
        <v>508</v>
      </c>
      <c r="D62" s="3">
        <v>7</v>
      </c>
      <c r="E62" s="3">
        <v>0.49541037349256523</v>
      </c>
      <c r="F62" s="23">
        <v>0.79222570000000003</v>
      </c>
    </row>
    <row r="63" spans="1:6" ht="13" x14ac:dyDescent="0.15">
      <c r="A63" s="13">
        <v>43577</v>
      </c>
      <c r="B63" s="3" t="s">
        <v>293</v>
      </c>
      <c r="C63" s="3" t="s">
        <v>496</v>
      </c>
      <c r="D63" s="3">
        <v>14</v>
      </c>
      <c r="E63" s="3">
        <v>0.46811844858723595</v>
      </c>
      <c r="F63" s="23">
        <v>0.25832181999999998</v>
      </c>
    </row>
    <row r="64" spans="1:6" ht="13" x14ac:dyDescent="0.15">
      <c r="A64" s="13">
        <v>42851</v>
      </c>
      <c r="B64" s="3" t="s">
        <v>293</v>
      </c>
      <c r="C64" s="3" t="s">
        <v>383</v>
      </c>
      <c r="D64" s="3">
        <v>8</v>
      </c>
      <c r="E64" s="3">
        <v>0.51492802649356451</v>
      </c>
      <c r="F64" s="53">
        <v>0.23371164999999999</v>
      </c>
    </row>
    <row r="65" spans="1:8" ht="13" x14ac:dyDescent="0.15">
      <c r="A65" s="13">
        <v>42852</v>
      </c>
      <c r="B65" s="3" t="s">
        <v>293</v>
      </c>
      <c r="D65" s="3">
        <v>10</v>
      </c>
      <c r="E65" s="3">
        <v>0.69414687160378818</v>
      </c>
      <c r="F65" s="53">
        <v>9.9827945000000001E-2</v>
      </c>
    </row>
    <row r="66" spans="1:8" ht="13" x14ac:dyDescent="0.15">
      <c r="A66" s="13">
        <v>42860</v>
      </c>
      <c r="B66" s="3" t="s">
        <v>394</v>
      </c>
      <c r="C66" s="3" t="s">
        <v>367</v>
      </c>
      <c r="D66" s="3">
        <v>17</v>
      </c>
      <c r="E66" s="3">
        <v>0.59041751348237292</v>
      </c>
      <c r="F66" s="53">
        <v>1.5402039999999999</v>
      </c>
    </row>
    <row r="67" spans="1:8" ht="13" x14ac:dyDescent="0.15">
      <c r="A67" s="13">
        <v>42866</v>
      </c>
      <c r="B67" s="3" t="s">
        <v>400</v>
      </c>
      <c r="C67" s="3" t="s">
        <v>401</v>
      </c>
      <c r="D67" s="3">
        <v>15</v>
      </c>
      <c r="E67" s="3">
        <v>0.71194852941176467</v>
      </c>
      <c r="F67" s="53">
        <v>-4.0530305000000003E-2</v>
      </c>
    </row>
    <row r="68" spans="1:8" ht="13" x14ac:dyDescent="0.15">
      <c r="A68" s="13">
        <v>43528</v>
      </c>
      <c r="B68" s="3" t="s">
        <v>400</v>
      </c>
      <c r="C68" s="3" t="s">
        <v>401</v>
      </c>
      <c r="D68" s="3">
        <v>11</v>
      </c>
      <c r="E68" s="3">
        <v>0.84443855308118299</v>
      </c>
      <c r="F68" s="53">
        <v>6.8196975000000007E-2</v>
      </c>
    </row>
    <row r="69" spans="1:8" ht="13" x14ac:dyDescent="0.15">
      <c r="A69" s="13">
        <v>43563</v>
      </c>
      <c r="B69" s="3" t="s">
        <v>400</v>
      </c>
      <c r="C69" s="3" t="s">
        <v>465</v>
      </c>
      <c r="D69" s="3">
        <v>20</v>
      </c>
      <c r="E69" s="3">
        <v>0.71696127946127941</v>
      </c>
      <c r="F69" s="23">
        <v>-8.5865200000000003E-2</v>
      </c>
    </row>
    <row r="70" spans="1:8" ht="13" x14ac:dyDescent="0.15">
      <c r="A70" s="77">
        <v>42851</v>
      </c>
      <c r="B70" s="78" t="s">
        <v>216</v>
      </c>
      <c r="C70" s="78" t="s">
        <v>385</v>
      </c>
      <c r="D70" s="78">
        <v>13</v>
      </c>
      <c r="E70" s="78">
        <v>0.49816625916870416</v>
      </c>
      <c r="F70" s="79">
        <v>0.31013632000000002</v>
      </c>
    </row>
    <row r="71" spans="1:8" ht="13" x14ac:dyDescent="0.15">
      <c r="A71" s="77">
        <v>42471</v>
      </c>
      <c r="B71" s="78" t="s">
        <v>216</v>
      </c>
      <c r="C71" s="78" t="s">
        <v>299</v>
      </c>
      <c r="D71" s="78">
        <v>10</v>
      </c>
      <c r="E71" s="78">
        <v>0.43078899113578561</v>
      </c>
      <c r="F71" s="79">
        <v>0.27415149999999999</v>
      </c>
    </row>
    <row r="72" spans="1:8" ht="13" x14ac:dyDescent="0.15">
      <c r="A72" s="77">
        <v>42867</v>
      </c>
      <c r="B72" s="78" t="s">
        <v>216</v>
      </c>
      <c r="C72" s="78" t="s">
        <v>299</v>
      </c>
      <c r="D72" s="78">
        <v>13</v>
      </c>
      <c r="E72" s="78">
        <v>0.341225451293098</v>
      </c>
      <c r="F72" s="79">
        <v>0.54820139999999995</v>
      </c>
    </row>
    <row r="73" spans="1:8" ht="13" x14ac:dyDescent="0.15">
      <c r="A73" s="77">
        <v>42439</v>
      </c>
      <c r="B73" s="78" t="s">
        <v>216</v>
      </c>
      <c r="C73" s="78" t="s">
        <v>272</v>
      </c>
      <c r="D73" s="78">
        <v>21</v>
      </c>
      <c r="E73" s="78">
        <v>0.31873876548096114</v>
      </c>
      <c r="F73" s="79">
        <v>-0.40194049999999998</v>
      </c>
    </row>
    <row r="74" spans="1:8" ht="13" x14ac:dyDescent="0.15">
      <c r="A74" s="77">
        <v>42835</v>
      </c>
      <c r="B74" s="78" t="s">
        <v>216</v>
      </c>
      <c r="C74" s="78" t="s">
        <v>272</v>
      </c>
      <c r="D74" s="78">
        <v>16</v>
      </c>
      <c r="E74" s="78">
        <v>0.45559876263409438</v>
      </c>
      <c r="F74" s="79">
        <v>0.44253673999999998</v>
      </c>
      <c r="G74" s="81">
        <f t="shared" ref="G74:H74" si="2">AVERAGE(D70:D75)</f>
        <v>14.166666666666666</v>
      </c>
      <c r="H74" s="81">
        <f t="shared" si="2"/>
        <v>0.35930016649799623</v>
      </c>
    </row>
    <row r="75" spans="1:8" ht="13" x14ac:dyDescent="0.15">
      <c r="A75" s="77">
        <v>43234</v>
      </c>
      <c r="B75" s="78" t="s">
        <v>216</v>
      </c>
      <c r="C75" s="78" t="s">
        <v>272</v>
      </c>
      <c r="D75" s="78">
        <v>12</v>
      </c>
      <c r="E75" s="78">
        <v>0.11128276927533431</v>
      </c>
      <c r="F75" s="79">
        <v>-0.15372222999999999</v>
      </c>
      <c r="G75" s="81">
        <f>CORREL(D70:D75,F70:F75)</f>
        <v>-0.52522705728990937</v>
      </c>
      <c r="H75" s="81">
        <f>CORREL(E70:E75,F70:F75)</f>
        <v>0.58294804601255712</v>
      </c>
    </row>
    <row r="76" spans="1:8" ht="13" x14ac:dyDescent="0.15">
      <c r="A76" s="13">
        <v>43311</v>
      </c>
      <c r="B76" s="3" t="s">
        <v>246</v>
      </c>
      <c r="C76" s="3" t="s">
        <v>353</v>
      </c>
      <c r="D76" s="3">
        <v>23</v>
      </c>
      <c r="E76" s="3">
        <v>0.63732775413029363</v>
      </c>
      <c r="F76" s="53">
        <v>0.48258337000000001</v>
      </c>
    </row>
    <row r="77" spans="1:8" ht="13" x14ac:dyDescent="0.15">
      <c r="A77" s="13">
        <v>42837</v>
      </c>
      <c r="B77" s="3" t="s">
        <v>355</v>
      </c>
      <c r="C77" s="3" t="s">
        <v>356</v>
      </c>
      <c r="D77" s="3">
        <v>15</v>
      </c>
      <c r="E77" s="3">
        <v>0.65175846051758457</v>
      </c>
      <c r="F77" s="53">
        <v>0.54868894999999995</v>
      </c>
    </row>
    <row r="78" spans="1:8" ht="13" x14ac:dyDescent="0.15">
      <c r="A78" s="13">
        <v>43573</v>
      </c>
      <c r="B78" s="3" t="s">
        <v>492</v>
      </c>
      <c r="C78" s="3" t="s">
        <v>493</v>
      </c>
      <c r="D78" s="3">
        <v>13</v>
      </c>
      <c r="E78" s="3">
        <v>0.81993186064402679</v>
      </c>
      <c r="F78" s="23">
        <v>-0.22333333999999999</v>
      </c>
    </row>
    <row r="79" spans="1:8" ht="13" x14ac:dyDescent="0.15">
      <c r="A79" s="13">
        <v>42468</v>
      </c>
      <c r="B79" s="3" t="s">
        <v>247</v>
      </c>
      <c r="C79" s="3" t="s">
        <v>289</v>
      </c>
      <c r="D79" s="3">
        <v>9</v>
      </c>
      <c r="E79" s="3">
        <v>0.61535495534218687</v>
      </c>
      <c r="F79" s="53">
        <v>2.7141906E-2</v>
      </c>
    </row>
    <row r="80" spans="1:8" ht="13" x14ac:dyDescent="0.15">
      <c r="A80" s="13">
        <v>42879</v>
      </c>
      <c r="B80" s="3" t="s">
        <v>247</v>
      </c>
      <c r="C80" s="3" t="s">
        <v>289</v>
      </c>
      <c r="D80" s="3">
        <v>13</v>
      </c>
      <c r="E80" s="3">
        <v>0.24556196162435617</v>
      </c>
      <c r="F80" s="53">
        <v>1.0796264</v>
      </c>
    </row>
    <row r="81" spans="1:8" ht="13" x14ac:dyDescent="0.15">
      <c r="A81" s="77">
        <v>42837</v>
      </c>
      <c r="B81" s="78" t="s">
        <v>266</v>
      </c>
      <c r="C81" s="78" t="s">
        <v>350</v>
      </c>
      <c r="D81" s="78">
        <v>10</v>
      </c>
      <c r="E81" s="78">
        <v>0.71198428290766214</v>
      </c>
      <c r="F81" s="79">
        <v>0.51894890000000005</v>
      </c>
    </row>
    <row r="82" spans="1:8" ht="13" x14ac:dyDescent="0.15">
      <c r="A82" s="77">
        <v>43236</v>
      </c>
      <c r="B82" s="78" t="s">
        <v>266</v>
      </c>
      <c r="C82" s="78" t="s">
        <v>347</v>
      </c>
      <c r="D82" s="78">
        <v>35</v>
      </c>
      <c r="E82" s="78">
        <v>0.68615446178471395</v>
      </c>
      <c r="F82" s="79">
        <v>-5.178348E-2</v>
      </c>
    </row>
    <row r="83" spans="1:8" ht="13" x14ac:dyDescent="0.15">
      <c r="A83" s="77">
        <v>43519</v>
      </c>
      <c r="B83" s="78" t="s">
        <v>266</v>
      </c>
      <c r="C83" s="78" t="s">
        <v>347</v>
      </c>
      <c r="D83" s="78">
        <v>10</v>
      </c>
      <c r="E83" s="78">
        <v>0.68665432274604754</v>
      </c>
      <c r="F83" s="79">
        <v>5.4391580000000004E-3</v>
      </c>
    </row>
    <row r="84" spans="1:8" ht="13" x14ac:dyDescent="0.15">
      <c r="A84" s="77">
        <v>42471</v>
      </c>
      <c r="B84" s="78" t="s">
        <v>266</v>
      </c>
      <c r="C84" s="78" t="s">
        <v>297</v>
      </c>
      <c r="D84" s="78">
        <v>10</v>
      </c>
      <c r="E84" s="78">
        <v>0.3963065953654189</v>
      </c>
      <c r="F84" s="79">
        <v>0.1514914</v>
      </c>
    </row>
    <row r="85" spans="1:8" ht="13" x14ac:dyDescent="0.15">
      <c r="A85" s="77">
        <v>42836</v>
      </c>
      <c r="B85" s="78" t="s">
        <v>266</v>
      </c>
      <c r="C85" s="78" t="s">
        <v>297</v>
      </c>
      <c r="D85" s="78">
        <v>18</v>
      </c>
      <c r="E85" s="78">
        <v>0.79615371198189977</v>
      </c>
      <c r="F85" s="79">
        <v>0.5978405</v>
      </c>
      <c r="G85" s="81">
        <f t="shared" ref="G85:H85" si="3">AVERAGE(D81:D86)</f>
        <v>16.666666666666668</v>
      </c>
      <c r="H85" s="81">
        <f t="shared" si="3"/>
        <v>0.69092333820715701</v>
      </c>
    </row>
    <row r="86" spans="1:8" ht="13" x14ac:dyDescent="0.15">
      <c r="A86" s="77">
        <v>43519</v>
      </c>
      <c r="B86" s="78" t="s">
        <v>266</v>
      </c>
      <c r="C86" s="78" t="s">
        <v>297</v>
      </c>
      <c r="D86" s="78">
        <v>17</v>
      </c>
      <c r="E86" s="78">
        <v>0.86828665445719988</v>
      </c>
      <c r="F86" s="79">
        <v>0.57026522999999996</v>
      </c>
      <c r="G86" s="81">
        <f>CORREL(D81:D86,F81:F86)</f>
        <v>-0.30946767811080478</v>
      </c>
      <c r="H86" s="81">
        <f>CORREL(E81:E86,F81:F86)</f>
        <v>0.54496358929775424</v>
      </c>
    </row>
    <row r="87" spans="1:8" ht="13" x14ac:dyDescent="0.15">
      <c r="A87" s="13">
        <v>42865</v>
      </c>
      <c r="B87" s="3" t="s">
        <v>230</v>
      </c>
      <c r="C87" s="3" t="s">
        <v>397</v>
      </c>
      <c r="D87" s="3">
        <v>9</v>
      </c>
      <c r="E87" s="3">
        <v>0.58182656522741494</v>
      </c>
      <c r="F87" s="53">
        <v>0.82727390000000001</v>
      </c>
    </row>
    <row r="88" spans="1:8" ht="16" x14ac:dyDescent="0.2">
      <c r="A88" s="33">
        <v>43839</v>
      </c>
      <c r="B88" s="4" t="s">
        <v>366</v>
      </c>
      <c r="C88" s="4" t="s">
        <v>508</v>
      </c>
      <c r="D88" s="3">
        <v>7</v>
      </c>
      <c r="E88" s="3">
        <v>0.72604975796465165</v>
      </c>
      <c r="F88" s="23">
        <v>1.5400917999999999</v>
      </c>
    </row>
    <row r="137" spans="1:6" ht="13" x14ac:dyDescent="0.15">
      <c r="A137" s="13"/>
      <c r="B137" s="3"/>
    </row>
    <row r="138" spans="1:6" ht="16" x14ac:dyDescent="0.2">
      <c r="A138" s="13">
        <v>43556</v>
      </c>
      <c r="B138" s="22" t="s">
        <v>456</v>
      </c>
      <c r="C138" s="22" t="s">
        <v>418</v>
      </c>
      <c r="D138" s="3">
        <v>17</v>
      </c>
      <c r="E138" s="3">
        <v>0.66574913644214162</v>
      </c>
      <c r="F138" s="23">
        <v>0.90707179999999998</v>
      </c>
    </row>
    <row r="139" spans="1:6" ht="13" x14ac:dyDescent="0.15">
      <c r="A139" s="13">
        <v>43557</v>
      </c>
      <c r="B139" s="3" t="s">
        <v>456</v>
      </c>
      <c r="C139" s="3" t="s">
        <v>418</v>
      </c>
      <c r="D139" s="3">
        <v>20</v>
      </c>
      <c r="E139" s="3">
        <v>0.56376901905800492</v>
      </c>
      <c r="F139" s="23">
        <v>0.80414209999999997</v>
      </c>
    </row>
    <row r="140" spans="1:6" ht="13" x14ac:dyDescent="0.15">
      <c r="A140" s="13">
        <v>43558</v>
      </c>
      <c r="B140" s="3" t="s">
        <v>456</v>
      </c>
      <c r="C140" s="3" t="s">
        <v>418</v>
      </c>
      <c r="D140" s="3">
        <v>16</v>
      </c>
      <c r="E140" s="3">
        <v>0.79987645169261179</v>
      </c>
      <c r="F140" s="23">
        <v>0.57272190000000001</v>
      </c>
    </row>
    <row r="141" spans="1:6" ht="13" x14ac:dyDescent="0.15">
      <c r="A141" s="13">
        <v>43559</v>
      </c>
      <c r="B141" s="3" t="s">
        <v>456</v>
      </c>
      <c r="C141" s="3" t="s">
        <v>418</v>
      </c>
      <c r="D141" s="3">
        <v>17</v>
      </c>
      <c r="E141" s="3">
        <v>0.73509255334181156</v>
      </c>
      <c r="F141" s="23">
        <v>0.58808709999999997</v>
      </c>
    </row>
    <row r="142" spans="1:6" ht="13" x14ac:dyDescent="0.15">
      <c r="A142" s="13">
        <v>42437</v>
      </c>
      <c r="B142" s="3" t="s">
        <v>219</v>
      </c>
      <c r="C142" s="3" t="s">
        <v>269</v>
      </c>
      <c r="D142" s="3">
        <v>18</v>
      </c>
      <c r="E142" s="3">
        <v>0.67878174789551649</v>
      </c>
      <c r="F142" s="53">
        <v>0.14599872</v>
      </c>
    </row>
    <row r="143" spans="1:6" ht="13" x14ac:dyDescent="0.15">
      <c r="A143" s="13">
        <v>42910</v>
      </c>
      <c r="B143" s="3" t="s">
        <v>219</v>
      </c>
      <c r="C143" s="3" t="s">
        <v>197</v>
      </c>
      <c r="D143" s="3">
        <v>49</v>
      </c>
      <c r="E143" s="3">
        <v>0.93699389193757154</v>
      </c>
      <c r="F143" s="53">
        <v>3.6068326000000001E-3</v>
      </c>
    </row>
    <row r="144" spans="1:6" ht="13" x14ac:dyDescent="0.15">
      <c r="A144" s="77">
        <v>42467</v>
      </c>
      <c r="B144" s="78" t="s">
        <v>201</v>
      </c>
      <c r="C144" s="78" t="s">
        <v>274</v>
      </c>
      <c r="D144" s="78">
        <v>30</v>
      </c>
      <c r="E144" s="78">
        <v>0.82433603772276542</v>
      </c>
      <c r="F144" s="79">
        <v>-0.27988099999999999</v>
      </c>
    </row>
    <row r="145" spans="1:8" ht="13" x14ac:dyDescent="0.15">
      <c r="A145" s="77">
        <v>42479</v>
      </c>
      <c r="B145" s="78" t="s">
        <v>201</v>
      </c>
      <c r="C145" s="78" t="s">
        <v>274</v>
      </c>
      <c r="D145" s="78">
        <v>28</v>
      </c>
      <c r="E145" s="78">
        <v>0.83207712532865907</v>
      </c>
      <c r="F145" s="79">
        <v>0.41797339999999999</v>
      </c>
    </row>
    <row r="146" spans="1:8" ht="13" x14ac:dyDescent="0.15">
      <c r="A146" s="77">
        <v>42778</v>
      </c>
      <c r="B146" s="78" t="s">
        <v>201</v>
      </c>
      <c r="C146" s="78" t="s">
        <v>197</v>
      </c>
      <c r="D146" s="78">
        <v>36</v>
      </c>
      <c r="E146" s="78">
        <v>0.82891793241492995</v>
      </c>
      <c r="F146" s="79">
        <v>0.37676725</v>
      </c>
    </row>
    <row r="147" spans="1:8" ht="13" x14ac:dyDescent="0.15">
      <c r="A147" s="77">
        <v>43134</v>
      </c>
      <c r="B147" s="78" t="s">
        <v>201</v>
      </c>
      <c r="C147" s="78" t="s">
        <v>197</v>
      </c>
      <c r="D147" s="78">
        <v>25</v>
      </c>
      <c r="E147" s="78">
        <v>0.85321812161834776</v>
      </c>
      <c r="F147" s="79">
        <v>0.35789236000000002</v>
      </c>
    </row>
    <row r="148" spans="1:8" ht="13" x14ac:dyDescent="0.15">
      <c r="A148" s="77">
        <v>43485</v>
      </c>
      <c r="B148" s="78" t="s">
        <v>201</v>
      </c>
      <c r="C148" s="78" t="s">
        <v>418</v>
      </c>
      <c r="D148" s="78">
        <v>27</v>
      </c>
      <c r="E148" s="78">
        <v>0.81516477339463389</v>
      </c>
      <c r="F148" s="79">
        <v>0.22840819000000001</v>
      </c>
    </row>
    <row r="149" spans="1:8" ht="16" x14ac:dyDescent="0.2">
      <c r="A149" s="86">
        <v>43536</v>
      </c>
      <c r="B149" s="87" t="s">
        <v>201</v>
      </c>
      <c r="C149" s="87" t="s">
        <v>418</v>
      </c>
      <c r="D149" s="78">
        <v>40</v>
      </c>
      <c r="E149" s="78">
        <v>0.80853429834233315</v>
      </c>
      <c r="F149" s="80">
        <v>0.21427151999999999</v>
      </c>
      <c r="G149" s="81">
        <f t="shared" ref="G149:H149" si="4">AVERAGE(D144:D150)</f>
        <v>28.428571428571427</v>
      </c>
      <c r="H149" s="81">
        <f t="shared" si="4"/>
        <v>0.81900547158595038</v>
      </c>
    </row>
    <row r="150" spans="1:8" ht="13" x14ac:dyDescent="0.15">
      <c r="A150" s="77">
        <v>43578</v>
      </c>
      <c r="B150" s="78" t="s">
        <v>201</v>
      </c>
      <c r="C150" s="78" t="s">
        <v>418</v>
      </c>
      <c r="D150" s="78">
        <v>13</v>
      </c>
      <c r="E150" s="78">
        <v>0.77079001227998356</v>
      </c>
      <c r="F150" s="80">
        <v>0.14759781999999999</v>
      </c>
      <c r="G150" s="81">
        <f>CORREL(D144:D150,F144:F150)</f>
        <v>7.1994579966822292E-2</v>
      </c>
      <c r="H150" s="81">
        <f>CORREL(E144:E150,F144:F150)</f>
        <v>0.2672786454276817</v>
      </c>
    </row>
    <row r="151" spans="1:8" ht="13" x14ac:dyDescent="0.15">
      <c r="A151" s="27">
        <v>42465</v>
      </c>
      <c r="B151" s="28" t="s">
        <v>244</v>
      </c>
      <c r="C151" s="28" t="s">
        <v>274</v>
      </c>
      <c r="D151" s="28">
        <v>22</v>
      </c>
      <c r="E151" s="28">
        <v>0.80631075566939381</v>
      </c>
      <c r="F151" s="83">
        <v>-7.4690155999999994E-2</v>
      </c>
    </row>
    <row r="152" spans="1:8" ht="13" x14ac:dyDescent="0.15">
      <c r="A152" s="27">
        <v>42791</v>
      </c>
      <c r="B152" s="28" t="s">
        <v>244</v>
      </c>
      <c r="C152" s="28" t="s">
        <v>197</v>
      </c>
      <c r="D152" s="28">
        <v>36</v>
      </c>
      <c r="E152" s="28">
        <v>0.84461019330014964</v>
      </c>
      <c r="F152" s="83">
        <v>0.51192086999999997</v>
      </c>
    </row>
    <row r="153" spans="1:8" ht="13" x14ac:dyDescent="0.15">
      <c r="A153" s="27">
        <v>43148</v>
      </c>
      <c r="B153" s="28" t="s">
        <v>244</v>
      </c>
      <c r="C153" s="28" t="s">
        <v>197</v>
      </c>
      <c r="D153" s="28">
        <v>33</v>
      </c>
      <c r="E153" s="28">
        <v>0.8265324842099746</v>
      </c>
      <c r="F153" s="83">
        <v>0.42113729999999999</v>
      </c>
      <c r="G153" s="81">
        <f t="shared" ref="G153:H153" si="5">AVERAGE(D151:D154)</f>
        <v>28</v>
      </c>
      <c r="H153" s="81">
        <f t="shared" si="5"/>
        <v>0.82541390758875766</v>
      </c>
    </row>
    <row r="154" spans="1:8" ht="16" x14ac:dyDescent="0.2">
      <c r="A154" s="88">
        <v>43533</v>
      </c>
      <c r="B154" s="39" t="s">
        <v>244</v>
      </c>
      <c r="C154" s="39" t="s">
        <v>418</v>
      </c>
      <c r="D154" s="28">
        <v>21</v>
      </c>
      <c r="E154" s="28">
        <v>0.82420219717551269</v>
      </c>
      <c r="F154" s="82">
        <v>0.11821595</v>
      </c>
      <c r="G154" s="81">
        <f>CORREL(D151:D154,F151:F154)</f>
        <v>0.93977982317277409</v>
      </c>
      <c r="H154" s="81">
        <f>CORREL(E151:E154,F151:F154)</f>
        <v>0.90894886371382899</v>
      </c>
    </row>
    <row r="155" spans="1:8" ht="13" x14ac:dyDescent="0.15">
      <c r="A155" s="13">
        <v>42834</v>
      </c>
      <c r="B155" s="3" t="s">
        <v>301</v>
      </c>
      <c r="C155" s="3" t="s">
        <v>344</v>
      </c>
      <c r="D155" s="3">
        <v>15</v>
      </c>
      <c r="E155" s="3">
        <v>0.8215836425357228</v>
      </c>
      <c r="F155" s="53">
        <v>0.69979899999999995</v>
      </c>
    </row>
    <row r="156" spans="1:8" ht="13" x14ac:dyDescent="0.15">
      <c r="A156" s="13">
        <v>43587</v>
      </c>
      <c r="B156" s="3" t="s">
        <v>499</v>
      </c>
      <c r="C156" s="3" t="s">
        <v>418</v>
      </c>
      <c r="D156" s="3">
        <v>16</v>
      </c>
      <c r="E156" s="3">
        <v>0.58147312541473117</v>
      </c>
      <c r="F156" s="23">
        <v>0.62744500000000003</v>
      </c>
    </row>
    <row r="157" spans="1:8" ht="13" x14ac:dyDescent="0.15">
      <c r="A157" s="13">
        <v>42510</v>
      </c>
      <c r="B157" s="3" t="s">
        <v>310</v>
      </c>
      <c r="C157" s="3" t="s">
        <v>197</v>
      </c>
      <c r="D157" s="3">
        <v>16</v>
      </c>
      <c r="E157" s="3">
        <v>0.82321915530429002</v>
      </c>
      <c r="F157" s="53">
        <v>0.36082259999999999</v>
      </c>
    </row>
    <row r="158" spans="1:8" ht="13" x14ac:dyDescent="0.15">
      <c r="A158" s="13">
        <v>42465</v>
      </c>
      <c r="B158" s="3" t="s">
        <v>280</v>
      </c>
      <c r="C158" s="3" t="s">
        <v>274</v>
      </c>
      <c r="D158" s="3">
        <v>17</v>
      </c>
      <c r="E158" s="3">
        <v>0.38270461953348123</v>
      </c>
      <c r="F158" s="53">
        <v>0.97665672999999997</v>
      </c>
    </row>
    <row r="159" spans="1:8" ht="13" x14ac:dyDescent="0.15">
      <c r="A159" s="13">
        <v>43602</v>
      </c>
      <c r="B159" s="3" t="s">
        <v>489</v>
      </c>
      <c r="C159" s="3" t="s">
        <v>418</v>
      </c>
      <c r="D159" s="3">
        <v>15</v>
      </c>
      <c r="E159" s="3">
        <v>0.77235347613242777</v>
      </c>
      <c r="F159" s="23">
        <v>0.41966685999999997</v>
      </c>
    </row>
    <row r="160" spans="1:8" ht="13" x14ac:dyDescent="0.15">
      <c r="A160" s="13">
        <v>43566</v>
      </c>
      <c r="B160" s="3" t="s">
        <v>473</v>
      </c>
      <c r="C160" s="3" t="s">
        <v>418</v>
      </c>
      <c r="D160" s="3">
        <v>8</v>
      </c>
      <c r="E160" s="3">
        <v>0.67781426431616554</v>
      </c>
      <c r="F160" s="23">
        <v>0.29856149999999998</v>
      </c>
    </row>
    <row r="161" spans="1:8" ht="13" x14ac:dyDescent="0.15">
      <c r="A161" s="13">
        <v>42911</v>
      </c>
      <c r="B161" s="3" t="s">
        <v>250</v>
      </c>
      <c r="C161" s="3" t="s">
        <v>197</v>
      </c>
      <c r="D161" s="3">
        <v>32</v>
      </c>
      <c r="E161" s="3">
        <v>0.85814391125637601</v>
      </c>
      <c r="F161" s="53">
        <v>5.7390086E-2</v>
      </c>
    </row>
    <row r="162" spans="1:8" ht="13" x14ac:dyDescent="0.15">
      <c r="A162" s="13">
        <v>43517</v>
      </c>
      <c r="B162" s="3" t="s">
        <v>440</v>
      </c>
      <c r="C162" s="3" t="s">
        <v>418</v>
      </c>
      <c r="D162" s="3">
        <v>14</v>
      </c>
      <c r="E162" s="3">
        <v>0.472046468208692</v>
      </c>
      <c r="F162" s="53">
        <v>-0.106029265</v>
      </c>
    </row>
    <row r="163" spans="1:8" ht="13" x14ac:dyDescent="0.15">
      <c r="A163" s="13">
        <v>42475</v>
      </c>
      <c r="B163" s="3" t="s">
        <v>303</v>
      </c>
      <c r="C163" s="3" t="s">
        <v>274</v>
      </c>
      <c r="D163" s="3">
        <v>31</v>
      </c>
      <c r="E163" s="3">
        <v>0.85389249641263865</v>
      </c>
      <c r="F163" s="53">
        <v>1.0019482</v>
      </c>
    </row>
    <row r="164" spans="1:8" ht="13" x14ac:dyDescent="0.15">
      <c r="A164" s="13">
        <v>42826</v>
      </c>
      <c r="B164" s="3" t="s">
        <v>303</v>
      </c>
      <c r="C164" s="3" t="s">
        <v>197</v>
      </c>
      <c r="D164" s="3">
        <v>15</v>
      </c>
      <c r="E164" s="3">
        <v>0.86226677805625174</v>
      </c>
      <c r="F164" s="53">
        <v>0.51903630000000001</v>
      </c>
    </row>
    <row r="165" spans="1:8" ht="13" x14ac:dyDescent="0.15">
      <c r="A165" s="13">
        <v>42827</v>
      </c>
      <c r="B165" s="3" t="s">
        <v>340</v>
      </c>
      <c r="C165" s="3" t="s">
        <v>197</v>
      </c>
      <c r="D165" s="3">
        <v>12</v>
      </c>
      <c r="E165" s="3">
        <v>0.66735440931780365</v>
      </c>
      <c r="F165" s="53">
        <v>0.55136806000000005</v>
      </c>
    </row>
    <row r="166" spans="1:8" ht="13" x14ac:dyDescent="0.15">
      <c r="A166" s="13">
        <v>43573</v>
      </c>
      <c r="B166" s="3" t="s">
        <v>340</v>
      </c>
      <c r="C166" s="3" t="s">
        <v>418</v>
      </c>
      <c r="D166" s="3">
        <v>18</v>
      </c>
      <c r="E166" s="3">
        <v>0.82524787535410771</v>
      </c>
      <c r="F166" s="23">
        <v>0.62804199999999999</v>
      </c>
    </row>
    <row r="167" spans="1:8" ht="13" x14ac:dyDescent="0.15">
      <c r="A167" s="77">
        <v>42469</v>
      </c>
      <c r="B167" s="78" t="s">
        <v>293</v>
      </c>
      <c r="C167" s="78" t="s">
        <v>197</v>
      </c>
      <c r="D167" s="78">
        <v>16</v>
      </c>
      <c r="E167" s="78">
        <v>0.68298866062966046</v>
      </c>
      <c r="F167" s="79">
        <v>-2.4130946E-2</v>
      </c>
    </row>
    <row r="168" spans="1:8" ht="13" x14ac:dyDescent="0.15">
      <c r="A168" s="77">
        <v>42470</v>
      </c>
      <c r="B168" s="78" t="s">
        <v>293</v>
      </c>
      <c r="C168" s="78" t="s">
        <v>197</v>
      </c>
      <c r="D168" s="78">
        <v>30</v>
      </c>
      <c r="E168" s="78">
        <v>0.86808652246256246</v>
      </c>
      <c r="F168" s="79">
        <v>0.18991311999999999</v>
      </c>
    </row>
    <row r="169" spans="1:8" ht="13" x14ac:dyDescent="0.15">
      <c r="A169" s="77">
        <v>42806</v>
      </c>
      <c r="B169" s="78" t="s">
        <v>293</v>
      </c>
      <c r="C169" s="78" t="s">
        <v>197</v>
      </c>
      <c r="D169" s="78">
        <v>19</v>
      </c>
      <c r="E169" s="78">
        <v>0.57375719622937527</v>
      </c>
      <c r="F169" s="79">
        <v>0.70941496000000004</v>
      </c>
    </row>
    <row r="170" spans="1:8" ht="13" x14ac:dyDescent="0.15">
      <c r="A170" s="77">
        <v>43163</v>
      </c>
      <c r="B170" s="78" t="s">
        <v>293</v>
      </c>
      <c r="C170" s="78" t="s">
        <v>197</v>
      </c>
      <c r="D170" s="78">
        <v>17</v>
      </c>
      <c r="E170" s="78">
        <v>0.63043259050115963</v>
      </c>
      <c r="F170" s="79">
        <v>0.14971124</v>
      </c>
    </row>
    <row r="171" spans="1:8" ht="13" x14ac:dyDescent="0.15">
      <c r="A171" s="77">
        <v>43212</v>
      </c>
      <c r="B171" s="78" t="s">
        <v>293</v>
      </c>
      <c r="C171" s="78" t="s">
        <v>418</v>
      </c>
      <c r="D171" s="78">
        <v>8</v>
      </c>
      <c r="E171" s="78">
        <v>0.26572697003329637</v>
      </c>
      <c r="F171" s="79">
        <v>0.59065040000000002</v>
      </c>
      <c r="G171" s="81">
        <f t="shared" ref="G171:H171" si="6">AVERAGE(D167:D172)</f>
        <v>17.333333333333332</v>
      </c>
      <c r="H171" s="81">
        <f t="shared" si="6"/>
        <v>0.5561498855461986</v>
      </c>
    </row>
    <row r="172" spans="1:8" ht="13" x14ac:dyDescent="0.15">
      <c r="A172" s="77">
        <v>43520</v>
      </c>
      <c r="B172" s="78" t="s">
        <v>293</v>
      </c>
      <c r="C172" s="78" t="s">
        <v>418</v>
      </c>
      <c r="D172" s="78">
        <v>14</v>
      </c>
      <c r="E172" s="78">
        <v>0.31590737342113784</v>
      </c>
      <c r="F172" s="79">
        <v>0.23574919</v>
      </c>
      <c r="G172" s="81">
        <f>CORREL(D167:D172,F167:F172)</f>
        <v>-0.26732995714167285</v>
      </c>
      <c r="H172" s="81">
        <f>CORREL(E167:E172,F167:F172)</f>
        <v>-0.46155897115247391</v>
      </c>
    </row>
    <row r="173" spans="1:8" ht="13" x14ac:dyDescent="0.15">
      <c r="A173" s="13">
        <v>42468</v>
      </c>
      <c r="B173" s="3" t="s">
        <v>291</v>
      </c>
      <c r="C173" s="3" t="s">
        <v>274</v>
      </c>
      <c r="D173" s="3">
        <v>19</v>
      </c>
      <c r="E173" s="3">
        <v>0.81188805483028714</v>
      </c>
      <c r="F173" s="53">
        <v>3.6915910000000003E-2</v>
      </c>
      <c r="G173" s="81"/>
      <c r="H173" s="81"/>
    </row>
    <row r="174" spans="1:8" ht="13" x14ac:dyDescent="0.15">
      <c r="A174" s="13">
        <v>42420</v>
      </c>
      <c r="B174" s="3" t="s">
        <v>216</v>
      </c>
      <c r="C174" s="3" t="s">
        <v>197</v>
      </c>
      <c r="D174" s="3">
        <v>32</v>
      </c>
      <c r="E174" s="3">
        <v>0.78193124524163193</v>
      </c>
      <c r="F174" s="53">
        <v>0.50940980000000002</v>
      </c>
      <c r="G174" s="81"/>
      <c r="H174" s="81"/>
    </row>
    <row r="175" spans="1:8" ht="13" x14ac:dyDescent="0.15">
      <c r="A175" s="13">
        <v>42440</v>
      </c>
      <c r="B175" s="3" t="s">
        <v>246</v>
      </c>
      <c r="C175" s="3" t="s">
        <v>274</v>
      </c>
      <c r="D175" s="3">
        <v>9</v>
      </c>
      <c r="E175" s="3">
        <v>0.69087009803921573</v>
      </c>
      <c r="F175" s="53">
        <v>-5.0197369999999998E-2</v>
      </c>
      <c r="G175" s="81"/>
      <c r="H175" s="81"/>
    </row>
    <row r="176" spans="1:8" ht="13" x14ac:dyDescent="0.15">
      <c r="A176" s="13">
        <v>42908</v>
      </c>
      <c r="B176" s="3" t="s">
        <v>246</v>
      </c>
      <c r="C176" s="3" t="s">
        <v>197</v>
      </c>
      <c r="D176" s="3">
        <v>37</v>
      </c>
      <c r="E176" s="3">
        <v>0.81931476109682011</v>
      </c>
      <c r="F176" s="53">
        <v>1.19459545E-2</v>
      </c>
      <c r="G176" s="81"/>
      <c r="H176" s="81"/>
    </row>
    <row r="177" spans="1:8" ht="13" x14ac:dyDescent="0.15">
      <c r="A177" s="27">
        <v>42439</v>
      </c>
      <c r="B177" s="28" t="s">
        <v>266</v>
      </c>
      <c r="C177" s="28" t="s">
        <v>274</v>
      </c>
      <c r="D177" s="28">
        <v>21</v>
      </c>
      <c r="E177" s="28">
        <v>0.81053794690158321</v>
      </c>
      <c r="F177" s="83">
        <v>1.3783274999999999E-2</v>
      </c>
      <c r="G177" s="81"/>
      <c r="H177" s="81"/>
    </row>
    <row r="178" spans="1:8" ht="13" x14ac:dyDescent="0.15">
      <c r="A178" s="27">
        <v>42427</v>
      </c>
      <c r="B178" s="28" t="s">
        <v>266</v>
      </c>
      <c r="C178" s="28" t="s">
        <v>197</v>
      </c>
      <c r="D178" s="28">
        <v>24</v>
      </c>
      <c r="E178" s="28">
        <v>0.60864425618283269</v>
      </c>
      <c r="F178" s="83">
        <v>0.21941469999999999</v>
      </c>
      <c r="G178" s="81"/>
      <c r="H178" s="81"/>
    </row>
    <row r="179" spans="1:8" ht="13" x14ac:dyDescent="0.15">
      <c r="A179" s="27">
        <v>42428</v>
      </c>
      <c r="B179" s="28" t="s">
        <v>266</v>
      </c>
      <c r="C179" s="28" t="s">
        <v>197</v>
      </c>
      <c r="D179" s="28">
        <v>24</v>
      </c>
      <c r="E179" s="28">
        <v>0.58215758558349906</v>
      </c>
      <c r="F179" s="83">
        <v>0.34953867999999999</v>
      </c>
      <c r="G179" s="81"/>
      <c r="H179" s="81"/>
    </row>
    <row r="180" spans="1:8" ht="13" x14ac:dyDescent="0.15">
      <c r="A180" s="27">
        <v>43531</v>
      </c>
      <c r="B180" s="28" t="s">
        <v>266</v>
      </c>
      <c r="C180" s="28" t="s">
        <v>418</v>
      </c>
      <c r="D180" s="28">
        <v>17</v>
      </c>
      <c r="E180" s="28">
        <v>0.7114087294197684</v>
      </c>
      <c r="F180" s="83">
        <v>3.7570159999999998E-2</v>
      </c>
      <c r="G180" s="81">
        <f t="shared" ref="G180:H180" si="7">AVERAGE(D177:D181)</f>
        <v>21</v>
      </c>
      <c r="H180" s="81">
        <f t="shared" si="7"/>
        <v>0.71590411731977643</v>
      </c>
    </row>
    <row r="181" spans="1:8" ht="13" x14ac:dyDescent="0.15">
      <c r="A181" s="27">
        <v>43577</v>
      </c>
      <c r="B181" s="28" t="s">
        <v>266</v>
      </c>
      <c r="C181" s="28" t="s">
        <v>418</v>
      </c>
      <c r="D181" s="28">
        <v>19</v>
      </c>
      <c r="E181" s="28">
        <v>0.86677206851119892</v>
      </c>
      <c r="F181" s="82">
        <v>0.18369055000000001</v>
      </c>
      <c r="G181" s="81">
        <f>CORREL(D177:D181,F177:F181)</f>
        <v>0.69802108034300925</v>
      </c>
      <c r="H181" s="81">
        <f>CORREL(E177:E181,F177:F181)</f>
        <v>-0.60639033183888746</v>
      </c>
    </row>
    <row r="182" spans="1:8" ht="13" x14ac:dyDescent="0.15">
      <c r="A182" s="13">
        <v>42488</v>
      </c>
      <c r="B182" s="3" t="s">
        <v>230</v>
      </c>
      <c r="C182" s="3" t="s">
        <v>274</v>
      </c>
      <c r="D182" s="3">
        <v>5</v>
      </c>
      <c r="E182" s="3">
        <v>0.27943564850519442</v>
      </c>
      <c r="F182" s="53">
        <v>0.4289095</v>
      </c>
    </row>
    <row r="183" spans="1:8" ht="13" x14ac:dyDescent="0.15">
      <c r="A183" s="13">
        <v>42443</v>
      </c>
      <c r="B183" s="3" t="s">
        <v>230</v>
      </c>
      <c r="C183" s="3" t="s">
        <v>197</v>
      </c>
      <c r="D183" s="3">
        <v>11</v>
      </c>
      <c r="E183" s="3">
        <v>0.72519148056778993</v>
      </c>
      <c r="F183" s="53">
        <v>0.48203212000000001</v>
      </c>
    </row>
    <row r="184" spans="1:8" ht="13" x14ac:dyDescent="0.15">
      <c r="A184" s="13">
        <v>42798</v>
      </c>
      <c r="B184" s="3" t="s">
        <v>230</v>
      </c>
      <c r="C184" s="3" t="s">
        <v>197</v>
      </c>
      <c r="D184" s="3">
        <v>15</v>
      </c>
      <c r="E184" s="3">
        <v>0.69638601431741654</v>
      </c>
      <c r="F184" s="53">
        <v>0.82422470000000003</v>
      </c>
    </row>
    <row r="186" spans="1:8" ht="13" x14ac:dyDescent="0.15">
      <c r="F186" s="2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G137"/>
  <sheetViews>
    <sheetView workbookViewId="0"/>
  </sheetViews>
  <sheetFormatPr baseColWidth="10" defaultColWidth="12.6640625" defaultRowHeight="15.75" customHeight="1" x14ac:dyDescent="0.15"/>
  <cols>
    <col min="1" max="1" width="9.6640625" customWidth="1"/>
    <col min="2" max="2" width="17.83203125" customWidth="1"/>
    <col min="3" max="3" width="28.5" customWidth="1"/>
    <col min="4" max="4" width="33.6640625" customWidth="1"/>
  </cols>
  <sheetData>
    <row r="1" spans="1:7" ht="16" x14ac:dyDescent="0.2">
      <c r="A1" s="1" t="s">
        <v>2</v>
      </c>
      <c r="B1" s="2"/>
      <c r="C1" s="2"/>
      <c r="D1" s="4"/>
    </row>
    <row r="2" spans="1:7" ht="16" x14ac:dyDescent="0.2">
      <c r="A2" s="1" t="s">
        <v>6</v>
      </c>
      <c r="B2" s="2" t="s">
        <v>7</v>
      </c>
      <c r="C2" s="2" t="s">
        <v>10</v>
      </c>
      <c r="D2" s="4" t="s">
        <v>209</v>
      </c>
      <c r="E2" s="3" t="s">
        <v>1009</v>
      </c>
      <c r="F2" s="3" t="s">
        <v>1010</v>
      </c>
      <c r="G2" s="3" t="s">
        <v>1011</v>
      </c>
    </row>
    <row r="3" spans="1:7" ht="16" x14ac:dyDescent="0.2">
      <c r="A3" s="13">
        <v>43556</v>
      </c>
      <c r="B3" s="22" t="s">
        <v>456</v>
      </c>
      <c r="C3" s="22" t="s">
        <v>418</v>
      </c>
      <c r="D3" s="89">
        <v>0.66574913644214162</v>
      </c>
      <c r="E3" s="3">
        <v>17</v>
      </c>
      <c r="F3" s="22">
        <v>24</v>
      </c>
      <c r="G3" s="89">
        <f t="shared" ref="G3:G137" si="0">E3/F3</f>
        <v>0.70833333333333337</v>
      </c>
    </row>
    <row r="4" spans="1:7" ht="15.75" customHeight="1" x14ac:dyDescent="0.15">
      <c r="A4" s="13">
        <v>43557</v>
      </c>
      <c r="B4" s="3" t="s">
        <v>456</v>
      </c>
      <c r="C4" s="3" t="s">
        <v>418</v>
      </c>
      <c r="D4" s="89">
        <v>0.56376901905800492</v>
      </c>
      <c r="E4" s="3">
        <v>20</v>
      </c>
      <c r="F4" s="3">
        <v>27</v>
      </c>
      <c r="G4" s="89">
        <f t="shared" si="0"/>
        <v>0.7407407407407407</v>
      </c>
    </row>
    <row r="5" spans="1:7" ht="15.75" customHeight="1" x14ac:dyDescent="0.15">
      <c r="A5" s="13">
        <v>43558</v>
      </c>
      <c r="B5" s="3" t="s">
        <v>456</v>
      </c>
      <c r="C5" s="3" t="s">
        <v>418</v>
      </c>
      <c r="D5" s="89">
        <v>0.79987645169261179</v>
      </c>
      <c r="E5" s="3">
        <v>16</v>
      </c>
      <c r="F5" s="3">
        <v>22</v>
      </c>
      <c r="G5" s="89">
        <f t="shared" si="0"/>
        <v>0.72727272727272729</v>
      </c>
    </row>
    <row r="6" spans="1:7" ht="15.75" customHeight="1" x14ac:dyDescent="0.15">
      <c r="A6" s="13">
        <v>43559</v>
      </c>
      <c r="B6" s="3" t="s">
        <v>456</v>
      </c>
      <c r="C6" s="3" t="s">
        <v>418</v>
      </c>
      <c r="D6" s="89">
        <v>0.73509255334181156</v>
      </c>
      <c r="E6" s="3">
        <v>17</v>
      </c>
      <c r="F6" s="3">
        <v>25</v>
      </c>
      <c r="G6" s="89">
        <f t="shared" si="0"/>
        <v>0.68</v>
      </c>
    </row>
    <row r="7" spans="1:7" ht="15.75" customHeight="1" x14ac:dyDescent="0.15">
      <c r="A7" s="13">
        <v>43564</v>
      </c>
      <c r="B7" s="3" t="s">
        <v>456</v>
      </c>
      <c r="C7" s="3" t="s">
        <v>469</v>
      </c>
      <c r="D7" s="89">
        <v>0.68403361344537816</v>
      </c>
      <c r="E7" s="3">
        <v>5</v>
      </c>
      <c r="F7" s="3">
        <v>10</v>
      </c>
      <c r="G7" s="89">
        <f t="shared" si="0"/>
        <v>0.5</v>
      </c>
    </row>
    <row r="8" spans="1:7" ht="16" x14ac:dyDescent="0.2">
      <c r="A8" s="37">
        <v>43901</v>
      </c>
      <c r="B8" s="4" t="s">
        <v>456</v>
      </c>
      <c r="C8" s="4" t="s">
        <v>469</v>
      </c>
      <c r="D8" s="89">
        <v>0.24251688588695341</v>
      </c>
      <c r="E8" s="3">
        <v>5</v>
      </c>
      <c r="F8" s="3">
        <v>25</v>
      </c>
      <c r="G8" s="89">
        <f t="shared" si="0"/>
        <v>0.2</v>
      </c>
    </row>
    <row r="9" spans="1:7" ht="15.75" customHeight="1" x14ac:dyDescent="0.15">
      <c r="A9" s="13">
        <v>42804</v>
      </c>
      <c r="B9" s="3" t="s">
        <v>219</v>
      </c>
      <c r="C9" s="3" t="s">
        <v>333</v>
      </c>
      <c r="D9" s="89">
        <v>0.84733735077147099</v>
      </c>
      <c r="E9" s="3">
        <v>29</v>
      </c>
      <c r="F9" s="3">
        <v>26</v>
      </c>
      <c r="G9" s="89">
        <f t="shared" si="0"/>
        <v>1.1153846153846154</v>
      </c>
    </row>
    <row r="10" spans="1:7" ht="15.75" customHeight="1" x14ac:dyDescent="0.15">
      <c r="A10" s="13">
        <v>43160</v>
      </c>
      <c r="B10" s="3" t="s">
        <v>219</v>
      </c>
      <c r="C10" s="3" t="s">
        <v>333</v>
      </c>
      <c r="D10" s="89">
        <v>0.83583384307401432</v>
      </c>
      <c r="E10" s="3">
        <v>33</v>
      </c>
      <c r="F10" s="3">
        <v>39</v>
      </c>
      <c r="G10" s="89">
        <f t="shared" si="0"/>
        <v>0.84615384615384615</v>
      </c>
    </row>
    <row r="11" spans="1:7" ht="15.75" customHeight="1" x14ac:dyDescent="0.15">
      <c r="A11" s="13">
        <v>42437</v>
      </c>
      <c r="B11" s="3" t="s">
        <v>219</v>
      </c>
      <c r="C11" s="3" t="s">
        <v>269</v>
      </c>
      <c r="D11" s="89">
        <v>0.67878174789551649</v>
      </c>
      <c r="E11" s="3">
        <v>18</v>
      </c>
      <c r="F11" s="3">
        <v>37</v>
      </c>
      <c r="G11" s="89">
        <f t="shared" si="0"/>
        <v>0.48648648648648651</v>
      </c>
    </row>
    <row r="12" spans="1:7" ht="15.75" customHeight="1" x14ac:dyDescent="0.15">
      <c r="A12" s="13">
        <v>42910</v>
      </c>
      <c r="B12" s="3" t="s">
        <v>219</v>
      </c>
      <c r="C12" s="3" t="s">
        <v>197</v>
      </c>
      <c r="D12" s="89">
        <v>0.93699389193757154</v>
      </c>
      <c r="E12" s="3">
        <v>49</v>
      </c>
      <c r="F12" s="3">
        <v>27</v>
      </c>
      <c r="G12" s="89">
        <f t="shared" si="0"/>
        <v>1.8148148148148149</v>
      </c>
    </row>
    <row r="13" spans="1:7" ht="15.75" customHeight="1" x14ac:dyDescent="0.15">
      <c r="A13" s="13">
        <v>43230</v>
      </c>
      <c r="B13" s="3" t="s">
        <v>201</v>
      </c>
      <c r="C13" s="3" t="s">
        <v>299</v>
      </c>
      <c r="D13" s="89">
        <v>0.69913764031411096</v>
      </c>
      <c r="E13" s="3">
        <v>15</v>
      </c>
      <c r="F13" s="3">
        <v>25</v>
      </c>
      <c r="G13" s="89">
        <f t="shared" si="0"/>
        <v>0.6</v>
      </c>
    </row>
    <row r="14" spans="1:7" ht="15.75" customHeight="1" x14ac:dyDescent="0.15">
      <c r="A14" s="13">
        <v>43231</v>
      </c>
      <c r="B14" s="3" t="s">
        <v>201</v>
      </c>
      <c r="C14" s="3" t="s">
        <v>299</v>
      </c>
      <c r="D14" s="89">
        <v>0.80658566547660182</v>
      </c>
      <c r="E14" s="3">
        <v>24</v>
      </c>
      <c r="F14" s="3">
        <v>26</v>
      </c>
      <c r="G14" s="89">
        <f t="shared" si="0"/>
        <v>0.92307692307692313</v>
      </c>
    </row>
    <row r="15" spans="1:7" ht="15.75" customHeight="1" x14ac:dyDescent="0.15">
      <c r="A15" s="13">
        <v>42852</v>
      </c>
      <c r="B15" s="3" t="s">
        <v>201</v>
      </c>
      <c r="C15" s="3" t="s">
        <v>389</v>
      </c>
      <c r="D15" s="89">
        <v>0.6983904020042444</v>
      </c>
      <c r="E15" s="3">
        <v>11</v>
      </c>
      <c r="F15" s="3">
        <v>31</v>
      </c>
      <c r="G15" s="89">
        <f t="shared" si="0"/>
        <v>0.35483870967741937</v>
      </c>
    </row>
    <row r="16" spans="1:7" ht="15.75" customHeight="1" x14ac:dyDescent="0.15">
      <c r="A16" s="13">
        <v>43214</v>
      </c>
      <c r="B16" s="3" t="s">
        <v>201</v>
      </c>
      <c r="C16" s="3" t="s">
        <v>422</v>
      </c>
      <c r="D16" s="89">
        <v>0.54889783602185904</v>
      </c>
      <c r="E16" s="3">
        <v>21</v>
      </c>
      <c r="F16" s="3">
        <v>25</v>
      </c>
      <c r="G16" s="89">
        <f t="shared" si="0"/>
        <v>0.84</v>
      </c>
    </row>
    <row r="17" spans="1:7" ht="15.75" customHeight="1" x14ac:dyDescent="0.15">
      <c r="A17" s="13">
        <v>42467</v>
      </c>
      <c r="B17" s="3" t="s">
        <v>201</v>
      </c>
      <c r="C17" s="3" t="s">
        <v>274</v>
      </c>
      <c r="D17" s="89">
        <v>0.82433603772276542</v>
      </c>
      <c r="E17" s="3">
        <v>30</v>
      </c>
      <c r="F17" s="3">
        <v>41</v>
      </c>
      <c r="G17" s="89">
        <f t="shared" si="0"/>
        <v>0.73170731707317072</v>
      </c>
    </row>
    <row r="18" spans="1:7" ht="15.75" customHeight="1" x14ac:dyDescent="0.15">
      <c r="A18" s="13">
        <v>42479</v>
      </c>
      <c r="B18" s="3" t="s">
        <v>201</v>
      </c>
      <c r="C18" s="3" t="s">
        <v>274</v>
      </c>
      <c r="D18" s="89">
        <v>0.83207712532865907</v>
      </c>
      <c r="E18" s="3">
        <v>28</v>
      </c>
      <c r="F18" s="3">
        <v>29</v>
      </c>
      <c r="G18" s="89">
        <f t="shared" si="0"/>
        <v>0.96551724137931039</v>
      </c>
    </row>
    <row r="19" spans="1:7" ht="15.75" customHeight="1" x14ac:dyDescent="0.15">
      <c r="A19" s="13">
        <v>42778</v>
      </c>
      <c r="B19" s="3" t="s">
        <v>201</v>
      </c>
      <c r="C19" s="3" t="s">
        <v>197</v>
      </c>
      <c r="D19" s="89">
        <v>0.82891793241492995</v>
      </c>
      <c r="E19" s="3">
        <v>36</v>
      </c>
      <c r="F19" s="3">
        <v>47</v>
      </c>
      <c r="G19" s="89">
        <f t="shared" si="0"/>
        <v>0.76595744680851063</v>
      </c>
    </row>
    <row r="20" spans="1:7" ht="15.75" customHeight="1" x14ac:dyDescent="0.15">
      <c r="A20" s="13">
        <v>42831</v>
      </c>
      <c r="B20" s="3" t="s">
        <v>201</v>
      </c>
      <c r="C20" s="3" t="s">
        <v>197</v>
      </c>
      <c r="D20" s="89">
        <v>0.79202431037751797</v>
      </c>
      <c r="E20" s="3">
        <v>20</v>
      </c>
      <c r="F20" s="3">
        <v>55</v>
      </c>
      <c r="G20" s="89">
        <f t="shared" si="0"/>
        <v>0.36363636363636365</v>
      </c>
    </row>
    <row r="21" spans="1:7" ht="15.75" customHeight="1" x14ac:dyDescent="0.15">
      <c r="A21" s="13">
        <v>43134</v>
      </c>
      <c r="B21" s="3" t="s">
        <v>201</v>
      </c>
      <c r="C21" s="3" t="s">
        <v>197</v>
      </c>
      <c r="D21" s="89">
        <v>0.85321812161834776</v>
      </c>
      <c r="E21" s="3">
        <v>25</v>
      </c>
      <c r="F21" s="3">
        <v>35</v>
      </c>
      <c r="G21" s="89">
        <f t="shared" si="0"/>
        <v>0.7142857142857143</v>
      </c>
    </row>
    <row r="22" spans="1:7" ht="15.75" customHeight="1" x14ac:dyDescent="0.15">
      <c r="A22" s="13">
        <v>42804</v>
      </c>
      <c r="B22" s="3" t="s">
        <v>201</v>
      </c>
      <c r="C22" s="3" t="s">
        <v>325</v>
      </c>
      <c r="D22" s="89">
        <v>0.63478651898134997</v>
      </c>
      <c r="E22" s="3">
        <v>13</v>
      </c>
      <c r="F22" s="3">
        <v>24</v>
      </c>
      <c r="G22" s="89">
        <f t="shared" si="0"/>
        <v>0.54166666666666663</v>
      </c>
    </row>
    <row r="23" spans="1:7" ht="15.75" customHeight="1" x14ac:dyDescent="0.15">
      <c r="A23" s="13">
        <v>43238</v>
      </c>
      <c r="B23" s="3" t="s">
        <v>201</v>
      </c>
      <c r="C23" s="3" t="s">
        <v>325</v>
      </c>
      <c r="D23" s="89">
        <v>0.60154396535492372</v>
      </c>
      <c r="E23" s="3">
        <v>25</v>
      </c>
      <c r="F23" s="3">
        <v>25</v>
      </c>
      <c r="G23" s="89">
        <f t="shared" si="0"/>
        <v>1</v>
      </c>
    </row>
    <row r="24" spans="1:7" ht="15.75" customHeight="1" x14ac:dyDescent="0.15">
      <c r="A24" s="13">
        <v>43571</v>
      </c>
      <c r="B24" s="3" t="s">
        <v>201</v>
      </c>
      <c r="C24" s="3" t="s">
        <v>477</v>
      </c>
      <c r="D24" s="89">
        <v>0.85513262835077086</v>
      </c>
      <c r="E24" s="3">
        <v>16</v>
      </c>
      <c r="F24" s="3">
        <v>28</v>
      </c>
      <c r="G24" s="89">
        <f t="shared" si="0"/>
        <v>0.5714285714285714</v>
      </c>
    </row>
    <row r="25" spans="1:7" ht="15.75" customHeight="1" x14ac:dyDescent="0.15">
      <c r="A25" s="13">
        <v>43572</v>
      </c>
      <c r="B25" s="3" t="s">
        <v>201</v>
      </c>
      <c r="C25" s="3" t="s">
        <v>477</v>
      </c>
      <c r="D25" s="89">
        <v>0.72501689324119223</v>
      </c>
      <c r="E25" s="3">
        <v>23</v>
      </c>
      <c r="F25" s="3">
        <v>46</v>
      </c>
      <c r="G25" s="89">
        <f t="shared" si="0"/>
        <v>0.5</v>
      </c>
    </row>
    <row r="26" spans="1:7" ht="15.75" customHeight="1" x14ac:dyDescent="0.15">
      <c r="A26" s="13">
        <v>43573</v>
      </c>
      <c r="B26" s="3" t="s">
        <v>201</v>
      </c>
      <c r="C26" s="3" t="s">
        <v>477</v>
      </c>
      <c r="D26" s="89">
        <v>0.80307230805991459</v>
      </c>
      <c r="E26" s="3">
        <v>24</v>
      </c>
      <c r="F26" s="3">
        <v>46</v>
      </c>
      <c r="G26" s="89">
        <f t="shared" si="0"/>
        <v>0.52173913043478259</v>
      </c>
    </row>
    <row r="27" spans="1:7" ht="15.75" customHeight="1" x14ac:dyDescent="0.15">
      <c r="A27" s="13">
        <v>43485</v>
      </c>
      <c r="B27" s="3" t="s">
        <v>201</v>
      </c>
      <c r="C27" s="3" t="s">
        <v>418</v>
      </c>
      <c r="D27" s="89">
        <v>0.81516477339463389</v>
      </c>
      <c r="E27" s="3">
        <v>27</v>
      </c>
      <c r="F27" s="3">
        <v>52</v>
      </c>
      <c r="G27" s="89">
        <f t="shared" si="0"/>
        <v>0.51923076923076927</v>
      </c>
    </row>
    <row r="28" spans="1:7" ht="16" x14ac:dyDescent="0.2">
      <c r="A28" s="35">
        <v>43536</v>
      </c>
      <c r="B28" s="22" t="s">
        <v>201</v>
      </c>
      <c r="C28" s="22" t="s">
        <v>418</v>
      </c>
      <c r="D28" s="89">
        <v>0.80853429834233315</v>
      </c>
      <c r="E28" s="3">
        <v>40</v>
      </c>
      <c r="F28" s="22">
        <v>35</v>
      </c>
      <c r="G28" s="89">
        <f t="shared" si="0"/>
        <v>1.1428571428571428</v>
      </c>
    </row>
    <row r="29" spans="1:7" ht="15.75" customHeight="1" x14ac:dyDescent="0.15">
      <c r="A29" s="13">
        <v>43578</v>
      </c>
      <c r="B29" s="3" t="s">
        <v>201</v>
      </c>
      <c r="C29" s="3" t="s">
        <v>418</v>
      </c>
      <c r="D29" s="89">
        <v>0.77079001227998356</v>
      </c>
      <c r="E29" s="3">
        <v>13</v>
      </c>
      <c r="F29" s="3">
        <v>18</v>
      </c>
      <c r="G29" s="89">
        <f t="shared" si="0"/>
        <v>0.72222222222222221</v>
      </c>
    </row>
    <row r="30" spans="1:7" ht="15.75" customHeight="1" x14ac:dyDescent="0.15">
      <c r="A30" s="13">
        <v>43602</v>
      </c>
      <c r="B30" s="3" t="s">
        <v>244</v>
      </c>
      <c r="C30" s="3" t="s">
        <v>503</v>
      </c>
      <c r="D30" s="89">
        <v>0.67238081102920555</v>
      </c>
      <c r="E30" s="3">
        <v>16</v>
      </c>
      <c r="F30" s="3">
        <v>25</v>
      </c>
      <c r="G30" s="89">
        <f t="shared" si="0"/>
        <v>0.64</v>
      </c>
    </row>
    <row r="31" spans="1:7" ht="15.75" customHeight="1" x14ac:dyDescent="0.15">
      <c r="A31" s="13">
        <v>42464</v>
      </c>
      <c r="B31" s="3" t="s">
        <v>244</v>
      </c>
      <c r="C31" s="3" t="s">
        <v>278</v>
      </c>
      <c r="D31" s="89">
        <v>0.54599712062398631</v>
      </c>
      <c r="E31" s="3">
        <v>13</v>
      </c>
      <c r="F31" s="3">
        <v>26</v>
      </c>
      <c r="G31" s="89">
        <f t="shared" si="0"/>
        <v>0.5</v>
      </c>
    </row>
    <row r="32" spans="1:7" ht="15.75" customHeight="1" x14ac:dyDescent="0.15">
      <c r="A32" s="13">
        <v>42465</v>
      </c>
      <c r="B32" s="3" t="s">
        <v>244</v>
      </c>
      <c r="C32" s="3" t="s">
        <v>278</v>
      </c>
      <c r="D32" s="89">
        <v>0.70259661835748788</v>
      </c>
      <c r="E32" s="3">
        <v>20</v>
      </c>
      <c r="F32" s="3">
        <v>29</v>
      </c>
      <c r="G32" s="89">
        <f t="shared" si="0"/>
        <v>0.68965517241379315</v>
      </c>
    </row>
    <row r="33" spans="1:7" ht="15.75" customHeight="1" x14ac:dyDescent="0.15">
      <c r="A33" s="13">
        <v>42802</v>
      </c>
      <c r="B33" s="3" t="s">
        <v>244</v>
      </c>
      <c r="C33" s="3" t="s">
        <v>278</v>
      </c>
      <c r="D33" s="89">
        <v>0.81129094088057374</v>
      </c>
      <c r="E33" s="3">
        <v>20</v>
      </c>
      <c r="F33" s="3">
        <v>25</v>
      </c>
      <c r="G33" s="89">
        <f t="shared" si="0"/>
        <v>0.8</v>
      </c>
    </row>
    <row r="34" spans="1:7" ht="15.75" customHeight="1" x14ac:dyDescent="0.15">
      <c r="A34" s="13">
        <v>42823</v>
      </c>
      <c r="B34" s="3" t="s">
        <v>244</v>
      </c>
      <c r="C34" s="3" t="s">
        <v>278</v>
      </c>
      <c r="D34" s="89">
        <v>0.71360960081133618</v>
      </c>
      <c r="E34" s="3">
        <v>11</v>
      </c>
      <c r="F34" s="3">
        <v>26</v>
      </c>
      <c r="G34" s="89">
        <f t="shared" si="0"/>
        <v>0.42307692307692307</v>
      </c>
    </row>
    <row r="35" spans="1:7" ht="15.75" customHeight="1" x14ac:dyDescent="0.15">
      <c r="A35" s="13">
        <v>42844</v>
      </c>
      <c r="B35" s="3" t="s">
        <v>244</v>
      </c>
      <c r="C35" s="3" t="s">
        <v>278</v>
      </c>
      <c r="D35" s="89">
        <v>0.6290116444191991</v>
      </c>
      <c r="E35" s="3">
        <v>18</v>
      </c>
      <c r="F35" s="3">
        <v>24</v>
      </c>
      <c r="G35" s="89">
        <f t="shared" si="0"/>
        <v>0.75</v>
      </c>
    </row>
    <row r="36" spans="1:7" ht="15.75" customHeight="1" x14ac:dyDescent="0.15">
      <c r="A36" s="13">
        <v>42860</v>
      </c>
      <c r="B36" s="3" t="s">
        <v>244</v>
      </c>
      <c r="C36" s="3" t="s">
        <v>278</v>
      </c>
      <c r="D36" s="89">
        <v>0.62614585685256263</v>
      </c>
      <c r="E36" s="3">
        <v>21</v>
      </c>
      <c r="F36" s="3">
        <v>25</v>
      </c>
      <c r="G36" s="89">
        <f t="shared" si="0"/>
        <v>0.84</v>
      </c>
    </row>
    <row r="37" spans="1:7" ht="15.75" customHeight="1" x14ac:dyDescent="0.15">
      <c r="A37" s="13">
        <v>42866</v>
      </c>
      <c r="B37" s="3" t="s">
        <v>244</v>
      </c>
      <c r="C37" s="3" t="s">
        <v>278</v>
      </c>
      <c r="D37" s="89">
        <v>0.86088043327315655</v>
      </c>
      <c r="E37" s="3">
        <v>27</v>
      </c>
      <c r="F37" s="3">
        <v>24</v>
      </c>
      <c r="G37" s="89">
        <f t="shared" si="0"/>
        <v>1.125</v>
      </c>
    </row>
    <row r="38" spans="1:7" ht="15.75" customHeight="1" x14ac:dyDescent="0.15">
      <c r="A38" s="13">
        <v>43525</v>
      </c>
      <c r="B38" s="3" t="s">
        <v>244</v>
      </c>
      <c r="C38" s="3" t="s">
        <v>278</v>
      </c>
      <c r="D38" s="89">
        <v>0.8417048534121705</v>
      </c>
      <c r="E38" s="3">
        <v>27</v>
      </c>
      <c r="F38" s="3">
        <v>28</v>
      </c>
      <c r="G38" s="89">
        <f t="shared" si="0"/>
        <v>0.9642857142857143</v>
      </c>
    </row>
    <row r="39" spans="1:7" ht="15.75" customHeight="1" x14ac:dyDescent="0.15">
      <c r="A39" s="13">
        <v>42465</v>
      </c>
      <c r="B39" s="3" t="s">
        <v>244</v>
      </c>
      <c r="C39" s="3" t="s">
        <v>274</v>
      </c>
      <c r="D39" s="89">
        <v>0.80631075566939381</v>
      </c>
      <c r="E39" s="3">
        <v>22</v>
      </c>
      <c r="F39" s="3">
        <v>51</v>
      </c>
      <c r="G39" s="89">
        <f t="shared" si="0"/>
        <v>0.43137254901960786</v>
      </c>
    </row>
    <row r="40" spans="1:7" ht="15.75" customHeight="1" x14ac:dyDescent="0.15">
      <c r="A40" s="13">
        <v>42791</v>
      </c>
      <c r="B40" s="3" t="s">
        <v>244</v>
      </c>
      <c r="C40" s="3" t="s">
        <v>197</v>
      </c>
      <c r="D40" s="89">
        <v>0.84461019330014964</v>
      </c>
      <c r="E40" s="3">
        <v>36</v>
      </c>
      <c r="F40" s="3">
        <v>54</v>
      </c>
      <c r="G40" s="89">
        <f t="shared" si="0"/>
        <v>0.66666666666666663</v>
      </c>
    </row>
    <row r="41" spans="1:7" ht="15.75" customHeight="1" x14ac:dyDescent="0.15">
      <c r="A41" s="13">
        <v>43148</v>
      </c>
      <c r="B41" s="3" t="s">
        <v>244</v>
      </c>
      <c r="C41" s="3" t="s">
        <v>197</v>
      </c>
      <c r="D41" s="89">
        <v>0.8265324842099746</v>
      </c>
      <c r="E41" s="3">
        <v>33</v>
      </c>
      <c r="F41" s="3">
        <v>29</v>
      </c>
      <c r="G41" s="89">
        <f t="shared" si="0"/>
        <v>1.1379310344827587</v>
      </c>
    </row>
    <row r="42" spans="1:7" ht="16" x14ac:dyDescent="0.2">
      <c r="A42" s="33">
        <v>43533</v>
      </c>
      <c r="B42" s="22" t="s">
        <v>244</v>
      </c>
      <c r="C42" s="22" t="s">
        <v>418</v>
      </c>
      <c r="D42" s="89">
        <v>0.82420219717551269</v>
      </c>
      <c r="E42" s="3">
        <v>21</v>
      </c>
      <c r="F42" s="22">
        <v>24</v>
      </c>
      <c r="G42" s="89">
        <f t="shared" si="0"/>
        <v>0.875</v>
      </c>
    </row>
    <row r="43" spans="1:7" ht="15.75" customHeight="1" x14ac:dyDescent="0.15">
      <c r="A43" s="13">
        <v>42803</v>
      </c>
      <c r="B43" s="3" t="s">
        <v>244</v>
      </c>
      <c r="C43" s="3" t="s">
        <v>326</v>
      </c>
      <c r="D43" s="89">
        <v>0.87834890965732093</v>
      </c>
      <c r="E43" s="3">
        <v>24</v>
      </c>
      <c r="F43" s="3">
        <v>17</v>
      </c>
      <c r="G43" s="89">
        <f t="shared" si="0"/>
        <v>1.411764705882353</v>
      </c>
    </row>
    <row r="44" spans="1:7" ht="15.75" customHeight="1" x14ac:dyDescent="0.15">
      <c r="A44" s="13">
        <v>42850</v>
      </c>
      <c r="B44" s="3" t="s">
        <v>244</v>
      </c>
      <c r="C44" s="3" t="s">
        <v>326</v>
      </c>
      <c r="D44" s="89">
        <v>0.76070792457097625</v>
      </c>
      <c r="E44" s="3">
        <v>24</v>
      </c>
      <c r="F44" s="3">
        <v>34</v>
      </c>
      <c r="G44" s="89">
        <f t="shared" si="0"/>
        <v>0.70588235294117652</v>
      </c>
    </row>
    <row r="45" spans="1:7" ht="15.75" customHeight="1" x14ac:dyDescent="0.15">
      <c r="A45" s="13">
        <v>43207</v>
      </c>
      <c r="B45" s="3" t="s">
        <v>244</v>
      </c>
      <c r="C45" s="3" t="s">
        <v>326</v>
      </c>
      <c r="D45" s="89">
        <v>0.68526570048309177</v>
      </c>
      <c r="E45" s="3">
        <v>21</v>
      </c>
      <c r="F45" s="3">
        <v>30</v>
      </c>
      <c r="G45" s="89">
        <f t="shared" si="0"/>
        <v>0.7</v>
      </c>
    </row>
    <row r="46" spans="1:7" ht="15.75" customHeight="1" x14ac:dyDescent="0.15">
      <c r="A46" s="13">
        <v>43214</v>
      </c>
      <c r="B46" s="3" t="s">
        <v>244</v>
      </c>
      <c r="C46" s="3" t="s">
        <v>326</v>
      </c>
      <c r="D46" s="89">
        <v>0.7092394014962593</v>
      </c>
      <c r="E46" s="3">
        <v>24</v>
      </c>
      <c r="F46" s="3">
        <v>20</v>
      </c>
      <c r="G46" s="89">
        <f t="shared" si="0"/>
        <v>1.2</v>
      </c>
    </row>
    <row r="47" spans="1:7" ht="15.75" customHeight="1" x14ac:dyDescent="0.15">
      <c r="A47" s="13">
        <v>43564</v>
      </c>
      <c r="B47" s="3" t="s">
        <v>244</v>
      </c>
      <c r="C47" s="3" t="s">
        <v>326</v>
      </c>
      <c r="D47" s="89">
        <v>0.8501567398119122</v>
      </c>
      <c r="E47" s="3">
        <v>17</v>
      </c>
      <c r="F47" s="3">
        <v>28</v>
      </c>
      <c r="G47" s="89">
        <f t="shared" si="0"/>
        <v>0.6071428571428571</v>
      </c>
    </row>
    <row r="48" spans="1:7" ht="15.75" customHeight="1" x14ac:dyDescent="0.15">
      <c r="A48" s="13">
        <v>43571</v>
      </c>
      <c r="B48" s="3" t="s">
        <v>244</v>
      </c>
      <c r="C48" s="3" t="s">
        <v>326</v>
      </c>
      <c r="D48" s="89">
        <v>0.79538110410593632</v>
      </c>
      <c r="E48" s="3">
        <v>18</v>
      </c>
      <c r="F48" s="3">
        <v>20</v>
      </c>
      <c r="G48" s="89">
        <f t="shared" si="0"/>
        <v>0.9</v>
      </c>
    </row>
    <row r="49" spans="1:7" ht="16" x14ac:dyDescent="0.2">
      <c r="A49" s="37">
        <v>43893</v>
      </c>
      <c r="B49" s="4" t="s">
        <v>244</v>
      </c>
      <c r="C49" s="4" t="s">
        <v>326</v>
      </c>
      <c r="D49" s="89">
        <v>0.67871123155676005</v>
      </c>
      <c r="E49" s="3">
        <v>5</v>
      </c>
      <c r="F49" s="3">
        <v>9</v>
      </c>
      <c r="G49" s="89">
        <f t="shared" si="0"/>
        <v>0.55555555555555558</v>
      </c>
    </row>
    <row r="50" spans="1:7" ht="15.75" customHeight="1" x14ac:dyDescent="0.15">
      <c r="A50" s="13">
        <v>42836</v>
      </c>
      <c r="B50" s="3" t="s">
        <v>301</v>
      </c>
      <c r="C50" s="3" t="s">
        <v>347</v>
      </c>
      <c r="D50" s="89">
        <v>0.81463557420236121</v>
      </c>
      <c r="E50" s="3">
        <v>27</v>
      </c>
      <c r="F50" s="3">
        <v>33</v>
      </c>
      <c r="G50" s="89">
        <f t="shared" si="0"/>
        <v>0.81818181818181823</v>
      </c>
    </row>
    <row r="51" spans="1:7" ht="15.75" customHeight="1" x14ac:dyDescent="0.15">
      <c r="A51" s="13">
        <v>43577</v>
      </c>
      <c r="B51" s="3" t="s">
        <v>301</v>
      </c>
      <c r="C51" s="3" t="s">
        <v>347</v>
      </c>
      <c r="D51" s="89">
        <v>0.61736070781949237</v>
      </c>
      <c r="E51" s="3">
        <v>17</v>
      </c>
      <c r="F51" s="3">
        <v>40</v>
      </c>
      <c r="G51" s="89">
        <f t="shared" si="0"/>
        <v>0.42499999999999999</v>
      </c>
    </row>
    <row r="52" spans="1:7" ht="15.75" customHeight="1" x14ac:dyDescent="0.15">
      <c r="A52" s="13">
        <v>42471</v>
      </c>
      <c r="B52" s="3" t="s">
        <v>301</v>
      </c>
      <c r="C52" s="3" t="s">
        <v>302</v>
      </c>
      <c r="D52" s="89">
        <v>0.84094935774398349</v>
      </c>
      <c r="E52" s="3">
        <v>20</v>
      </c>
      <c r="F52" s="3">
        <v>25</v>
      </c>
      <c r="G52" s="89">
        <f t="shared" si="0"/>
        <v>0.8</v>
      </c>
    </row>
    <row r="53" spans="1:7" ht="15.75" customHeight="1" x14ac:dyDescent="0.15">
      <c r="A53" s="13">
        <v>42834</v>
      </c>
      <c r="B53" s="3" t="s">
        <v>301</v>
      </c>
      <c r="C53" s="3" t="s">
        <v>344</v>
      </c>
      <c r="D53" s="89">
        <v>0.8215836425357228</v>
      </c>
      <c r="E53" s="3">
        <v>15</v>
      </c>
      <c r="F53" s="3">
        <v>25</v>
      </c>
      <c r="G53" s="89">
        <f t="shared" si="0"/>
        <v>0.6</v>
      </c>
    </row>
    <row r="54" spans="1:7" ht="13" x14ac:dyDescent="0.15">
      <c r="A54" s="13">
        <v>43572</v>
      </c>
      <c r="B54" s="3" t="s">
        <v>259</v>
      </c>
      <c r="C54" s="3" t="s">
        <v>482</v>
      </c>
      <c r="D54" s="89">
        <v>0.81411742736652093</v>
      </c>
      <c r="E54" s="3">
        <v>12</v>
      </c>
      <c r="F54" s="3">
        <v>22</v>
      </c>
      <c r="G54" s="89">
        <f t="shared" si="0"/>
        <v>0.54545454545454541</v>
      </c>
    </row>
    <row r="55" spans="1:7" ht="13" x14ac:dyDescent="0.15">
      <c r="A55" s="13">
        <v>43573</v>
      </c>
      <c r="B55" s="3" t="s">
        <v>259</v>
      </c>
      <c r="C55" s="3" t="s">
        <v>482</v>
      </c>
      <c r="D55" s="89">
        <v>0.57998148552646633</v>
      </c>
      <c r="E55" s="3">
        <v>11</v>
      </c>
      <c r="F55" s="3">
        <v>28</v>
      </c>
      <c r="G55" s="89">
        <f t="shared" si="0"/>
        <v>0.39285714285714285</v>
      </c>
    </row>
    <row r="56" spans="1:7" ht="13" x14ac:dyDescent="0.15">
      <c r="A56" s="13">
        <v>42838</v>
      </c>
      <c r="B56" s="3" t="s">
        <v>259</v>
      </c>
      <c r="C56" s="3" t="s">
        <v>358</v>
      </c>
      <c r="D56" s="89">
        <v>0.64121059461109842</v>
      </c>
      <c r="E56" s="3">
        <v>15</v>
      </c>
      <c r="F56" s="3">
        <v>27</v>
      </c>
      <c r="G56" s="89">
        <f t="shared" si="0"/>
        <v>0.55555555555555558</v>
      </c>
    </row>
    <row r="57" spans="1:7" ht="13" x14ac:dyDescent="0.15">
      <c r="A57" s="13">
        <v>43238</v>
      </c>
      <c r="B57" s="3" t="s">
        <v>259</v>
      </c>
      <c r="C57" s="3" t="s">
        <v>358</v>
      </c>
      <c r="D57" s="89">
        <v>0.71768664563617246</v>
      </c>
      <c r="E57" s="3">
        <v>25</v>
      </c>
      <c r="F57" s="3">
        <v>46</v>
      </c>
      <c r="G57" s="89">
        <f t="shared" si="0"/>
        <v>0.54347826086956519</v>
      </c>
    </row>
    <row r="58" spans="1:7" ht="13" x14ac:dyDescent="0.15">
      <c r="A58" s="13">
        <v>42810</v>
      </c>
      <c r="B58" s="3" t="s">
        <v>337</v>
      </c>
      <c r="C58" s="3" t="s">
        <v>313</v>
      </c>
      <c r="D58" s="89">
        <v>0.72092453030954928</v>
      </c>
      <c r="E58" s="3">
        <v>19</v>
      </c>
      <c r="F58" s="3">
        <v>30</v>
      </c>
      <c r="G58" s="89">
        <f t="shared" si="0"/>
        <v>0.6333333333333333</v>
      </c>
    </row>
    <row r="59" spans="1:7" ht="13" x14ac:dyDescent="0.15">
      <c r="A59" s="13">
        <v>42853</v>
      </c>
      <c r="B59" s="3" t="s">
        <v>374</v>
      </c>
      <c r="C59" s="3" t="s">
        <v>391</v>
      </c>
      <c r="D59" s="89">
        <v>0.67044224803405239</v>
      </c>
      <c r="E59" s="3">
        <v>7</v>
      </c>
      <c r="F59" s="3">
        <v>11</v>
      </c>
      <c r="G59" s="89">
        <f t="shared" si="0"/>
        <v>0.63636363636363635</v>
      </c>
    </row>
    <row r="60" spans="1:7" ht="13" x14ac:dyDescent="0.15">
      <c r="A60" s="13">
        <v>42850</v>
      </c>
      <c r="B60" s="3" t="s">
        <v>374</v>
      </c>
      <c r="C60" s="3" t="s">
        <v>375</v>
      </c>
      <c r="D60" s="89">
        <v>0.91909361783929255</v>
      </c>
      <c r="E60" s="3">
        <v>28</v>
      </c>
      <c r="F60" s="3">
        <v>20</v>
      </c>
      <c r="G60" s="89">
        <f t="shared" si="0"/>
        <v>1.4</v>
      </c>
    </row>
    <row r="61" spans="1:7" ht="16" x14ac:dyDescent="0.2">
      <c r="A61" s="33">
        <v>43840</v>
      </c>
      <c r="B61" s="4" t="s">
        <v>511</v>
      </c>
      <c r="C61" s="4" t="s">
        <v>508</v>
      </c>
      <c r="D61" s="89">
        <v>0.48975697665173723</v>
      </c>
      <c r="E61" s="3">
        <v>2</v>
      </c>
      <c r="F61" s="3">
        <v>24</v>
      </c>
      <c r="G61" s="89">
        <f t="shared" si="0"/>
        <v>8.3333333333333329E-2</v>
      </c>
    </row>
    <row r="62" spans="1:7" ht="16" x14ac:dyDescent="0.2">
      <c r="A62" s="35">
        <v>43868</v>
      </c>
      <c r="B62" s="4" t="s">
        <v>511</v>
      </c>
      <c r="C62" s="3" t="s">
        <v>508</v>
      </c>
      <c r="D62" s="89">
        <v>0.48460174063284045</v>
      </c>
      <c r="E62" s="3">
        <v>3</v>
      </c>
      <c r="F62" s="3">
        <v>25</v>
      </c>
      <c r="G62" s="89">
        <f t="shared" si="0"/>
        <v>0.12</v>
      </c>
    </row>
    <row r="63" spans="1:7" ht="13" x14ac:dyDescent="0.15">
      <c r="A63" s="13">
        <v>43587</v>
      </c>
      <c r="B63" s="3" t="s">
        <v>499</v>
      </c>
      <c r="C63" s="3" t="s">
        <v>418</v>
      </c>
      <c r="D63" s="89">
        <v>0.58147312541473117</v>
      </c>
      <c r="E63" s="3">
        <v>16</v>
      </c>
      <c r="F63" s="3">
        <v>18</v>
      </c>
      <c r="G63" s="89">
        <f t="shared" si="0"/>
        <v>0.88888888888888884</v>
      </c>
    </row>
    <row r="64" spans="1:7" ht="13" x14ac:dyDescent="0.15">
      <c r="A64" s="13">
        <v>42804</v>
      </c>
      <c r="B64" s="3" t="s">
        <v>329</v>
      </c>
      <c r="C64" s="3" t="s">
        <v>330</v>
      </c>
      <c r="D64" s="89">
        <v>0.74775910364145659</v>
      </c>
      <c r="E64" s="3">
        <v>8</v>
      </c>
      <c r="F64" s="3">
        <v>22</v>
      </c>
      <c r="G64" s="89">
        <f t="shared" si="0"/>
        <v>0.36363636363636365</v>
      </c>
    </row>
    <row r="65" spans="1:7" ht="13" x14ac:dyDescent="0.15">
      <c r="A65" s="13">
        <v>43216</v>
      </c>
      <c r="B65" s="3" t="s">
        <v>329</v>
      </c>
      <c r="C65" s="3" t="s">
        <v>330</v>
      </c>
      <c r="D65" s="89">
        <v>0.67296002288493173</v>
      </c>
      <c r="E65" s="3">
        <v>10</v>
      </c>
      <c r="F65" s="3">
        <v>23</v>
      </c>
      <c r="G65" s="89">
        <f t="shared" si="0"/>
        <v>0.43478260869565216</v>
      </c>
    </row>
    <row r="66" spans="1:7" ht="13" x14ac:dyDescent="0.15">
      <c r="A66" s="13">
        <v>43734</v>
      </c>
      <c r="B66" s="3" t="s">
        <v>329</v>
      </c>
      <c r="C66" s="3" t="s">
        <v>286</v>
      </c>
      <c r="D66" s="89">
        <v>0.10376447876447881</v>
      </c>
      <c r="E66" s="3">
        <v>4</v>
      </c>
      <c r="F66" s="3">
        <v>6</v>
      </c>
      <c r="G66" s="89">
        <f t="shared" si="0"/>
        <v>0.66666666666666663</v>
      </c>
    </row>
    <row r="67" spans="1:7" ht="13" x14ac:dyDescent="0.15">
      <c r="A67" s="13">
        <v>43735</v>
      </c>
      <c r="B67" s="3" t="s">
        <v>329</v>
      </c>
      <c r="C67" s="3" t="s">
        <v>286</v>
      </c>
      <c r="D67" s="89">
        <v>0.76805138298974418</v>
      </c>
      <c r="E67" s="3">
        <v>9</v>
      </c>
      <c r="F67" s="3">
        <v>19</v>
      </c>
      <c r="G67" s="89">
        <f t="shared" si="0"/>
        <v>0.47368421052631576</v>
      </c>
    </row>
    <row r="68" spans="1:7" ht="13" x14ac:dyDescent="0.15">
      <c r="A68" s="13">
        <v>42495</v>
      </c>
      <c r="B68" s="3" t="s">
        <v>307</v>
      </c>
      <c r="C68" s="3" t="s">
        <v>308</v>
      </c>
      <c r="D68" s="89">
        <v>0.72768951281891703</v>
      </c>
      <c r="E68" s="3">
        <v>17</v>
      </c>
      <c r="F68" s="3">
        <v>64</v>
      </c>
      <c r="G68" s="89">
        <f t="shared" si="0"/>
        <v>0.265625</v>
      </c>
    </row>
    <row r="69" spans="1:7" ht="13" x14ac:dyDescent="0.15">
      <c r="A69" s="13">
        <v>42510</v>
      </c>
      <c r="B69" s="3" t="s">
        <v>310</v>
      </c>
      <c r="C69" s="3" t="s">
        <v>197</v>
      </c>
      <c r="D69" s="89">
        <v>0.82321915530429002</v>
      </c>
      <c r="E69" s="3">
        <v>16</v>
      </c>
      <c r="F69" s="3">
        <v>41</v>
      </c>
      <c r="G69" s="89">
        <f t="shared" si="0"/>
        <v>0.3902439024390244</v>
      </c>
    </row>
    <row r="70" spans="1:7" ht="13" x14ac:dyDescent="0.15">
      <c r="A70" s="13">
        <v>42838</v>
      </c>
      <c r="B70" s="3" t="s">
        <v>352</v>
      </c>
      <c r="C70" s="3" t="s">
        <v>353</v>
      </c>
      <c r="D70" s="89">
        <v>0.5548403522630091</v>
      </c>
      <c r="E70" s="3">
        <v>18</v>
      </c>
      <c r="F70" s="3">
        <v>40</v>
      </c>
      <c r="G70" s="89">
        <f t="shared" si="0"/>
        <v>0.45</v>
      </c>
    </row>
    <row r="71" spans="1:7" ht="13" x14ac:dyDescent="0.15">
      <c r="A71" s="13">
        <v>42465</v>
      </c>
      <c r="B71" s="3" t="s">
        <v>280</v>
      </c>
      <c r="C71" s="3" t="s">
        <v>274</v>
      </c>
      <c r="D71" s="89">
        <v>0.38270461953348123</v>
      </c>
      <c r="E71" s="3">
        <v>17</v>
      </c>
      <c r="F71" s="3">
        <v>73</v>
      </c>
      <c r="G71" s="89">
        <f t="shared" si="0"/>
        <v>0.23287671232876711</v>
      </c>
    </row>
    <row r="72" spans="1:7" ht="13" x14ac:dyDescent="0.15">
      <c r="A72" s="13">
        <v>43573</v>
      </c>
      <c r="B72" s="3" t="s">
        <v>489</v>
      </c>
      <c r="C72" s="3" t="s">
        <v>367</v>
      </c>
      <c r="D72" s="89">
        <v>0.81131355196946031</v>
      </c>
      <c r="E72" s="3">
        <v>16</v>
      </c>
      <c r="F72" s="3">
        <v>26</v>
      </c>
      <c r="G72" s="89">
        <f t="shared" si="0"/>
        <v>0.61538461538461542</v>
      </c>
    </row>
    <row r="73" spans="1:7" ht="13" x14ac:dyDescent="0.15">
      <c r="A73" s="13">
        <v>43602</v>
      </c>
      <c r="B73" s="3" t="s">
        <v>489</v>
      </c>
      <c r="C73" s="3" t="s">
        <v>418</v>
      </c>
      <c r="D73" s="89">
        <v>0.77235347613242777</v>
      </c>
      <c r="E73" s="3">
        <v>15</v>
      </c>
      <c r="F73" s="3">
        <v>19</v>
      </c>
      <c r="G73" s="89">
        <f t="shared" si="0"/>
        <v>0.78947368421052633</v>
      </c>
    </row>
    <row r="74" spans="1:7" ht="13" x14ac:dyDescent="0.15">
      <c r="A74" s="13">
        <v>43566</v>
      </c>
      <c r="B74" s="3" t="s">
        <v>473</v>
      </c>
      <c r="C74" s="3" t="s">
        <v>418</v>
      </c>
      <c r="D74" s="89">
        <v>0.67781426431616554</v>
      </c>
      <c r="E74" s="3">
        <v>8</v>
      </c>
      <c r="F74" s="3">
        <v>29</v>
      </c>
      <c r="G74" s="89">
        <f t="shared" si="0"/>
        <v>0.27586206896551724</v>
      </c>
    </row>
    <row r="75" spans="1:7" ht="13" x14ac:dyDescent="0.15">
      <c r="A75" s="13">
        <v>42844</v>
      </c>
      <c r="B75" s="3" t="s">
        <v>369</v>
      </c>
      <c r="C75" s="3" t="s">
        <v>321</v>
      </c>
      <c r="D75" s="89">
        <v>0.78194353785900783</v>
      </c>
      <c r="E75" s="3">
        <v>13</v>
      </c>
      <c r="F75" s="3">
        <v>19</v>
      </c>
      <c r="G75" s="89">
        <f t="shared" si="0"/>
        <v>0.68421052631578949</v>
      </c>
    </row>
    <row r="76" spans="1:7" ht="13" x14ac:dyDescent="0.15">
      <c r="A76" s="13">
        <v>42851</v>
      </c>
      <c r="B76" s="3" t="s">
        <v>369</v>
      </c>
      <c r="C76" s="3" t="s">
        <v>321</v>
      </c>
      <c r="D76" s="89">
        <v>0.86149308252681966</v>
      </c>
      <c r="E76" s="3">
        <v>19</v>
      </c>
      <c r="F76" s="3">
        <v>23</v>
      </c>
      <c r="G76" s="89">
        <f t="shared" si="0"/>
        <v>0.82608695652173914</v>
      </c>
    </row>
    <row r="77" spans="1:7" ht="13" x14ac:dyDescent="0.15">
      <c r="A77" s="13">
        <v>42850</v>
      </c>
      <c r="B77" s="3" t="s">
        <v>250</v>
      </c>
      <c r="C77" s="3" t="s">
        <v>372</v>
      </c>
      <c r="D77" s="89">
        <v>0.82728769701246763</v>
      </c>
      <c r="E77" s="3">
        <v>20</v>
      </c>
      <c r="F77" s="3">
        <v>23</v>
      </c>
      <c r="G77" s="89">
        <f t="shared" si="0"/>
        <v>0.86956521739130432</v>
      </c>
    </row>
    <row r="78" spans="1:7" ht="13" x14ac:dyDescent="0.15">
      <c r="A78" s="13">
        <v>42911</v>
      </c>
      <c r="B78" s="3" t="s">
        <v>250</v>
      </c>
      <c r="C78" s="3" t="s">
        <v>197</v>
      </c>
      <c r="D78" s="89">
        <v>0.85814391125637601</v>
      </c>
      <c r="E78" s="3">
        <v>32</v>
      </c>
      <c r="F78" s="3">
        <v>26</v>
      </c>
      <c r="G78" s="89">
        <f t="shared" si="0"/>
        <v>1.2307692307692308</v>
      </c>
    </row>
    <row r="79" spans="1:7" ht="13" x14ac:dyDescent="0.15">
      <c r="A79" s="13">
        <v>42467</v>
      </c>
      <c r="B79" s="3" t="s">
        <v>233</v>
      </c>
      <c r="C79" s="3" t="s">
        <v>286</v>
      </c>
      <c r="D79" s="89">
        <v>0.82260909935004645</v>
      </c>
      <c r="E79" s="3">
        <v>13</v>
      </c>
      <c r="F79" s="3">
        <v>25</v>
      </c>
      <c r="G79" s="89">
        <f t="shared" si="0"/>
        <v>0.52</v>
      </c>
    </row>
    <row r="80" spans="1:7" ht="13" x14ac:dyDescent="0.15">
      <c r="A80" s="13">
        <v>42761</v>
      </c>
      <c r="B80" s="3" t="s">
        <v>233</v>
      </c>
      <c r="C80" s="3" t="s">
        <v>286</v>
      </c>
      <c r="D80" s="89">
        <v>0.63255967349631037</v>
      </c>
      <c r="E80" s="3">
        <v>7</v>
      </c>
      <c r="F80" s="3">
        <v>20</v>
      </c>
      <c r="G80" s="89">
        <f t="shared" si="0"/>
        <v>0.35</v>
      </c>
    </row>
    <row r="81" spans="1:7" ht="13" x14ac:dyDescent="0.15">
      <c r="A81" s="13">
        <v>43160</v>
      </c>
      <c r="B81" s="3" t="s">
        <v>233</v>
      </c>
      <c r="C81" s="3" t="s">
        <v>286</v>
      </c>
      <c r="D81" s="89">
        <v>0.73529118964659035</v>
      </c>
      <c r="E81" s="3">
        <v>11</v>
      </c>
      <c r="F81" s="3">
        <v>28</v>
      </c>
      <c r="G81" s="89">
        <f t="shared" si="0"/>
        <v>0.39285714285714285</v>
      </c>
    </row>
    <row r="82" spans="1:7" ht="13" x14ac:dyDescent="0.15">
      <c r="A82" s="13">
        <v>43531</v>
      </c>
      <c r="B82" s="3" t="s">
        <v>233</v>
      </c>
      <c r="C82" s="3" t="s">
        <v>286</v>
      </c>
      <c r="D82" s="89">
        <v>0.66150069050176463</v>
      </c>
      <c r="E82" s="3">
        <v>11</v>
      </c>
      <c r="F82" s="3">
        <v>23</v>
      </c>
      <c r="G82" s="89">
        <f t="shared" si="0"/>
        <v>0.47826086956521741</v>
      </c>
    </row>
    <row r="83" spans="1:7" ht="16" x14ac:dyDescent="0.2">
      <c r="A83" s="35">
        <v>43885</v>
      </c>
      <c r="B83" s="3" t="s">
        <v>233</v>
      </c>
      <c r="C83" s="3" t="s">
        <v>286</v>
      </c>
      <c r="D83" s="89">
        <v>0.59794871794871796</v>
      </c>
      <c r="E83" s="3">
        <v>11</v>
      </c>
      <c r="F83" s="3">
        <v>28</v>
      </c>
      <c r="G83" s="89">
        <f t="shared" si="0"/>
        <v>0.39285714285714285</v>
      </c>
    </row>
    <row r="84" spans="1:7" ht="13" x14ac:dyDescent="0.15">
      <c r="A84" s="13">
        <v>43517</v>
      </c>
      <c r="B84" s="3" t="s">
        <v>440</v>
      </c>
      <c r="C84" s="3" t="s">
        <v>418</v>
      </c>
      <c r="D84" s="89">
        <v>0.472046468208692</v>
      </c>
      <c r="E84" s="3">
        <v>14</v>
      </c>
      <c r="F84" s="3">
        <v>25</v>
      </c>
      <c r="G84" s="89">
        <f t="shared" si="0"/>
        <v>0.56000000000000005</v>
      </c>
    </row>
    <row r="85" spans="1:7" ht="13" x14ac:dyDescent="0.15">
      <c r="A85" s="13">
        <v>42481</v>
      </c>
      <c r="B85" s="3" t="s">
        <v>240</v>
      </c>
      <c r="C85" s="3" t="s">
        <v>286</v>
      </c>
      <c r="D85" s="89">
        <v>0.38463900072805102</v>
      </c>
      <c r="E85" s="3">
        <v>18</v>
      </c>
      <c r="F85" s="3">
        <v>29</v>
      </c>
      <c r="G85" s="89">
        <f t="shared" si="0"/>
        <v>0.62068965517241381</v>
      </c>
    </row>
    <row r="86" spans="1:7" ht="13" x14ac:dyDescent="0.15">
      <c r="A86" s="13">
        <v>42475</v>
      </c>
      <c r="B86" s="3" t="s">
        <v>303</v>
      </c>
      <c r="C86" s="3" t="s">
        <v>274</v>
      </c>
      <c r="D86" s="89">
        <v>0.85389249641263865</v>
      </c>
      <c r="E86" s="3">
        <v>31</v>
      </c>
      <c r="F86" s="3">
        <v>35</v>
      </c>
      <c r="G86" s="89">
        <f t="shared" si="0"/>
        <v>0.88571428571428568</v>
      </c>
    </row>
    <row r="87" spans="1:7" ht="13" x14ac:dyDescent="0.15">
      <c r="A87" s="13">
        <v>42826</v>
      </c>
      <c r="B87" s="3" t="s">
        <v>303</v>
      </c>
      <c r="C87" s="3" t="s">
        <v>197</v>
      </c>
      <c r="D87" s="89">
        <v>0.86226677805625174</v>
      </c>
      <c r="E87" s="3">
        <v>15</v>
      </c>
      <c r="F87" s="3">
        <v>20</v>
      </c>
      <c r="G87" s="89">
        <f t="shared" si="0"/>
        <v>0.75</v>
      </c>
    </row>
    <row r="88" spans="1:7" ht="13" x14ac:dyDescent="0.15">
      <c r="A88" s="13">
        <v>42788</v>
      </c>
      <c r="B88" s="3" t="s">
        <v>320</v>
      </c>
      <c r="C88" s="3" t="s">
        <v>321</v>
      </c>
      <c r="D88" s="89">
        <v>0.85387504267668146</v>
      </c>
      <c r="E88" s="3">
        <v>12</v>
      </c>
      <c r="F88" s="3">
        <v>12</v>
      </c>
      <c r="G88" s="89">
        <f t="shared" si="0"/>
        <v>1</v>
      </c>
    </row>
    <row r="89" spans="1:7" ht="13" x14ac:dyDescent="0.15">
      <c r="A89" s="13">
        <v>42851</v>
      </c>
      <c r="B89" s="3" t="s">
        <v>340</v>
      </c>
      <c r="C89" s="3" t="s">
        <v>381</v>
      </c>
      <c r="D89" s="89">
        <v>0.5345179694960458</v>
      </c>
      <c r="E89" s="3">
        <v>13</v>
      </c>
      <c r="F89" s="3">
        <v>75</v>
      </c>
      <c r="G89" s="89">
        <f t="shared" si="0"/>
        <v>0.17333333333333334</v>
      </c>
    </row>
    <row r="90" spans="1:7" ht="13" x14ac:dyDescent="0.15">
      <c r="A90" s="13">
        <v>43215</v>
      </c>
      <c r="B90" s="3" t="s">
        <v>340</v>
      </c>
      <c r="C90" s="3" t="s">
        <v>381</v>
      </c>
      <c r="D90" s="89">
        <v>0.58081931940433718</v>
      </c>
      <c r="E90" s="3">
        <v>11</v>
      </c>
      <c r="F90" s="3">
        <v>50</v>
      </c>
      <c r="G90" s="89">
        <f t="shared" si="0"/>
        <v>0.22</v>
      </c>
    </row>
    <row r="91" spans="1:7" ht="13" x14ac:dyDescent="0.15">
      <c r="A91" s="13">
        <v>42827</v>
      </c>
      <c r="B91" s="3" t="s">
        <v>340</v>
      </c>
      <c r="C91" s="3" t="s">
        <v>197</v>
      </c>
      <c r="D91" s="89">
        <v>0.66735440931780365</v>
      </c>
      <c r="E91" s="3">
        <v>12</v>
      </c>
      <c r="F91" s="3">
        <v>28</v>
      </c>
      <c r="G91" s="89">
        <f t="shared" si="0"/>
        <v>0.42857142857142855</v>
      </c>
    </row>
    <row r="92" spans="1:7" ht="13" x14ac:dyDescent="0.15">
      <c r="A92" s="13">
        <v>43573</v>
      </c>
      <c r="B92" s="3" t="s">
        <v>340</v>
      </c>
      <c r="C92" s="3" t="s">
        <v>418</v>
      </c>
      <c r="D92" s="89">
        <v>0.82524787535410771</v>
      </c>
      <c r="E92" s="3">
        <v>18</v>
      </c>
      <c r="F92" s="3">
        <v>26</v>
      </c>
      <c r="G92" s="89">
        <f t="shared" si="0"/>
        <v>0.69230769230769229</v>
      </c>
    </row>
    <row r="93" spans="1:7" ht="16" x14ac:dyDescent="0.2">
      <c r="A93" s="13">
        <v>43882</v>
      </c>
      <c r="B93" s="3" t="s">
        <v>340</v>
      </c>
      <c r="C93" s="4" t="s">
        <v>508</v>
      </c>
      <c r="D93" s="89">
        <v>0.49541037349256523</v>
      </c>
      <c r="E93" s="3">
        <v>7</v>
      </c>
      <c r="F93" s="3">
        <v>25</v>
      </c>
      <c r="G93" s="89">
        <f t="shared" si="0"/>
        <v>0.28000000000000003</v>
      </c>
    </row>
    <row r="94" spans="1:7" ht="13" x14ac:dyDescent="0.15">
      <c r="A94" s="13">
        <v>43577</v>
      </c>
      <c r="B94" s="3" t="s">
        <v>293</v>
      </c>
      <c r="C94" s="3" t="s">
        <v>496</v>
      </c>
      <c r="D94" s="89">
        <v>0.46811844858723595</v>
      </c>
      <c r="E94" s="3">
        <v>14</v>
      </c>
      <c r="F94" s="3">
        <v>27</v>
      </c>
      <c r="G94" s="89">
        <f t="shared" si="0"/>
        <v>0.51851851851851849</v>
      </c>
    </row>
    <row r="95" spans="1:7" ht="13" x14ac:dyDescent="0.15">
      <c r="A95" s="13">
        <v>42469</v>
      </c>
      <c r="B95" s="3" t="s">
        <v>293</v>
      </c>
      <c r="C95" s="3" t="s">
        <v>197</v>
      </c>
      <c r="D95" s="89">
        <v>0.68298866062966046</v>
      </c>
      <c r="E95" s="3">
        <v>16</v>
      </c>
      <c r="F95" s="3">
        <v>20</v>
      </c>
      <c r="G95" s="89">
        <f t="shared" si="0"/>
        <v>0.8</v>
      </c>
    </row>
    <row r="96" spans="1:7" ht="13" x14ac:dyDescent="0.15">
      <c r="A96" s="13">
        <v>42470</v>
      </c>
      <c r="B96" s="3" t="s">
        <v>293</v>
      </c>
      <c r="C96" s="3" t="s">
        <v>197</v>
      </c>
      <c r="D96" s="89">
        <v>0.86808652246256246</v>
      </c>
      <c r="E96" s="3">
        <v>30</v>
      </c>
      <c r="F96" s="3">
        <v>35</v>
      </c>
      <c r="G96" s="89">
        <f t="shared" si="0"/>
        <v>0.8571428571428571</v>
      </c>
    </row>
    <row r="97" spans="1:7" ht="13" x14ac:dyDescent="0.15">
      <c r="A97" s="13">
        <v>42806</v>
      </c>
      <c r="B97" s="3" t="s">
        <v>293</v>
      </c>
      <c r="C97" s="3" t="s">
        <v>197</v>
      </c>
      <c r="D97" s="89">
        <v>0.57375719622937527</v>
      </c>
      <c r="E97" s="3">
        <v>19</v>
      </c>
      <c r="F97" s="3">
        <v>32</v>
      </c>
      <c r="G97" s="89">
        <f t="shared" si="0"/>
        <v>0.59375</v>
      </c>
    </row>
    <row r="98" spans="1:7" ht="13" x14ac:dyDescent="0.15">
      <c r="A98" s="13">
        <v>43163</v>
      </c>
      <c r="B98" s="3" t="s">
        <v>293</v>
      </c>
      <c r="C98" s="3" t="s">
        <v>197</v>
      </c>
      <c r="D98" s="89">
        <v>0.63043259050115963</v>
      </c>
      <c r="E98" s="3">
        <v>17</v>
      </c>
      <c r="F98" s="3">
        <v>25</v>
      </c>
      <c r="G98" s="89">
        <f t="shared" si="0"/>
        <v>0.68</v>
      </c>
    </row>
    <row r="99" spans="1:7" ht="13" x14ac:dyDescent="0.15">
      <c r="A99" s="13">
        <v>43212</v>
      </c>
      <c r="B99" s="3" t="s">
        <v>293</v>
      </c>
      <c r="C99" s="3" t="s">
        <v>418</v>
      </c>
      <c r="D99" s="89">
        <v>0.26572697003329637</v>
      </c>
      <c r="E99" s="3">
        <v>8</v>
      </c>
      <c r="F99" s="3">
        <v>23</v>
      </c>
      <c r="G99" s="89">
        <f t="shared" si="0"/>
        <v>0.34782608695652173</v>
      </c>
    </row>
    <row r="100" spans="1:7" ht="13" x14ac:dyDescent="0.15">
      <c r="A100" s="13">
        <v>43520</v>
      </c>
      <c r="B100" s="3" t="s">
        <v>293</v>
      </c>
      <c r="C100" s="3" t="s">
        <v>418</v>
      </c>
      <c r="D100" s="89">
        <v>0.31590737342113784</v>
      </c>
      <c r="E100" s="3">
        <v>14</v>
      </c>
      <c r="F100" s="3">
        <v>25</v>
      </c>
      <c r="G100" s="89">
        <f t="shared" si="0"/>
        <v>0.56000000000000005</v>
      </c>
    </row>
    <row r="101" spans="1:7" ht="13" x14ac:dyDescent="0.15">
      <c r="A101" s="13">
        <v>42851</v>
      </c>
      <c r="B101" s="3" t="s">
        <v>293</v>
      </c>
      <c r="C101" s="3" t="s">
        <v>383</v>
      </c>
      <c r="D101" s="89">
        <v>0.51492802649356451</v>
      </c>
      <c r="E101" s="3">
        <v>8</v>
      </c>
      <c r="F101" s="3">
        <v>28</v>
      </c>
      <c r="G101" s="89">
        <f t="shared" si="0"/>
        <v>0.2857142857142857</v>
      </c>
    </row>
    <row r="102" spans="1:7" ht="13" x14ac:dyDescent="0.15">
      <c r="A102" s="13">
        <v>42852</v>
      </c>
      <c r="B102" s="3" t="s">
        <v>293</v>
      </c>
      <c r="D102" s="89">
        <v>0.69414687160378818</v>
      </c>
      <c r="E102" s="3">
        <v>10</v>
      </c>
      <c r="F102" s="3">
        <v>8</v>
      </c>
      <c r="G102" s="89">
        <f t="shared" si="0"/>
        <v>1.25</v>
      </c>
    </row>
    <row r="103" spans="1:7" ht="13" x14ac:dyDescent="0.15">
      <c r="A103" s="13">
        <v>42860</v>
      </c>
      <c r="B103" s="3" t="s">
        <v>394</v>
      </c>
      <c r="C103" s="3" t="s">
        <v>367</v>
      </c>
      <c r="D103" s="89">
        <v>0.59041751348237292</v>
      </c>
      <c r="E103" s="3">
        <v>17</v>
      </c>
      <c r="F103" s="3">
        <v>44</v>
      </c>
      <c r="G103" s="89">
        <f t="shared" si="0"/>
        <v>0.38636363636363635</v>
      </c>
    </row>
    <row r="104" spans="1:7" ht="13" x14ac:dyDescent="0.15">
      <c r="A104" s="13">
        <v>42468</v>
      </c>
      <c r="B104" s="3" t="s">
        <v>291</v>
      </c>
      <c r="C104" s="3" t="s">
        <v>274</v>
      </c>
      <c r="D104" s="89">
        <v>0.81188805483028714</v>
      </c>
      <c r="E104" s="3">
        <v>19</v>
      </c>
      <c r="F104" s="3">
        <v>19</v>
      </c>
      <c r="G104" s="89">
        <f t="shared" si="0"/>
        <v>1</v>
      </c>
    </row>
    <row r="105" spans="1:7" ht="13" x14ac:dyDescent="0.15">
      <c r="A105" s="13">
        <v>42866</v>
      </c>
      <c r="B105" s="3" t="s">
        <v>400</v>
      </c>
      <c r="C105" s="3" t="s">
        <v>401</v>
      </c>
      <c r="D105" s="89">
        <v>0.71194852941176467</v>
      </c>
      <c r="E105" s="3">
        <v>15</v>
      </c>
      <c r="F105" s="3">
        <v>25</v>
      </c>
      <c r="G105" s="89">
        <f t="shared" si="0"/>
        <v>0.6</v>
      </c>
    </row>
    <row r="106" spans="1:7" ht="13" x14ac:dyDescent="0.15">
      <c r="A106" s="13">
        <v>43528</v>
      </c>
      <c r="B106" s="3" t="s">
        <v>400</v>
      </c>
      <c r="C106" s="3" t="s">
        <v>401</v>
      </c>
      <c r="D106" s="89">
        <v>0.84443855308118299</v>
      </c>
      <c r="E106" s="3">
        <v>11</v>
      </c>
      <c r="F106" s="3">
        <v>30</v>
      </c>
      <c r="G106" s="89">
        <f t="shared" si="0"/>
        <v>0.36666666666666664</v>
      </c>
    </row>
    <row r="107" spans="1:7" ht="13" x14ac:dyDescent="0.15">
      <c r="A107" s="13">
        <v>43563</v>
      </c>
      <c r="B107" s="3" t="s">
        <v>400</v>
      </c>
      <c r="C107" s="3" t="s">
        <v>465</v>
      </c>
      <c r="D107" s="89">
        <v>0.71696127946127941</v>
      </c>
      <c r="E107" s="3">
        <v>20</v>
      </c>
      <c r="F107" s="3">
        <v>29</v>
      </c>
      <c r="G107" s="89">
        <f t="shared" si="0"/>
        <v>0.68965517241379315</v>
      </c>
    </row>
    <row r="108" spans="1:7" ht="13" x14ac:dyDescent="0.15">
      <c r="A108" s="13">
        <v>42851</v>
      </c>
      <c r="B108" s="3" t="s">
        <v>216</v>
      </c>
      <c r="C108" s="3" t="s">
        <v>385</v>
      </c>
      <c r="D108" s="89">
        <v>0.49816625916870416</v>
      </c>
      <c r="E108" s="3">
        <v>13</v>
      </c>
      <c r="F108" s="3">
        <v>28</v>
      </c>
      <c r="G108" s="89">
        <f t="shared" si="0"/>
        <v>0.4642857142857143</v>
      </c>
    </row>
    <row r="109" spans="1:7" ht="13" x14ac:dyDescent="0.15">
      <c r="A109" s="13">
        <v>42471</v>
      </c>
      <c r="B109" s="3" t="s">
        <v>216</v>
      </c>
      <c r="C109" s="3" t="s">
        <v>299</v>
      </c>
      <c r="D109" s="89">
        <v>0.43078899113578561</v>
      </c>
      <c r="E109" s="3">
        <v>10</v>
      </c>
      <c r="F109" s="3">
        <v>29</v>
      </c>
      <c r="G109" s="89">
        <f t="shared" si="0"/>
        <v>0.34482758620689657</v>
      </c>
    </row>
    <row r="110" spans="1:7" ht="13" x14ac:dyDescent="0.15">
      <c r="A110" s="13">
        <v>42867</v>
      </c>
      <c r="B110" s="3" t="s">
        <v>216</v>
      </c>
      <c r="C110" s="3" t="s">
        <v>299</v>
      </c>
      <c r="D110" s="89">
        <v>0.341225451293098</v>
      </c>
      <c r="E110" s="3">
        <v>13</v>
      </c>
      <c r="F110" s="3">
        <v>32</v>
      </c>
      <c r="G110" s="89">
        <f t="shared" si="0"/>
        <v>0.40625</v>
      </c>
    </row>
    <row r="111" spans="1:7" ht="13" x14ac:dyDescent="0.15">
      <c r="A111" s="13">
        <v>42439</v>
      </c>
      <c r="B111" s="3" t="s">
        <v>216</v>
      </c>
      <c r="C111" s="3" t="s">
        <v>272</v>
      </c>
      <c r="D111" s="89">
        <v>0.31873876548096114</v>
      </c>
      <c r="E111" s="3">
        <v>21</v>
      </c>
      <c r="F111" s="3">
        <v>36</v>
      </c>
      <c r="G111" s="89">
        <f t="shared" si="0"/>
        <v>0.58333333333333337</v>
      </c>
    </row>
    <row r="112" spans="1:7" ht="13" x14ac:dyDescent="0.15">
      <c r="A112" s="13">
        <v>42835</v>
      </c>
      <c r="B112" s="3" t="s">
        <v>216</v>
      </c>
      <c r="C112" s="3" t="s">
        <v>272</v>
      </c>
      <c r="D112" s="89">
        <v>0.45559876263409438</v>
      </c>
      <c r="E112" s="3">
        <v>16</v>
      </c>
      <c r="F112" s="3">
        <v>33</v>
      </c>
      <c r="G112" s="89">
        <f t="shared" si="0"/>
        <v>0.48484848484848486</v>
      </c>
    </row>
    <row r="113" spans="1:7" ht="13" x14ac:dyDescent="0.15">
      <c r="A113" s="13">
        <v>43234</v>
      </c>
      <c r="B113" s="3" t="s">
        <v>216</v>
      </c>
      <c r="C113" s="3" t="s">
        <v>272</v>
      </c>
      <c r="D113" s="89">
        <v>0.11128276927533431</v>
      </c>
      <c r="E113" s="3">
        <v>12</v>
      </c>
      <c r="F113" s="3">
        <v>25</v>
      </c>
      <c r="G113" s="89">
        <f t="shared" si="0"/>
        <v>0.48</v>
      </c>
    </row>
    <row r="114" spans="1:7" ht="13" x14ac:dyDescent="0.15">
      <c r="A114" s="13">
        <v>42420</v>
      </c>
      <c r="B114" s="3" t="s">
        <v>216</v>
      </c>
      <c r="C114" s="3" t="s">
        <v>197</v>
      </c>
      <c r="D114" s="89">
        <v>0.78193124524163193</v>
      </c>
      <c r="E114" s="3">
        <v>32</v>
      </c>
      <c r="F114" s="3">
        <v>75</v>
      </c>
      <c r="G114" s="89">
        <f t="shared" si="0"/>
        <v>0.42666666666666669</v>
      </c>
    </row>
    <row r="115" spans="1:7" ht="13" x14ac:dyDescent="0.15">
      <c r="A115" s="13">
        <v>43311</v>
      </c>
      <c r="B115" s="3" t="s">
        <v>246</v>
      </c>
      <c r="C115" s="3" t="s">
        <v>353</v>
      </c>
      <c r="D115" s="89">
        <v>0.63732775413029363</v>
      </c>
      <c r="E115" s="3">
        <v>23</v>
      </c>
      <c r="F115" s="3">
        <v>21</v>
      </c>
      <c r="G115" s="89">
        <f t="shared" si="0"/>
        <v>1.0952380952380953</v>
      </c>
    </row>
    <row r="116" spans="1:7" ht="13" x14ac:dyDescent="0.15">
      <c r="A116" s="13">
        <v>42440</v>
      </c>
      <c r="B116" s="3" t="s">
        <v>246</v>
      </c>
      <c r="C116" s="3" t="s">
        <v>274</v>
      </c>
      <c r="D116" s="89">
        <v>0.69087009803921573</v>
      </c>
      <c r="E116" s="3">
        <v>9</v>
      </c>
      <c r="F116" s="3">
        <v>18</v>
      </c>
      <c r="G116" s="89">
        <f t="shared" si="0"/>
        <v>0.5</v>
      </c>
    </row>
    <row r="117" spans="1:7" ht="13" x14ac:dyDescent="0.15">
      <c r="A117" s="13">
        <v>42908</v>
      </c>
      <c r="B117" s="3" t="s">
        <v>246</v>
      </c>
      <c r="C117" s="3" t="s">
        <v>197</v>
      </c>
      <c r="D117" s="89">
        <v>0.81931476109682011</v>
      </c>
      <c r="E117" s="3">
        <v>37</v>
      </c>
      <c r="F117" s="3">
        <v>26</v>
      </c>
      <c r="G117" s="89">
        <f t="shared" si="0"/>
        <v>1.4230769230769231</v>
      </c>
    </row>
    <row r="118" spans="1:7" ht="13" x14ac:dyDescent="0.15">
      <c r="A118" s="13">
        <v>42837</v>
      </c>
      <c r="B118" s="3" t="s">
        <v>355</v>
      </c>
      <c r="C118" s="3" t="s">
        <v>356</v>
      </c>
      <c r="D118" s="89">
        <v>0.65175846051758457</v>
      </c>
      <c r="E118" s="3">
        <v>15</v>
      </c>
      <c r="F118" s="3">
        <v>23</v>
      </c>
      <c r="G118" s="89">
        <f t="shared" si="0"/>
        <v>0.65217391304347827</v>
      </c>
    </row>
    <row r="119" spans="1:7" ht="13" x14ac:dyDescent="0.15">
      <c r="A119" s="13">
        <v>43573</v>
      </c>
      <c r="B119" s="3" t="s">
        <v>492</v>
      </c>
      <c r="C119" s="3" t="s">
        <v>493</v>
      </c>
      <c r="D119" s="89">
        <v>0.81993186064402679</v>
      </c>
      <c r="E119" s="3">
        <v>13</v>
      </c>
      <c r="F119" s="3">
        <v>30</v>
      </c>
      <c r="G119" s="89">
        <f t="shared" si="0"/>
        <v>0.43333333333333335</v>
      </c>
    </row>
    <row r="120" spans="1:7" ht="13" x14ac:dyDescent="0.15">
      <c r="A120" s="13">
        <v>42468</v>
      </c>
      <c r="B120" s="3" t="s">
        <v>247</v>
      </c>
      <c r="C120" s="3" t="s">
        <v>289</v>
      </c>
      <c r="D120" s="89">
        <v>0.61535495534218687</v>
      </c>
      <c r="E120" s="3">
        <v>9</v>
      </c>
      <c r="F120" s="3">
        <v>23</v>
      </c>
      <c r="G120" s="89">
        <f t="shared" si="0"/>
        <v>0.39130434782608697</v>
      </c>
    </row>
    <row r="121" spans="1:7" ht="13" x14ac:dyDescent="0.15">
      <c r="A121" s="13">
        <v>42879</v>
      </c>
      <c r="B121" s="3" t="s">
        <v>247</v>
      </c>
      <c r="C121" s="3" t="s">
        <v>289</v>
      </c>
      <c r="D121" s="89">
        <v>0.24556196162435617</v>
      </c>
      <c r="E121" s="3">
        <v>13</v>
      </c>
      <c r="F121" s="3">
        <v>25</v>
      </c>
      <c r="G121" s="89">
        <f t="shared" si="0"/>
        <v>0.52</v>
      </c>
    </row>
    <row r="122" spans="1:7" ht="13" x14ac:dyDescent="0.15">
      <c r="A122" s="13">
        <v>42837</v>
      </c>
      <c r="B122" s="3" t="s">
        <v>266</v>
      </c>
      <c r="C122" s="3" t="s">
        <v>350</v>
      </c>
      <c r="D122" s="89">
        <v>0.71198428290766214</v>
      </c>
      <c r="E122" s="3">
        <v>10</v>
      </c>
      <c r="F122" s="3">
        <v>28</v>
      </c>
      <c r="G122" s="89">
        <f t="shared" si="0"/>
        <v>0.35714285714285715</v>
      </c>
    </row>
    <row r="123" spans="1:7" ht="13" x14ac:dyDescent="0.15">
      <c r="A123" s="13">
        <v>43236</v>
      </c>
      <c r="B123" s="3" t="s">
        <v>266</v>
      </c>
      <c r="C123" s="3" t="s">
        <v>347</v>
      </c>
      <c r="D123" s="89">
        <v>0.68615446178471395</v>
      </c>
      <c r="E123" s="3">
        <v>35</v>
      </c>
      <c r="F123" s="3">
        <v>69</v>
      </c>
      <c r="G123" s="89">
        <f t="shared" si="0"/>
        <v>0.50724637681159424</v>
      </c>
    </row>
    <row r="124" spans="1:7" ht="13" x14ac:dyDescent="0.15">
      <c r="A124" s="13">
        <v>43519</v>
      </c>
      <c r="B124" s="3" t="s">
        <v>266</v>
      </c>
      <c r="C124" s="3" t="s">
        <v>347</v>
      </c>
      <c r="D124" s="89">
        <v>0.68665432274604754</v>
      </c>
      <c r="E124" s="3">
        <v>10</v>
      </c>
      <c r="F124" s="3">
        <v>10</v>
      </c>
      <c r="G124" s="89">
        <f t="shared" si="0"/>
        <v>1</v>
      </c>
    </row>
    <row r="125" spans="1:7" ht="13" x14ac:dyDescent="0.15">
      <c r="A125" s="13">
        <v>42471</v>
      </c>
      <c r="B125" s="3" t="s">
        <v>266</v>
      </c>
      <c r="C125" s="3" t="s">
        <v>297</v>
      </c>
      <c r="D125" s="89">
        <v>0.3963065953654189</v>
      </c>
      <c r="E125" s="3">
        <v>10</v>
      </c>
      <c r="F125" s="3">
        <v>24</v>
      </c>
      <c r="G125" s="89">
        <f t="shared" si="0"/>
        <v>0.41666666666666669</v>
      </c>
    </row>
    <row r="126" spans="1:7" ht="13" x14ac:dyDescent="0.15">
      <c r="A126" s="13">
        <v>42836</v>
      </c>
      <c r="B126" s="3" t="s">
        <v>266</v>
      </c>
      <c r="C126" s="3" t="s">
        <v>297</v>
      </c>
      <c r="D126" s="89">
        <v>0.79615371198189977</v>
      </c>
      <c r="E126" s="3">
        <v>18</v>
      </c>
      <c r="F126" s="3">
        <v>37</v>
      </c>
      <c r="G126" s="89">
        <f t="shared" si="0"/>
        <v>0.48648648648648651</v>
      </c>
    </row>
    <row r="127" spans="1:7" ht="13" x14ac:dyDescent="0.15">
      <c r="A127" s="13">
        <v>43519</v>
      </c>
      <c r="B127" s="3" t="s">
        <v>266</v>
      </c>
      <c r="C127" s="3" t="s">
        <v>297</v>
      </c>
      <c r="D127" s="89">
        <v>0.86828665445719988</v>
      </c>
      <c r="E127" s="3">
        <v>17</v>
      </c>
      <c r="F127" s="3">
        <v>19</v>
      </c>
      <c r="G127" s="89">
        <f t="shared" si="0"/>
        <v>0.89473684210526316</v>
      </c>
    </row>
    <row r="128" spans="1:7" ht="13" x14ac:dyDescent="0.15">
      <c r="A128" s="13">
        <v>42439</v>
      </c>
      <c r="B128" s="3" t="s">
        <v>266</v>
      </c>
      <c r="C128" s="3" t="s">
        <v>274</v>
      </c>
      <c r="D128" s="89">
        <v>0.81053794690158321</v>
      </c>
      <c r="E128" s="3">
        <v>21</v>
      </c>
      <c r="F128" s="3">
        <v>23</v>
      </c>
      <c r="G128" s="89">
        <f t="shared" si="0"/>
        <v>0.91304347826086951</v>
      </c>
    </row>
    <row r="129" spans="1:7" ht="13" x14ac:dyDescent="0.15">
      <c r="A129" s="13">
        <v>42427</v>
      </c>
      <c r="B129" s="3" t="s">
        <v>266</v>
      </c>
      <c r="C129" s="3" t="s">
        <v>197</v>
      </c>
      <c r="D129" s="89">
        <v>0.60864425618283269</v>
      </c>
      <c r="E129" s="3">
        <v>24</v>
      </c>
      <c r="F129" s="3">
        <v>40</v>
      </c>
      <c r="G129" s="89">
        <f t="shared" si="0"/>
        <v>0.6</v>
      </c>
    </row>
    <row r="130" spans="1:7" ht="13" x14ac:dyDescent="0.15">
      <c r="A130" s="13">
        <v>42428</v>
      </c>
      <c r="B130" s="3" t="s">
        <v>266</v>
      </c>
      <c r="C130" s="3" t="s">
        <v>197</v>
      </c>
      <c r="D130" s="89">
        <v>0.58215758558349906</v>
      </c>
      <c r="E130" s="3">
        <v>24</v>
      </c>
      <c r="F130" s="3">
        <v>43</v>
      </c>
      <c r="G130" s="89">
        <f t="shared" si="0"/>
        <v>0.55813953488372092</v>
      </c>
    </row>
    <row r="131" spans="1:7" ht="13" x14ac:dyDescent="0.15">
      <c r="A131" s="13">
        <v>43531</v>
      </c>
      <c r="B131" s="3" t="s">
        <v>266</v>
      </c>
      <c r="C131" s="3" t="s">
        <v>418</v>
      </c>
      <c r="D131" s="89">
        <v>0.7114087294197684</v>
      </c>
      <c r="E131" s="3">
        <v>17</v>
      </c>
      <c r="F131" s="3">
        <v>56</v>
      </c>
      <c r="G131" s="89">
        <f t="shared" si="0"/>
        <v>0.30357142857142855</v>
      </c>
    </row>
    <row r="132" spans="1:7" ht="13" x14ac:dyDescent="0.15">
      <c r="A132" s="13">
        <v>43577</v>
      </c>
      <c r="B132" s="3" t="s">
        <v>266</v>
      </c>
      <c r="C132" s="3" t="s">
        <v>418</v>
      </c>
      <c r="D132" s="89">
        <v>0.86677206851119892</v>
      </c>
      <c r="E132" s="3">
        <v>19</v>
      </c>
      <c r="F132" s="3">
        <v>23</v>
      </c>
      <c r="G132" s="89">
        <f t="shared" si="0"/>
        <v>0.82608695652173914</v>
      </c>
    </row>
    <row r="133" spans="1:7" ht="13" x14ac:dyDescent="0.15">
      <c r="A133" s="13">
        <v>42865</v>
      </c>
      <c r="B133" s="3" t="s">
        <v>230</v>
      </c>
      <c r="C133" s="3" t="s">
        <v>397</v>
      </c>
      <c r="D133" s="89">
        <v>0.58182656522741494</v>
      </c>
      <c r="E133" s="3">
        <v>9</v>
      </c>
      <c r="F133" s="3">
        <v>24</v>
      </c>
      <c r="G133" s="89">
        <f t="shared" si="0"/>
        <v>0.375</v>
      </c>
    </row>
    <row r="134" spans="1:7" ht="13" x14ac:dyDescent="0.15">
      <c r="A134" s="13">
        <v>42488</v>
      </c>
      <c r="B134" s="3" t="s">
        <v>230</v>
      </c>
      <c r="C134" s="3" t="s">
        <v>274</v>
      </c>
      <c r="D134" s="89">
        <v>0.27943564850519442</v>
      </c>
      <c r="E134" s="3">
        <v>5</v>
      </c>
      <c r="F134" s="3">
        <v>39</v>
      </c>
      <c r="G134" s="89">
        <f t="shared" si="0"/>
        <v>0.12820512820512819</v>
      </c>
    </row>
    <row r="135" spans="1:7" ht="13" x14ac:dyDescent="0.15">
      <c r="A135" s="13">
        <v>42443</v>
      </c>
      <c r="B135" s="3" t="s">
        <v>230</v>
      </c>
      <c r="C135" s="3" t="s">
        <v>197</v>
      </c>
      <c r="D135" s="89">
        <v>0.72519148056778993</v>
      </c>
      <c r="E135" s="3">
        <v>11</v>
      </c>
      <c r="F135" s="3">
        <v>30</v>
      </c>
      <c r="G135" s="89">
        <f t="shared" si="0"/>
        <v>0.36666666666666664</v>
      </c>
    </row>
    <row r="136" spans="1:7" ht="13" x14ac:dyDescent="0.15">
      <c r="A136" s="13">
        <v>42798</v>
      </c>
      <c r="B136" s="3" t="s">
        <v>230</v>
      </c>
      <c r="C136" s="3" t="s">
        <v>197</v>
      </c>
      <c r="D136" s="89">
        <v>0.69638601431741654</v>
      </c>
      <c r="E136" s="3">
        <v>15</v>
      </c>
      <c r="F136" s="3">
        <v>43</v>
      </c>
      <c r="G136" s="89">
        <f t="shared" si="0"/>
        <v>0.34883720930232559</v>
      </c>
    </row>
    <row r="137" spans="1:7" ht="16" x14ac:dyDescent="0.2">
      <c r="A137" s="33">
        <v>43839</v>
      </c>
      <c r="B137" s="4" t="s">
        <v>366</v>
      </c>
      <c r="C137" s="4" t="s">
        <v>508</v>
      </c>
      <c r="D137" s="89">
        <v>0.72604975796465165</v>
      </c>
      <c r="E137" s="3">
        <v>7</v>
      </c>
      <c r="F137" s="22">
        <v>20</v>
      </c>
      <c r="G137" s="89">
        <f t="shared" si="0"/>
        <v>0.35</v>
      </c>
    </row>
  </sheetData>
  <conditionalFormatting sqref="C1:C1000">
    <cfRule type="containsText" dxfId="1" priority="1" operator="containsText" text="OPIHI">
      <formula>NOT(ISERROR(SEARCH(("OPIHI"),(C1))))</formula>
    </cfRule>
    <cfRule type="containsText" dxfId="0" priority="2" operator="containsText" text="UH">
      <formula>NOT(ISERROR(SEARCH(("UH"),(C1))))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Charts</vt:lpstr>
      </vt:variant>
      <vt:variant>
        <vt:i4>4</vt:i4>
      </vt:variant>
    </vt:vector>
  </HeadingPairs>
  <TitlesOfParts>
    <vt:vector size="14" baseType="lpstr">
      <vt:lpstr>mei</vt:lpstr>
      <vt:lpstr>Totals_NO_Excl</vt:lpstr>
      <vt:lpstr>Presence_Absence_NO_Excl</vt:lpstr>
      <vt:lpstr>Diversity_Excl_Ts</vt:lpstr>
      <vt:lpstr>Presence_Absence_Excl_Ts</vt:lpstr>
      <vt:lpstr>Tides_data_2016_20</vt:lpstr>
      <vt:lpstr>Edu Stuff to Link to metadata</vt:lpstr>
      <vt:lpstr>Metadata</vt:lpstr>
      <vt:lpstr>Sheet12</vt:lpstr>
      <vt:lpstr>Sheet13</vt:lpstr>
      <vt:lpstr>Chart4</vt:lpstr>
      <vt:lpstr>Chart3</vt:lpstr>
      <vt:lpstr>Chart2</vt:lpstr>
      <vt:lpstr>div vs tides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Mei Iwamoto</cp:lastModifiedBy>
  <dcterms:modified xsi:type="dcterms:W3CDTF">2026-10-29T21:00:57Z</dcterms:modified>
</cp:coreProperties>
</file>